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airadim-my.sharepoint.com/personal/jtavares_air_com_mx/Documents/Bases de Tableros/Dirección (Pat)/"/>
    </mc:Choice>
  </mc:AlternateContent>
  <xr:revisionPtr revIDLastSave="0" documentId="8_{4F52CA0C-E23E-4D1C-9928-C2ACC5CB9B91}" xr6:coauthVersionLast="47" xr6:coauthVersionMax="47" xr10:uidLastSave="{00000000-0000-0000-0000-000000000000}"/>
  <bookViews>
    <workbookView xWindow="28692" yWindow="-108" windowWidth="29016" windowHeight="15696" xr2:uid="{EE96C938-3E02-411B-80CA-1985D5C814D1}"/>
  </bookViews>
  <sheets>
    <sheet name="Hoja1" sheetId="1" r:id="rId1"/>
  </sheets>
  <definedNames>
    <definedName name="_xlnm._FilterDatabase" localSheetId="0" hidden="1">Hoja1!$A$1:$AL$1386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1" l="1"/>
  <c r="AD1270" i="1"/>
  <c r="AF1270" i="1" s="1"/>
  <c r="AD1271" i="1"/>
  <c r="AF1271" i="1" s="1"/>
  <c r="AD1272" i="1"/>
  <c r="AF1272" i="1" s="1"/>
  <c r="AD1273" i="1"/>
  <c r="AF1273" i="1" s="1"/>
  <c r="AD1274" i="1"/>
  <c r="AF1274" i="1" s="1"/>
  <c r="AD1275" i="1"/>
  <c r="AF1275" i="1" s="1"/>
  <c r="AD1276" i="1"/>
  <c r="AF1276" i="1" s="1"/>
  <c r="AD1277" i="1"/>
  <c r="AF1277" i="1" s="1"/>
  <c r="AD1278" i="1"/>
  <c r="AF1278" i="1" s="1"/>
  <c r="AD1279" i="1"/>
  <c r="AF1279" i="1" s="1"/>
  <c r="AD1280" i="1"/>
  <c r="AF1280" i="1" s="1"/>
  <c r="AD1281" i="1"/>
  <c r="AF1281" i="1" s="1"/>
  <c r="AD1282" i="1"/>
  <c r="AF1282" i="1" s="1"/>
  <c r="AD1283" i="1"/>
  <c r="AF1283" i="1" s="1"/>
  <c r="AD1284" i="1"/>
  <c r="AF1284" i="1" s="1"/>
  <c r="AD1285" i="1"/>
  <c r="AF1285" i="1" s="1"/>
  <c r="AD1286" i="1"/>
  <c r="AF1286" i="1" s="1"/>
  <c r="AD1287" i="1"/>
  <c r="AF1287" i="1" s="1"/>
  <c r="AD1288" i="1"/>
  <c r="AF1288" i="1" s="1"/>
  <c r="AD1289" i="1"/>
  <c r="AF1289" i="1" s="1"/>
  <c r="AD1290" i="1"/>
  <c r="AF1290" i="1" s="1"/>
  <c r="AD1291" i="1"/>
  <c r="AF1291" i="1" s="1"/>
  <c r="AD1292" i="1"/>
  <c r="AF1292" i="1" s="1"/>
  <c r="AD1293" i="1"/>
  <c r="AF1293" i="1" s="1"/>
  <c r="AD1294" i="1"/>
  <c r="AF1294" i="1" s="1"/>
  <c r="AD1295" i="1"/>
  <c r="AF1295" i="1" s="1"/>
  <c r="AD1296" i="1"/>
  <c r="AF1296" i="1" s="1"/>
  <c r="AD1297" i="1"/>
  <c r="AF1297" i="1" s="1"/>
  <c r="AD1298" i="1"/>
  <c r="AF1298" i="1" s="1"/>
  <c r="AD1299" i="1"/>
  <c r="AF1299" i="1" s="1"/>
  <c r="AD1300" i="1"/>
  <c r="AF1300" i="1" s="1"/>
  <c r="AD1301" i="1"/>
  <c r="AF1301" i="1" s="1"/>
  <c r="AD1302" i="1"/>
  <c r="AF1302" i="1" s="1"/>
  <c r="AD1303" i="1"/>
  <c r="AF1303" i="1" s="1"/>
  <c r="AD1304" i="1"/>
  <c r="AF1304" i="1" s="1"/>
  <c r="AD1305" i="1"/>
  <c r="AF1305" i="1" s="1"/>
  <c r="AD1306" i="1"/>
  <c r="AF1306" i="1" s="1"/>
  <c r="AD1307" i="1"/>
  <c r="AF1307" i="1" s="1"/>
  <c r="AD1308" i="1"/>
  <c r="AF1308" i="1" s="1"/>
  <c r="AD1309" i="1"/>
  <c r="AF1309" i="1" s="1"/>
  <c r="AD1310" i="1"/>
  <c r="AF1310" i="1" s="1"/>
  <c r="AD1311" i="1"/>
  <c r="AF1311" i="1" s="1"/>
  <c r="AD1312" i="1"/>
  <c r="AF1312" i="1" s="1"/>
  <c r="AD1313" i="1"/>
  <c r="AF1313" i="1" s="1"/>
  <c r="AD1314" i="1"/>
  <c r="AF1314" i="1" s="1"/>
  <c r="AD1315" i="1"/>
  <c r="AF1315" i="1" s="1"/>
  <c r="AD1316" i="1"/>
  <c r="AF1316" i="1" s="1"/>
  <c r="AD1317" i="1"/>
  <c r="AF1317" i="1" s="1"/>
  <c r="AD1318" i="1"/>
  <c r="AF1318" i="1" s="1"/>
  <c r="AD1319" i="1"/>
  <c r="AF1319" i="1" s="1"/>
  <c r="AD1320" i="1"/>
  <c r="AF1320" i="1" s="1"/>
  <c r="AD1321" i="1"/>
  <c r="AF1321" i="1" s="1"/>
  <c r="AD1322" i="1"/>
  <c r="AF1322" i="1" s="1"/>
  <c r="AD1323" i="1"/>
  <c r="AF1323" i="1" s="1"/>
  <c r="AD1324" i="1"/>
  <c r="AF1324" i="1" s="1"/>
  <c r="AD1325" i="1"/>
  <c r="AF1325" i="1" s="1"/>
  <c r="AD1326" i="1"/>
  <c r="AF1326" i="1" s="1"/>
  <c r="AD1327" i="1"/>
  <c r="AF1327" i="1" s="1"/>
  <c r="AD1328" i="1"/>
  <c r="AF1328" i="1" s="1"/>
  <c r="AD1329" i="1"/>
  <c r="AF1329" i="1" s="1"/>
  <c r="AD1330" i="1"/>
  <c r="AF1330" i="1" s="1"/>
  <c r="AD1331" i="1"/>
  <c r="AF1331" i="1" s="1"/>
  <c r="AD1332" i="1"/>
  <c r="AF1332" i="1" s="1"/>
  <c r="AD1333" i="1"/>
  <c r="AF1333" i="1" s="1"/>
  <c r="AD1334" i="1"/>
  <c r="AF1334" i="1" s="1"/>
  <c r="AD1335" i="1"/>
  <c r="AF1335" i="1" s="1"/>
  <c r="AD1336" i="1"/>
  <c r="AF1336" i="1" s="1"/>
  <c r="AD1337" i="1"/>
  <c r="AF1337" i="1" s="1"/>
  <c r="AD1338" i="1"/>
  <c r="AF1338" i="1" s="1"/>
  <c r="AD1339" i="1"/>
  <c r="AF1339" i="1" s="1"/>
  <c r="AD1340" i="1"/>
  <c r="AF1340" i="1" s="1"/>
  <c r="AD1341" i="1"/>
  <c r="AF1341" i="1" s="1"/>
  <c r="AD1342" i="1"/>
  <c r="AF1342" i="1" s="1"/>
  <c r="AD1343" i="1"/>
  <c r="AF1343" i="1" s="1"/>
  <c r="AD1344" i="1"/>
  <c r="AF1344" i="1" s="1"/>
  <c r="AD1345" i="1"/>
  <c r="AF1345" i="1" s="1"/>
  <c r="AD1346" i="1"/>
  <c r="AF1346" i="1" s="1"/>
  <c r="AD1347" i="1"/>
  <c r="AF1347" i="1" s="1"/>
  <c r="AD1348" i="1"/>
  <c r="AF1348" i="1" s="1"/>
  <c r="AD1349" i="1"/>
  <c r="AF1349" i="1" s="1"/>
  <c r="AD1350" i="1"/>
  <c r="AF1350" i="1" s="1"/>
  <c r="AD1351" i="1"/>
  <c r="AF1351" i="1" s="1"/>
  <c r="AD1352" i="1"/>
  <c r="AF1352" i="1" s="1"/>
  <c r="AD1353" i="1"/>
  <c r="AF1353" i="1" s="1"/>
  <c r="AD1354" i="1"/>
  <c r="AF1354" i="1" s="1"/>
  <c r="AD1355" i="1"/>
  <c r="AF1355" i="1" s="1"/>
  <c r="AD1356" i="1"/>
  <c r="AF1356" i="1" s="1"/>
  <c r="AD1357" i="1"/>
  <c r="AF1357" i="1" s="1"/>
  <c r="AD1358" i="1"/>
  <c r="AF1358" i="1" s="1"/>
  <c r="AD1359" i="1"/>
  <c r="AF1359" i="1" s="1"/>
  <c r="AD1360" i="1"/>
  <c r="AF1360" i="1" s="1"/>
  <c r="AD1361" i="1"/>
  <c r="AF1361" i="1" s="1"/>
  <c r="AD1362" i="1"/>
  <c r="AF1362" i="1" s="1"/>
  <c r="AD1363" i="1"/>
  <c r="AF1363" i="1" s="1"/>
  <c r="AD1364" i="1"/>
  <c r="AF1364" i="1" s="1"/>
  <c r="AD1365" i="1"/>
  <c r="AF1365" i="1" s="1"/>
  <c r="AD1366" i="1"/>
  <c r="AF1366" i="1" s="1"/>
  <c r="AD1367" i="1"/>
  <c r="AF1367" i="1" s="1"/>
  <c r="AD1368" i="1"/>
  <c r="AF1368" i="1" s="1"/>
  <c r="AD1369" i="1"/>
  <c r="AF1369" i="1" s="1"/>
  <c r="AD1370" i="1"/>
  <c r="AF1370" i="1" s="1"/>
  <c r="AD1371" i="1"/>
  <c r="AF1371" i="1" s="1"/>
  <c r="AD1372" i="1"/>
  <c r="AF1372" i="1" s="1"/>
  <c r="AD1373" i="1"/>
  <c r="AF1373" i="1" s="1"/>
  <c r="AD1374" i="1"/>
  <c r="AF1374" i="1" s="1"/>
  <c r="AD1375" i="1"/>
  <c r="AF1375" i="1" s="1"/>
  <c r="AD1376" i="1"/>
  <c r="AF1376" i="1" s="1"/>
  <c r="AD1377" i="1"/>
  <c r="AF1377" i="1" s="1"/>
  <c r="AD1378" i="1"/>
  <c r="AF1378" i="1" s="1"/>
  <c r="AD1379" i="1"/>
  <c r="AF1379" i="1" s="1"/>
  <c r="AD1380" i="1"/>
  <c r="AF1380" i="1" s="1"/>
  <c r="AD1381" i="1"/>
  <c r="AF1381" i="1" s="1"/>
  <c r="AD1382" i="1"/>
  <c r="AF1382" i="1" s="1"/>
  <c r="AD1383" i="1"/>
  <c r="AF1383" i="1" s="1"/>
  <c r="AD1384" i="1"/>
  <c r="AF1384" i="1" s="1"/>
  <c r="AD1385" i="1"/>
  <c r="AF1385" i="1" s="1"/>
  <c r="AD1386" i="1"/>
  <c r="AF1386" i="1" s="1"/>
  <c r="AB1269" i="1"/>
  <c r="AC1269" i="1" s="1"/>
  <c r="AB1270" i="1"/>
  <c r="AC1270" i="1" s="1"/>
  <c r="AB1271" i="1"/>
  <c r="AC1271" i="1" s="1"/>
  <c r="AB1272" i="1"/>
  <c r="AC1272" i="1" s="1"/>
  <c r="AB1273" i="1"/>
  <c r="AC1273" i="1" s="1"/>
  <c r="AB1274" i="1"/>
  <c r="AC1274" i="1" s="1"/>
  <c r="AB1275" i="1"/>
  <c r="AC1275" i="1" s="1"/>
  <c r="AB1276" i="1"/>
  <c r="AC1276" i="1" s="1"/>
  <c r="AB1277" i="1"/>
  <c r="AC1277" i="1" s="1"/>
  <c r="AB1278" i="1"/>
  <c r="AC1278" i="1" s="1"/>
  <c r="AB1279" i="1"/>
  <c r="AC1279" i="1" s="1"/>
  <c r="AB1280" i="1"/>
  <c r="AC1280" i="1" s="1"/>
  <c r="AB1281" i="1"/>
  <c r="AC1281" i="1" s="1"/>
  <c r="AB1282" i="1"/>
  <c r="AC1282" i="1" s="1"/>
  <c r="AB1283" i="1"/>
  <c r="AC1283" i="1" s="1"/>
  <c r="AB1284" i="1"/>
  <c r="AC1284" i="1" s="1"/>
  <c r="AB1285" i="1"/>
  <c r="AC1285" i="1" s="1"/>
  <c r="AB1286" i="1"/>
  <c r="AC1286" i="1" s="1"/>
  <c r="AB1287" i="1"/>
  <c r="AC1287" i="1" s="1"/>
  <c r="AB1288" i="1"/>
  <c r="AC1288" i="1" s="1"/>
  <c r="AB1289" i="1"/>
  <c r="AC1289" i="1" s="1"/>
  <c r="AB1290" i="1"/>
  <c r="AC1290" i="1" s="1"/>
  <c r="AB1291" i="1"/>
  <c r="AC1291" i="1" s="1"/>
  <c r="AB1292" i="1"/>
  <c r="AC1292" i="1" s="1"/>
  <c r="AB1293" i="1"/>
  <c r="AC1293" i="1" s="1"/>
  <c r="AB1294" i="1"/>
  <c r="AC1294" i="1" s="1"/>
  <c r="AB1295" i="1"/>
  <c r="AC1295" i="1" s="1"/>
  <c r="AB1296" i="1"/>
  <c r="AC1296" i="1" s="1"/>
  <c r="AB1297" i="1"/>
  <c r="AC1297" i="1" s="1"/>
  <c r="AB1298" i="1"/>
  <c r="AC1298" i="1" s="1"/>
  <c r="AB1299" i="1"/>
  <c r="AC1299" i="1" s="1"/>
  <c r="AB1300" i="1"/>
  <c r="AC1300" i="1" s="1"/>
  <c r="AB1301" i="1"/>
  <c r="AC1301" i="1" s="1"/>
  <c r="AB1302" i="1"/>
  <c r="AC1302" i="1" s="1"/>
  <c r="AB1303" i="1"/>
  <c r="AC1303" i="1" s="1"/>
  <c r="AB1304" i="1"/>
  <c r="AC1304" i="1" s="1"/>
  <c r="AB1305" i="1"/>
  <c r="AC1305" i="1" s="1"/>
  <c r="AB1306" i="1"/>
  <c r="AC1306" i="1" s="1"/>
  <c r="AB1307" i="1"/>
  <c r="AC1307" i="1" s="1"/>
  <c r="AB1308" i="1"/>
  <c r="AC1308" i="1" s="1"/>
  <c r="AB1309" i="1"/>
  <c r="AC1309" i="1" s="1"/>
  <c r="AB1310" i="1"/>
  <c r="AC1310" i="1" s="1"/>
  <c r="AB1311" i="1"/>
  <c r="AC1311" i="1" s="1"/>
  <c r="AB1312" i="1"/>
  <c r="AC1312" i="1" s="1"/>
  <c r="AB1313" i="1"/>
  <c r="AC1313" i="1" s="1"/>
  <c r="AB1314" i="1"/>
  <c r="AC1314" i="1" s="1"/>
  <c r="AB1315" i="1"/>
  <c r="AC1315" i="1" s="1"/>
  <c r="AB1316" i="1"/>
  <c r="AC1316" i="1" s="1"/>
  <c r="AB1317" i="1"/>
  <c r="AC1317" i="1" s="1"/>
  <c r="AB1318" i="1"/>
  <c r="AC1318" i="1" s="1"/>
  <c r="AB1319" i="1"/>
  <c r="AC1319" i="1" s="1"/>
  <c r="AB1320" i="1"/>
  <c r="AC1320" i="1" s="1"/>
  <c r="AB1321" i="1"/>
  <c r="AC1321" i="1" s="1"/>
  <c r="AB1322" i="1"/>
  <c r="AC1322" i="1" s="1"/>
  <c r="AB1323" i="1"/>
  <c r="AC1323" i="1" s="1"/>
  <c r="AB1324" i="1"/>
  <c r="AC1324" i="1" s="1"/>
  <c r="AB1325" i="1"/>
  <c r="AC1325" i="1" s="1"/>
  <c r="AB1326" i="1"/>
  <c r="AC1326" i="1" s="1"/>
  <c r="AB1327" i="1"/>
  <c r="AC1327" i="1" s="1"/>
  <c r="AB1328" i="1"/>
  <c r="AC1328" i="1" s="1"/>
  <c r="AB1329" i="1"/>
  <c r="AC1329" i="1" s="1"/>
  <c r="AB1330" i="1"/>
  <c r="AC1330" i="1" s="1"/>
  <c r="AB1331" i="1"/>
  <c r="AC1331" i="1" s="1"/>
  <c r="AB1332" i="1"/>
  <c r="AC1332" i="1" s="1"/>
  <c r="AB1333" i="1"/>
  <c r="AC1333" i="1" s="1"/>
  <c r="AB1334" i="1"/>
  <c r="AC1334" i="1" s="1"/>
  <c r="AB1335" i="1"/>
  <c r="AC1335" i="1" s="1"/>
  <c r="AB1336" i="1"/>
  <c r="AC1336" i="1" s="1"/>
  <c r="AB1337" i="1"/>
  <c r="AC1337" i="1" s="1"/>
  <c r="AB1338" i="1"/>
  <c r="AC1338" i="1" s="1"/>
  <c r="AB1339" i="1"/>
  <c r="AC1339" i="1" s="1"/>
  <c r="AB1340" i="1"/>
  <c r="AC1340" i="1" s="1"/>
  <c r="AB1341" i="1"/>
  <c r="AC1341" i="1" s="1"/>
  <c r="AB1342" i="1"/>
  <c r="AC1342" i="1" s="1"/>
  <c r="AB1343" i="1"/>
  <c r="AC1343" i="1" s="1"/>
  <c r="AB1344" i="1"/>
  <c r="AC1344" i="1" s="1"/>
  <c r="AB1345" i="1"/>
  <c r="AC1345" i="1" s="1"/>
  <c r="AB1346" i="1"/>
  <c r="AC1346" i="1" s="1"/>
  <c r="AB1347" i="1"/>
  <c r="AC1347" i="1" s="1"/>
  <c r="AB1348" i="1"/>
  <c r="AC1348" i="1" s="1"/>
  <c r="AB1349" i="1"/>
  <c r="AC1349" i="1" s="1"/>
  <c r="AB1350" i="1"/>
  <c r="AC1350" i="1" s="1"/>
  <c r="AB1351" i="1"/>
  <c r="AC1351" i="1" s="1"/>
  <c r="AB1352" i="1"/>
  <c r="AC1352" i="1" s="1"/>
  <c r="AB1353" i="1"/>
  <c r="AC1353" i="1" s="1"/>
  <c r="AB1354" i="1"/>
  <c r="AC1354" i="1" s="1"/>
  <c r="AB1355" i="1"/>
  <c r="AC1355" i="1" s="1"/>
  <c r="AB1356" i="1"/>
  <c r="AC1356" i="1" s="1"/>
  <c r="AB1357" i="1"/>
  <c r="AC1357" i="1" s="1"/>
  <c r="AB1358" i="1"/>
  <c r="AC1358" i="1" s="1"/>
  <c r="AB1359" i="1"/>
  <c r="AC1359" i="1" s="1"/>
  <c r="AB1360" i="1"/>
  <c r="AC1360" i="1" s="1"/>
  <c r="AB1361" i="1"/>
  <c r="AC1361" i="1" s="1"/>
  <c r="AB1362" i="1"/>
  <c r="AC1362" i="1" s="1"/>
  <c r="AB1363" i="1"/>
  <c r="AC1363" i="1" s="1"/>
  <c r="AB1364" i="1"/>
  <c r="AC1364" i="1" s="1"/>
  <c r="AB1365" i="1"/>
  <c r="AC1365" i="1" s="1"/>
  <c r="AB1366" i="1"/>
  <c r="AC1366" i="1" s="1"/>
  <c r="AB1367" i="1"/>
  <c r="AC1367" i="1" s="1"/>
  <c r="AB1368" i="1"/>
  <c r="AC1368" i="1" s="1"/>
  <c r="AB1369" i="1"/>
  <c r="AC1369" i="1" s="1"/>
  <c r="AB1370" i="1"/>
  <c r="AC1370" i="1" s="1"/>
  <c r="AB1371" i="1"/>
  <c r="AC1371" i="1" s="1"/>
  <c r="AB1372" i="1"/>
  <c r="AC1372" i="1" s="1"/>
  <c r="AB1373" i="1"/>
  <c r="AC1373" i="1" s="1"/>
  <c r="AB1374" i="1"/>
  <c r="AC1374" i="1" s="1"/>
  <c r="AB1375" i="1"/>
  <c r="AC1375" i="1" s="1"/>
  <c r="AB1376" i="1"/>
  <c r="AC1376" i="1" s="1"/>
  <c r="AB1377" i="1"/>
  <c r="AC1377" i="1" s="1"/>
  <c r="AB1378" i="1"/>
  <c r="AC1378" i="1" s="1"/>
  <c r="AB1379" i="1"/>
  <c r="AC1379" i="1" s="1"/>
  <c r="AB1380" i="1"/>
  <c r="AC1380" i="1" s="1"/>
  <c r="AB1381" i="1"/>
  <c r="AC1381" i="1" s="1"/>
  <c r="AB1382" i="1"/>
  <c r="AC1382" i="1" s="1"/>
  <c r="AB1383" i="1"/>
  <c r="AC1383" i="1" s="1"/>
  <c r="AB1384" i="1"/>
  <c r="AC1384" i="1" s="1"/>
  <c r="AB1385" i="1"/>
  <c r="AC1385" i="1" s="1"/>
  <c r="AB1386" i="1"/>
  <c r="AC1386" i="1" s="1"/>
  <c r="Y1270" i="1"/>
  <c r="AA1270" i="1" s="1"/>
  <c r="Y1271" i="1"/>
  <c r="AA1271" i="1" s="1"/>
  <c r="Y1272" i="1"/>
  <c r="AA1272" i="1" s="1"/>
  <c r="Y1273" i="1"/>
  <c r="AA1273" i="1" s="1"/>
  <c r="Y1274" i="1"/>
  <c r="AA1274" i="1" s="1"/>
  <c r="Y1275" i="1"/>
  <c r="AA1275" i="1" s="1"/>
  <c r="Y1276" i="1"/>
  <c r="AA1276" i="1" s="1"/>
  <c r="Y1277" i="1"/>
  <c r="AA1277" i="1" s="1"/>
  <c r="Y1278" i="1"/>
  <c r="AA1278" i="1" s="1"/>
  <c r="Y1279" i="1"/>
  <c r="AA1279" i="1" s="1"/>
  <c r="Y1280" i="1"/>
  <c r="AA1280" i="1" s="1"/>
  <c r="Y1281" i="1"/>
  <c r="AA1281" i="1" s="1"/>
  <c r="Y1282" i="1"/>
  <c r="AA1282" i="1" s="1"/>
  <c r="Y1283" i="1"/>
  <c r="AA1283" i="1" s="1"/>
  <c r="Y1284" i="1"/>
  <c r="AA1284" i="1" s="1"/>
  <c r="Y1285" i="1"/>
  <c r="AA1285" i="1" s="1"/>
  <c r="Y1286" i="1"/>
  <c r="AA1286" i="1" s="1"/>
  <c r="Y1287" i="1"/>
  <c r="AA1287" i="1" s="1"/>
  <c r="Y1288" i="1"/>
  <c r="AA1288" i="1" s="1"/>
  <c r="Y1289" i="1"/>
  <c r="AA1289" i="1" s="1"/>
  <c r="Y1290" i="1"/>
  <c r="AA1290" i="1" s="1"/>
  <c r="Y1291" i="1"/>
  <c r="AA1291" i="1" s="1"/>
  <c r="Y1292" i="1"/>
  <c r="AA1292" i="1" s="1"/>
  <c r="Y1293" i="1"/>
  <c r="AA1293" i="1" s="1"/>
  <c r="Y1294" i="1"/>
  <c r="AA1294" i="1" s="1"/>
  <c r="Y1295" i="1"/>
  <c r="AA1295" i="1" s="1"/>
  <c r="Y1296" i="1"/>
  <c r="AA1296" i="1" s="1"/>
  <c r="Y1297" i="1"/>
  <c r="AA1297" i="1" s="1"/>
  <c r="Y1298" i="1"/>
  <c r="AA1298" i="1" s="1"/>
  <c r="Y1299" i="1"/>
  <c r="AA1299" i="1" s="1"/>
  <c r="Y1300" i="1"/>
  <c r="AA1300" i="1" s="1"/>
  <c r="Y1301" i="1"/>
  <c r="AA1301" i="1" s="1"/>
  <c r="Y1302" i="1"/>
  <c r="AA1302" i="1" s="1"/>
  <c r="Y1303" i="1"/>
  <c r="AA1303" i="1" s="1"/>
  <c r="Y1304" i="1"/>
  <c r="AA1304" i="1" s="1"/>
  <c r="Y1305" i="1"/>
  <c r="AA1305" i="1" s="1"/>
  <c r="Y1306" i="1"/>
  <c r="AA1306" i="1" s="1"/>
  <c r="Y1307" i="1"/>
  <c r="AA1307" i="1" s="1"/>
  <c r="Y1308" i="1"/>
  <c r="AA1308" i="1" s="1"/>
  <c r="Y1309" i="1"/>
  <c r="AA1309" i="1" s="1"/>
  <c r="Y1310" i="1"/>
  <c r="AA1310" i="1" s="1"/>
  <c r="Y1311" i="1"/>
  <c r="AA1311" i="1" s="1"/>
  <c r="Y1312" i="1"/>
  <c r="AA1312" i="1" s="1"/>
  <c r="Y1313" i="1"/>
  <c r="AA1313" i="1" s="1"/>
  <c r="Y1314" i="1"/>
  <c r="AA1314" i="1" s="1"/>
  <c r="Y1315" i="1"/>
  <c r="AA1315" i="1" s="1"/>
  <c r="Y1316" i="1"/>
  <c r="AA1316" i="1" s="1"/>
  <c r="Y1317" i="1"/>
  <c r="AA1317" i="1" s="1"/>
  <c r="Y1318" i="1"/>
  <c r="AA1318" i="1" s="1"/>
  <c r="Y1319" i="1"/>
  <c r="AA1319" i="1" s="1"/>
  <c r="Y1320" i="1"/>
  <c r="AA1320" i="1" s="1"/>
  <c r="Y1321" i="1"/>
  <c r="AA1321" i="1" s="1"/>
  <c r="Y1322" i="1"/>
  <c r="AA1322" i="1" s="1"/>
  <c r="Y1323" i="1"/>
  <c r="AA1323" i="1" s="1"/>
  <c r="Y1324" i="1"/>
  <c r="AA1324" i="1" s="1"/>
  <c r="Y1325" i="1"/>
  <c r="AA1325" i="1" s="1"/>
  <c r="Y1326" i="1"/>
  <c r="AA1326" i="1" s="1"/>
  <c r="Y1327" i="1"/>
  <c r="AA1327" i="1" s="1"/>
  <c r="Y1328" i="1"/>
  <c r="AA1328" i="1" s="1"/>
  <c r="Y1329" i="1"/>
  <c r="AA1329" i="1" s="1"/>
  <c r="Y1330" i="1"/>
  <c r="AA1330" i="1" s="1"/>
  <c r="Y1331" i="1"/>
  <c r="AA1331" i="1" s="1"/>
  <c r="Y1332" i="1"/>
  <c r="AA1332" i="1" s="1"/>
  <c r="Y1333" i="1"/>
  <c r="AA1333" i="1" s="1"/>
  <c r="Y1334" i="1"/>
  <c r="AA1334" i="1" s="1"/>
  <c r="Y1335" i="1"/>
  <c r="AA1335" i="1" s="1"/>
  <c r="Y1336" i="1"/>
  <c r="AA1336" i="1" s="1"/>
  <c r="Y1337" i="1"/>
  <c r="AA1337" i="1" s="1"/>
  <c r="Y1338" i="1"/>
  <c r="AA1338" i="1" s="1"/>
  <c r="Y1339" i="1"/>
  <c r="AA1339" i="1" s="1"/>
  <c r="Y1340" i="1"/>
  <c r="AA1340" i="1" s="1"/>
  <c r="Y1341" i="1"/>
  <c r="AA1341" i="1" s="1"/>
  <c r="Y1342" i="1"/>
  <c r="AA1342" i="1" s="1"/>
  <c r="Y1343" i="1"/>
  <c r="AA1343" i="1" s="1"/>
  <c r="Y1344" i="1"/>
  <c r="AA1344" i="1" s="1"/>
  <c r="Y1345" i="1"/>
  <c r="AA1345" i="1" s="1"/>
  <c r="Y1346" i="1"/>
  <c r="AA1346" i="1" s="1"/>
  <c r="Y1347" i="1"/>
  <c r="AA1347" i="1" s="1"/>
  <c r="Y1348" i="1"/>
  <c r="AA1348" i="1" s="1"/>
  <c r="Y1349" i="1"/>
  <c r="AA1349" i="1" s="1"/>
  <c r="Y1350" i="1"/>
  <c r="AA1350" i="1" s="1"/>
  <c r="Y1351" i="1"/>
  <c r="AA1351" i="1" s="1"/>
  <c r="Y1352" i="1"/>
  <c r="AA1352" i="1" s="1"/>
  <c r="Y1353" i="1"/>
  <c r="AA1353" i="1" s="1"/>
  <c r="Y1354" i="1"/>
  <c r="AA1354" i="1" s="1"/>
  <c r="Y1355" i="1"/>
  <c r="AA1355" i="1" s="1"/>
  <c r="Y1356" i="1"/>
  <c r="AA1356" i="1" s="1"/>
  <c r="Y1357" i="1"/>
  <c r="AA1357" i="1" s="1"/>
  <c r="Y1358" i="1"/>
  <c r="AA1358" i="1" s="1"/>
  <c r="Y1359" i="1"/>
  <c r="AA1359" i="1" s="1"/>
  <c r="Y1360" i="1"/>
  <c r="AA1360" i="1" s="1"/>
  <c r="Y1361" i="1"/>
  <c r="AA1361" i="1" s="1"/>
  <c r="Y1362" i="1"/>
  <c r="AA1362" i="1" s="1"/>
  <c r="Y1363" i="1"/>
  <c r="AA1363" i="1" s="1"/>
  <c r="Y1364" i="1"/>
  <c r="AA1364" i="1" s="1"/>
  <c r="Y1365" i="1"/>
  <c r="AA1365" i="1" s="1"/>
  <c r="Y1366" i="1"/>
  <c r="AA1366" i="1" s="1"/>
  <c r="Y1367" i="1"/>
  <c r="AA1367" i="1" s="1"/>
  <c r="Y1368" i="1"/>
  <c r="AA1368" i="1" s="1"/>
  <c r="Y1369" i="1"/>
  <c r="AA1369" i="1" s="1"/>
  <c r="Y1370" i="1"/>
  <c r="AA1370" i="1" s="1"/>
  <c r="Y1371" i="1"/>
  <c r="AA1371" i="1" s="1"/>
  <c r="Y1372" i="1"/>
  <c r="AA1372" i="1" s="1"/>
  <c r="Y1373" i="1"/>
  <c r="AA1373" i="1" s="1"/>
  <c r="Y1374" i="1"/>
  <c r="AA1374" i="1" s="1"/>
  <c r="Y1375" i="1"/>
  <c r="AA1375" i="1" s="1"/>
  <c r="Y1376" i="1"/>
  <c r="AA1376" i="1" s="1"/>
  <c r="Y1377" i="1"/>
  <c r="AA1377" i="1" s="1"/>
  <c r="Y1378" i="1"/>
  <c r="AA1378" i="1" s="1"/>
  <c r="Y1379" i="1"/>
  <c r="AA1379" i="1" s="1"/>
  <c r="Y1380" i="1"/>
  <c r="AA1380" i="1" s="1"/>
  <c r="Y1381" i="1"/>
  <c r="AA1381" i="1" s="1"/>
  <c r="Y1382" i="1"/>
  <c r="AA1382" i="1" s="1"/>
  <c r="Y1383" i="1"/>
  <c r="AA1383" i="1" s="1"/>
  <c r="Y1384" i="1"/>
  <c r="AA1384" i="1" s="1"/>
  <c r="Y1385" i="1"/>
  <c r="AA1385" i="1" s="1"/>
  <c r="Y1386" i="1"/>
  <c r="AA1386" i="1" s="1"/>
  <c r="V1270" i="1"/>
  <c r="X1270" i="1" s="1"/>
  <c r="V1271" i="1"/>
  <c r="X1271" i="1" s="1"/>
  <c r="V1272" i="1"/>
  <c r="X1272" i="1" s="1"/>
  <c r="V1273" i="1"/>
  <c r="X1273" i="1" s="1"/>
  <c r="V1274" i="1"/>
  <c r="X1274" i="1" s="1"/>
  <c r="V1275" i="1"/>
  <c r="X1275" i="1" s="1"/>
  <c r="V1276" i="1"/>
  <c r="X1276" i="1" s="1"/>
  <c r="V1277" i="1"/>
  <c r="X1277" i="1" s="1"/>
  <c r="V1278" i="1"/>
  <c r="X1278" i="1" s="1"/>
  <c r="V1279" i="1"/>
  <c r="X1279" i="1" s="1"/>
  <c r="V1280" i="1"/>
  <c r="X1280" i="1" s="1"/>
  <c r="V1281" i="1"/>
  <c r="X1281" i="1" s="1"/>
  <c r="V1282" i="1"/>
  <c r="X1282" i="1" s="1"/>
  <c r="V1283" i="1"/>
  <c r="X1283" i="1" s="1"/>
  <c r="V1284" i="1"/>
  <c r="X1284" i="1" s="1"/>
  <c r="V1285" i="1"/>
  <c r="X1285" i="1" s="1"/>
  <c r="V1286" i="1"/>
  <c r="X1286" i="1" s="1"/>
  <c r="V1287" i="1"/>
  <c r="X1287" i="1" s="1"/>
  <c r="V1288" i="1"/>
  <c r="X1288" i="1" s="1"/>
  <c r="V1289" i="1"/>
  <c r="X1289" i="1" s="1"/>
  <c r="V1290" i="1"/>
  <c r="X1290" i="1" s="1"/>
  <c r="V1291" i="1"/>
  <c r="X1291" i="1" s="1"/>
  <c r="V1292" i="1"/>
  <c r="X1292" i="1" s="1"/>
  <c r="V1293" i="1"/>
  <c r="X1293" i="1" s="1"/>
  <c r="V1294" i="1"/>
  <c r="X1294" i="1" s="1"/>
  <c r="V1295" i="1"/>
  <c r="X1295" i="1" s="1"/>
  <c r="V1296" i="1"/>
  <c r="X1296" i="1" s="1"/>
  <c r="V1297" i="1"/>
  <c r="X1297" i="1" s="1"/>
  <c r="V1298" i="1"/>
  <c r="X1298" i="1" s="1"/>
  <c r="V1299" i="1"/>
  <c r="X1299" i="1" s="1"/>
  <c r="V1300" i="1"/>
  <c r="X1300" i="1" s="1"/>
  <c r="V1301" i="1"/>
  <c r="X1301" i="1" s="1"/>
  <c r="V1302" i="1"/>
  <c r="X1302" i="1" s="1"/>
  <c r="V1303" i="1"/>
  <c r="X1303" i="1" s="1"/>
  <c r="V1304" i="1"/>
  <c r="X1304" i="1" s="1"/>
  <c r="V1305" i="1"/>
  <c r="X1305" i="1" s="1"/>
  <c r="V1306" i="1"/>
  <c r="X1306" i="1" s="1"/>
  <c r="V1307" i="1"/>
  <c r="X1307" i="1" s="1"/>
  <c r="V1308" i="1"/>
  <c r="X1308" i="1" s="1"/>
  <c r="V1309" i="1"/>
  <c r="X1309" i="1" s="1"/>
  <c r="V1310" i="1"/>
  <c r="X1310" i="1" s="1"/>
  <c r="V1311" i="1"/>
  <c r="X1311" i="1" s="1"/>
  <c r="V1312" i="1"/>
  <c r="X1312" i="1" s="1"/>
  <c r="V1313" i="1"/>
  <c r="X1313" i="1" s="1"/>
  <c r="V1314" i="1"/>
  <c r="X1314" i="1" s="1"/>
  <c r="V1315" i="1"/>
  <c r="X1315" i="1" s="1"/>
  <c r="V1316" i="1"/>
  <c r="X1316" i="1" s="1"/>
  <c r="V1317" i="1"/>
  <c r="X1317" i="1" s="1"/>
  <c r="V1318" i="1"/>
  <c r="X1318" i="1" s="1"/>
  <c r="V1319" i="1"/>
  <c r="X1319" i="1" s="1"/>
  <c r="V1320" i="1"/>
  <c r="X1320" i="1" s="1"/>
  <c r="V1321" i="1"/>
  <c r="X1321" i="1" s="1"/>
  <c r="V1322" i="1"/>
  <c r="X1322" i="1" s="1"/>
  <c r="V1323" i="1"/>
  <c r="X1323" i="1" s="1"/>
  <c r="V1324" i="1"/>
  <c r="X1324" i="1" s="1"/>
  <c r="V1325" i="1"/>
  <c r="X1325" i="1" s="1"/>
  <c r="V1326" i="1"/>
  <c r="X1326" i="1" s="1"/>
  <c r="V1327" i="1"/>
  <c r="X1327" i="1" s="1"/>
  <c r="V1328" i="1"/>
  <c r="X1328" i="1" s="1"/>
  <c r="V1329" i="1"/>
  <c r="X1329" i="1" s="1"/>
  <c r="V1330" i="1"/>
  <c r="X1330" i="1" s="1"/>
  <c r="V1331" i="1"/>
  <c r="X1331" i="1" s="1"/>
  <c r="V1332" i="1"/>
  <c r="X1332" i="1" s="1"/>
  <c r="V1333" i="1"/>
  <c r="X1333" i="1" s="1"/>
  <c r="V1334" i="1"/>
  <c r="X1334" i="1" s="1"/>
  <c r="V1335" i="1"/>
  <c r="X1335" i="1" s="1"/>
  <c r="V1336" i="1"/>
  <c r="X1336" i="1" s="1"/>
  <c r="V1337" i="1"/>
  <c r="X1337" i="1" s="1"/>
  <c r="V1338" i="1"/>
  <c r="X1338" i="1" s="1"/>
  <c r="V1339" i="1"/>
  <c r="X1339" i="1" s="1"/>
  <c r="V1340" i="1"/>
  <c r="X1340" i="1" s="1"/>
  <c r="V1341" i="1"/>
  <c r="X1341" i="1" s="1"/>
  <c r="V1342" i="1"/>
  <c r="X1342" i="1" s="1"/>
  <c r="V1343" i="1"/>
  <c r="X1343" i="1" s="1"/>
  <c r="V1344" i="1"/>
  <c r="X1344" i="1" s="1"/>
  <c r="V1345" i="1"/>
  <c r="X1345" i="1" s="1"/>
  <c r="V1346" i="1"/>
  <c r="X1346" i="1" s="1"/>
  <c r="V1347" i="1"/>
  <c r="X1347" i="1" s="1"/>
  <c r="V1348" i="1"/>
  <c r="X1348" i="1" s="1"/>
  <c r="V1349" i="1"/>
  <c r="X1349" i="1" s="1"/>
  <c r="V1350" i="1"/>
  <c r="X1350" i="1" s="1"/>
  <c r="V1351" i="1"/>
  <c r="X1351" i="1" s="1"/>
  <c r="V1352" i="1"/>
  <c r="X1352" i="1" s="1"/>
  <c r="V1353" i="1"/>
  <c r="X1353" i="1" s="1"/>
  <c r="V1354" i="1"/>
  <c r="X1354" i="1" s="1"/>
  <c r="V1355" i="1"/>
  <c r="X1355" i="1" s="1"/>
  <c r="V1356" i="1"/>
  <c r="X1356" i="1" s="1"/>
  <c r="V1357" i="1"/>
  <c r="X1357" i="1" s="1"/>
  <c r="V1358" i="1"/>
  <c r="X1358" i="1" s="1"/>
  <c r="V1359" i="1"/>
  <c r="X1359" i="1" s="1"/>
  <c r="V1360" i="1"/>
  <c r="X1360" i="1" s="1"/>
  <c r="V1361" i="1"/>
  <c r="X1361" i="1" s="1"/>
  <c r="V1362" i="1"/>
  <c r="X1362" i="1" s="1"/>
  <c r="V1363" i="1"/>
  <c r="X1363" i="1" s="1"/>
  <c r="V1364" i="1"/>
  <c r="X1364" i="1" s="1"/>
  <c r="V1365" i="1"/>
  <c r="X1365" i="1" s="1"/>
  <c r="V1366" i="1"/>
  <c r="X1366" i="1" s="1"/>
  <c r="V1367" i="1"/>
  <c r="X1367" i="1" s="1"/>
  <c r="V1368" i="1"/>
  <c r="X1368" i="1" s="1"/>
  <c r="V1369" i="1"/>
  <c r="X1369" i="1" s="1"/>
  <c r="V1370" i="1"/>
  <c r="X1370" i="1" s="1"/>
  <c r="V1371" i="1"/>
  <c r="X1371" i="1" s="1"/>
  <c r="V1372" i="1"/>
  <c r="X1372" i="1" s="1"/>
  <c r="V1373" i="1"/>
  <c r="X1373" i="1" s="1"/>
  <c r="V1374" i="1"/>
  <c r="X1374" i="1" s="1"/>
  <c r="V1375" i="1"/>
  <c r="X1375" i="1" s="1"/>
  <c r="V1376" i="1"/>
  <c r="X1376" i="1" s="1"/>
  <c r="V1377" i="1"/>
  <c r="X1377" i="1" s="1"/>
  <c r="V1378" i="1"/>
  <c r="X1378" i="1" s="1"/>
  <c r="V1379" i="1"/>
  <c r="X1379" i="1" s="1"/>
  <c r="V1380" i="1"/>
  <c r="X1380" i="1" s="1"/>
  <c r="V1381" i="1"/>
  <c r="X1381" i="1" s="1"/>
  <c r="V1382" i="1"/>
  <c r="X1382" i="1" s="1"/>
  <c r="V1383" i="1"/>
  <c r="X1383" i="1" s="1"/>
  <c r="V1384" i="1"/>
  <c r="X1384" i="1" s="1"/>
  <c r="V1385" i="1"/>
  <c r="X1385" i="1" s="1"/>
  <c r="V1386" i="1"/>
  <c r="X1386" i="1" s="1"/>
  <c r="S1270" i="1"/>
  <c r="U1270" i="1" s="1"/>
  <c r="S1271" i="1"/>
  <c r="U1271" i="1" s="1"/>
  <c r="S1272" i="1"/>
  <c r="U1272" i="1" s="1"/>
  <c r="S1273" i="1"/>
  <c r="U1273" i="1" s="1"/>
  <c r="S1274" i="1"/>
  <c r="U1274" i="1" s="1"/>
  <c r="S1275" i="1"/>
  <c r="U1275" i="1" s="1"/>
  <c r="S1276" i="1"/>
  <c r="U1276" i="1" s="1"/>
  <c r="S1277" i="1"/>
  <c r="U1277" i="1" s="1"/>
  <c r="S1278" i="1"/>
  <c r="U1278" i="1" s="1"/>
  <c r="S1279" i="1"/>
  <c r="U1279" i="1" s="1"/>
  <c r="S1280" i="1"/>
  <c r="U1280" i="1" s="1"/>
  <c r="S1281" i="1"/>
  <c r="U1281" i="1" s="1"/>
  <c r="S1282" i="1"/>
  <c r="U1282" i="1" s="1"/>
  <c r="S1283" i="1"/>
  <c r="U1283" i="1" s="1"/>
  <c r="S1284" i="1"/>
  <c r="U1284" i="1" s="1"/>
  <c r="S1285" i="1"/>
  <c r="U1285" i="1" s="1"/>
  <c r="S1286" i="1"/>
  <c r="U1286" i="1" s="1"/>
  <c r="S1287" i="1"/>
  <c r="U1287" i="1" s="1"/>
  <c r="S1288" i="1"/>
  <c r="U1288" i="1" s="1"/>
  <c r="S1289" i="1"/>
  <c r="U1289" i="1" s="1"/>
  <c r="S1290" i="1"/>
  <c r="U1290" i="1" s="1"/>
  <c r="S1291" i="1"/>
  <c r="U1291" i="1" s="1"/>
  <c r="S1292" i="1"/>
  <c r="U1292" i="1" s="1"/>
  <c r="S1293" i="1"/>
  <c r="U1293" i="1" s="1"/>
  <c r="S1294" i="1"/>
  <c r="U1294" i="1" s="1"/>
  <c r="S1295" i="1"/>
  <c r="U1295" i="1" s="1"/>
  <c r="S1296" i="1"/>
  <c r="U1296" i="1" s="1"/>
  <c r="S1297" i="1"/>
  <c r="U1297" i="1" s="1"/>
  <c r="S1298" i="1"/>
  <c r="U1298" i="1" s="1"/>
  <c r="S1299" i="1"/>
  <c r="U1299" i="1" s="1"/>
  <c r="S1300" i="1"/>
  <c r="U1300" i="1" s="1"/>
  <c r="S1301" i="1"/>
  <c r="U1301" i="1" s="1"/>
  <c r="S1302" i="1"/>
  <c r="U1302" i="1" s="1"/>
  <c r="S1303" i="1"/>
  <c r="U1303" i="1" s="1"/>
  <c r="S1304" i="1"/>
  <c r="U1304" i="1" s="1"/>
  <c r="S1305" i="1"/>
  <c r="U1305" i="1" s="1"/>
  <c r="S1306" i="1"/>
  <c r="U1306" i="1" s="1"/>
  <c r="S1307" i="1"/>
  <c r="U1307" i="1" s="1"/>
  <c r="S1308" i="1"/>
  <c r="U1308" i="1" s="1"/>
  <c r="S1309" i="1"/>
  <c r="U1309" i="1" s="1"/>
  <c r="S1310" i="1"/>
  <c r="U1310" i="1" s="1"/>
  <c r="S1311" i="1"/>
  <c r="U1311" i="1" s="1"/>
  <c r="S1312" i="1"/>
  <c r="U1312" i="1" s="1"/>
  <c r="S1313" i="1"/>
  <c r="U1313" i="1" s="1"/>
  <c r="S1314" i="1"/>
  <c r="U1314" i="1" s="1"/>
  <c r="S1315" i="1"/>
  <c r="U1315" i="1" s="1"/>
  <c r="S1316" i="1"/>
  <c r="U1316" i="1" s="1"/>
  <c r="S1317" i="1"/>
  <c r="U1317" i="1" s="1"/>
  <c r="S1318" i="1"/>
  <c r="U1318" i="1" s="1"/>
  <c r="S1319" i="1"/>
  <c r="U1319" i="1" s="1"/>
  <c r="S1320" i="1"/>
  <c r="U1320" i="1" s="1"/>
  <c r="S1321" i="1"/>
  <c r="U1321" i="1" s="1"/>
  <c r="S1322" i="1"/>
  <c r="U1322" i="1" s="1"/>
  <c r="S1323" i="1"/>
  <c r="U1323" i="1" s="1"/>
  <c r="S1324" i="1"/>
  <c r="U1324" i="1" s="1"/>
  <c r="S1325" i="1"/>
  <c r="U1325" i="1" s="1"/>
  <c r="S1326" i="1"/>
  <c r="U1326" i="1" s="1"/>
  <c r="S1327" i="1"/>
  <c r="U1327" i="1" s="1"/>
  <c r="S1328" i="1"/>
  <c r="U1328" i="1" s="1"/>
  <c r="S1329" i="1"/>
  <c r="U1329" i="1" s="1"/>
  <c r="S1330" i="1"/>
  <c r="U1330" i="1" s="1"/>
  <c r="S1331" i="1"/>
  <c r="U1331" i="1" s="1"/>
  <c r="S1332" i="1"/>
  <c r="U1332" i="1" s="1"/>
  <c r="S1333" i="1"/>
  <c r="U1333" i="1" s="1"/>
  <c r="S1334" i="1"/>
  <c r="U1334" i="1" s="1"/>
  <c r="S1335" i="1"/>
  <c r="U1335" i="1" s="1"/>
  <c r="S1336" i="1"/>
  <c r="U1336" i="1" s="1"/>
  <c r="S1337" i="1"/>
  <c r="U1337" i="1" s="1"/>
  <c r="S1338" i="1"/>
  <c r="U1338" i="1" s="1"/>
  <c r="S1339" i="1"/>
  <c r="U1339" i="1" s="1"/>
  <c r="S1340" i="1"/>
  <c r="U1340" i="1" s="1"/>
  <c r="S1341" i="1"/>
  <c r="U1341" i="1" s="1"/>
  <c r="S1342" i="1"/>
  <c r="U1342" i="1" s="1"/>
  <c r="S1343" i="1"/>
  <c r="U1343" i="1" s="1"/>
  <c r="S1344" i="1"/>
  <c r="U1344" i="1" s="1"/>
  <c r="S1345" i="1"/>
  <c r="U1345" i="1" s="1"/>
  <c r="S1346" i="1"/>
  <c r="U1346" i="1" s="1"/>
  <c r="S1347" i="1"/>
  <c r="U1347" i="1" s="1"/>
  <c r="S1348" i="1"/>
  <c r="U1348" i="1" s="1"/>
  <c r="S1349" i="1"/>
  <c r="U1349" i="1" s="1"/>
  <c r="S1350" i="1"/>
  <c r="U1350" i="1" s="1"/>
  <c r="S1351" i="1"/>
  <c r="U1351" i="1" s="1"/>
  <c r="S1352" i="1"/>
  <c r="U1352" i="1" s="1"/>
  <c r="S1353" i="1"/>
  <c r="U1353" i="1" s="1"/>
  <c r="S1354" i="1"/>
  <c r="U1354" i="1" s="1"/>
  <c r="S1355" i="1"/>
  <c r="U1355" i="1" s="1"/>
  <c r="S1356" i="1"/>
  <c r="U1356" i="1" s="1"/>
  <c r="S1357" i="1"/>
  <c r="U1357" i="1" s="1"/>
  <c r="S1358" i="1"/>
  <c r="U1358" i="1" s="1"/>
  <c r="S1359" i="1"/>
  <c r="U1359" i="1" s="1"/>
  <c r="S1360" i="1"/>
  <c r="U1360" i="1" s="1"/>
  <c r="S1361" i="1"/>
  <c r="U1361" i="1" s="1"/>
  <c r="S1362" i="1"/>
  <c r="U1362" i="1" s="1"/>
  <c r="S1363" i="1"/>
  <c r="U1363" i="1" s="1"/>
  <c r="S1364" i="1"/>
  <c r="U1364" i="1" s="1"/>
  <c r="S1365" i="1"/>
  <c r="U1365" i="1" s="1"/>
  <c r="S1366" i="1"/>
  <c r="U1366" i="1" s="1"/>
  <c r="S1367" i="1"/>
  <c r="U1367" i="1" s="1"/>
  <c r="S1368" i="1"/>
  <c r="U1368" i="1" s="1"/>
  <c r="S1369" i="1"/>
  <c r="U1369" i="1" s="1"/>
  <c r="S1370" i="1"/>
  <c r="U1370" i="1" s="1"/>
  <c r="S1371" i="1"/>
  <c r="U1371" i="1" s="1"/>
  <c r="S1372" i="1"/>
  <c r="U1372" i="1" s="1"/>
  <c r="S1373" i="1"/>
  <c r="U1373" i="1" s="1"/>
  <c r="S1374" i="1"/>
  <c r="U1374" i="1" s="1"/>
  <c r="S1375" i="1"/>
  <c r="U1375" i="1" s="1"/>
  <c r="S1376" i="1"/>
  <c r="U1376" i="1" s="1"/>
  <c r="S1377" i="1"/>
  <c r="U1377" i="1" s="1"/>
  <c r="S1378" i="1"/>
  <c r="U1378" i="1" s="1"/>
  <c r="S1379" i="1"/>
  <c r="U1379" i="1" s="1"/>
  <c r="S1380" i="1"/>
  <c r="U1380" i="1" s="1"/>
  <c r="S1381" i="1"/>
  <c r="U1381" i="1" s="1"/>
  <c r="S1382" i="1"/>
  <c r="U1382" i="1" s="1"/>
  <c r="S1383" i="1"/>
  <c r="U1383" i="1" s="1"/>
  <c r="S1384" i="1"/>
  <c r="U1384" i="1" s="1"/>
  <c r="S1385" i="1"/>
  <c r="U1385" i="1" s="1"/>
  <c r="S1386" i="1"/>
  <c r="U1386" i="1" s="1"/>
  <c r="P1270" i="1"/>
  <c r="R1270" i="1" s="1"/>
  <c r="P1271" i="1"/>
  <c r="R1271" i="1" s="1"/>
  <c r="P1272" i="1"/>
  <c r="R1272" i="1" s="1"/>
  <c r="P1273" i="1"/>
  <c r="R1273" i="1" s="1"/>
  <c r="P1274" i="1"/>
  <c r="R1274" i="1" s="1"/>
  <c r="P1275" i="1"/>
  <c r="R1275" i="1" s="1"/>
  <c r="P1276" i="1"/>
  <c r="R1276" i="1" s="1"/>
  <c r="P1277" i="1"/>
  <c r="R1277" i="1" s="1"/>
  <c r="P1278" i="1"/>
  <c r="R1278" i="1" s="1"/>
  <c r="P1279" i="1"/>
  <c r="R1279" i="1" s="1"/>
  <c r="P1280" i="1"/>
  <c r="R1280" i="1" s="1"/>
  <c r="P1281" i="1"/>
  <c r="R1281" i="1" s="1"/>
  <c r="P1282" i="1"/>
  <c r="R1282" i="1" s="1"/>
  <c r="P1283" i="1"/>
  <c r="R1283" i="1" s="1"/>
  <c r="P1284" i="1"/>
  <c r="R1284" i="1" s="1"/>
  <c r="P1285" i="1"/>
  <c r="R1285" i="1" s="1"/>
  <c r="P1286" i="1"/>
  <c r="R1286" i="1" s="1"/>
  <c r="P1287" i="1"/>
  <c r="R1287" i="1" s="1"/>
  <c r="P1288" i="1"/>
  <c r="R1288" i="1" s="1"/>
  <c r="P1289" i="1"/>
  <c r="R1289" i="1" s="1"/>
  <c r="P1290" i="1"/>
  <c r="R1290" i="1" s="1"/>
  <c r="P1291" i="1"/>
  <c r="R1291" i="1" s="1"/>
  <c r="P1292" i="1"/>
  <c r="R1292" i="1" s="1"/>
  <c r="P1293" i="1"/>
  <c r="R1293" i="1" s="1"/>
  <c r="P1294" i="1"/>
  <c r="R1294" i="1" s="1"/>
  <c r="P1295" i="1"/>
  <c r="R1295" i="1" s="1"/>
  <c r="P1296" i="1"/>
  <c r="R1296" i="1" s="1"/>
  <c r="P1297" i="1"/>
  <c r="R1297" i="1" s="1"/>
  <c r="P1298" i="1"/>
  <c r="R1298" i="1" s="1"/>
  <c r="P1299" i="1"/>
  <c r="R1299" i="1" s="1"/>
  <c r="P1300" i="1"/>
  <c r="R1300" i="1" s="1"/>
  <c r="P1301" i="1"/>
  <c r="R1301" i="1" s="1"/>
  <c r="P1302" i="1"/>
  <c r="R1302" i="1" s="1"/>
  <c r="P1303" i="1"/>
  <c r="R1303" i="1" s="1"/>
  <c r="P1304" i="1"/>
  <c r="R1304" i="1" s="1"/>
  <c r="P1305" i="1"/>
  <c r="R1305" i="1" s="1"/>
  <c r="P1306" i="1"/>
  <c r="R1306" i="1" s="1"/>
  <c r="P1307" i="1"/>
  <c r="R1307" i="1" s="1"/>
  <c r="P1308" i="1"/>
  <c r="R1308" i="1" s="1"/>
  <c r="P1309" i="1"/>
  <c r="R1309" i="1" s="1"/>
  <c r="P1310" i="1"/>
  <c r="R1310" i="1" s="1"/>
  <c r="P1311" i="1"/>
  <c r="R1311" i="1" s="1"/>
  <c r="P1312" i="1"/>
  <c r="R1312" i="1" s="1"/>
  <c r="P1313" i="1"/>
  <c r="R1313" i="1" s="1"/>
  <c r="P1314" i="1"/>
  <c r="R1314" i="1" s="1"/>
  <c r="P1315" i="1"/>
  <c r="R1315" i="1" s="1"/>
  <c r="P1316" i="1"/>
  <c r="R1316" i="1" s="1"/>
  <c r="P1317" i="1"/>
  <c r="R1317" i="1" s="1"/>
  <c r="P1318" i="1"/>
  <c r="R1318" i="1" s="1"/>
  <c r="P1319" i="1"/>
  <c r="R1319" i="1" s="1"/>
  <c r="P1320" i="1"/>
  <c r="R1320" i="1" s="1"/>
  <c r="P1321" i="1"/>
  <c r="R1321" i="1" s="1"/>
  <c r="P1322" i="1"/>
  <c r="R1322" i="1" s="1"/>
  <c r="P1323" i="1"/>
  <c r="R1323" i="1" s="1"/>
  <c r="P1324" i="1"/>
  <c r="R1324" i="1" s="1"/>
  <c r="P1325" i="1"/>
  <c r="R1325" i="1" s="1"/>
  <c r="P1326" i="1"/>
  <c r="R1326" i="1" s="1"/>
  <c r="P1327" i="1"/>
  <c r="R1327" i="1" s="1"/>
  <c r="P1328" i="1"/>
  <c r="R1328" i="1" s="1"/>
  <c r="P1329" i="1"/>
  <c r="R1329" i="1" s="1"/>
  <c r="P1330" i="1"/>
  <c r="R1330" i="1" s="1"/>
  <c r="P1331" i="1"/>
  <c r="R1331" i="1" s="1"/>
  <c r="P1332" i="1"/>
  <c r="R1332" i="1" s="1"/>
  <c r="P1333" i="1"/>
  <c r="R1333" i="1" s="1"/>
  <c r="P1334" i="1"/>
  <c r="R1334" i="1" s="1"/>
  <c r="P1335" i="1"/>
  <c r="R1335" i="1" s="1"/>
  <c r="P1336" i="1"/>
  <c r="R1336" i="1" s="1"/>
  <c r="P1337" i="1"/>
  <c r="R1337" i="1" s="1"/>
  <c r="P1338" i="1"/>
  <c r="R1338" i="1" s="1"/>
  <c r="P1339" i="1"/>
  <c r="R1339" i="1" s="1"/>
  <c r="P1340" i="1"/>
  <c r="R1340" i="1" s="1"/>
  <c r="P1341" i="1"/>
  <c r="R1341" i="1" s="1"/>
  <c r="P1342" i="1"/>
  <c r="R1342" i="1" s="1"/>
  <c r="P1343" i="1"/>
  <c r="R1343" i="1" s="1"/>
  <c r="P1344" i="1"/>
  <c r="R1344" i="1" s="1"/>
  <c r="P1345" i="1"/>
  <c r="R1345" i="1" s="1"/>
  <c r="P1346" i="1"/>
  <c r="R1346" i="1" s="1"/>
  <c r="P1347" i="1"/>
  <c r="R1347" i="1" s="1"/>
  <c r="P1348" i="1"/>
  <c r="R1348" i="1" s="1"/>
  <c r="P1349" i="1"/>
  <c r="R1349" i="1" s="1"/>
  <c r="P1350" i="1"/>
  <c r="R1350" i="1" s="1"/>
  <c r="P1351" i="1"/>
  <c r="R1351" i="1" s="1"/>
  <c r="P1352" i="1"/>
  <c r="R1352" i="1" s="1"/>
  <c r="P1353" i="1"/>
  <c r="R1353" i="1" s="1"/>
  <c r="P1354" i="1"/>
  <c r="R1354" i="1" s="1"/>
  <c r="P1355" i="1"/>
  <c r="R1355" i="1" s="1"/>
  <c r="P1356" i="1"/>
  <c r="R1356" i="1" s="1"/>
  <c r="P1357" i="1"/>
  <c r="R1357" i="1" s="1"/>
  <c r="P1358" i="1"/>
  <c r="R1358" i="1" s="1"/>
  <c r="P1359" i="1"/>
  <c r="R1359" i="1" s="1"/>
  <c r="P1360" i="1"/>
  <c r="R1360" i="1" s="1"/>
  <c r="P1361" i="1"/>
  <c r="R1361" i="1" s="1"/>
  <c r="P1362" i="1"/>
  <c r="R1362" i="1" s="1"/>
  <c r="P1363" i="1"/>
  <c r="R1363" i="1" s="1"/>
  <c r="P1364" i="1"/>
  <c r="R1364" i="1" s="1"/>
  <c r="P1365" i="1"/>
  <c r="R1365" i="1" s="1"/>
  <c r="P1366" i="1"/>
  <c r="R1366" i="1" s="1"/>
  <c r="P1367" i="1"/>
  <c r="R1367" i="1" s="1"/>
  <c r="P1368" i="1"/>
  <c r="R1368" i="1" s="1"/>
  <c r="P1369" i="1"/>
  <c r="R1369" i="1" s="1"/>
  <c r="P1370" i="1"/>
  <c r="R1370" i="1" s="1"/>
  <c r="P1371" i="1"/>
  <c r="R1371" i="1" s="1"/>
  <c r="P1372" i="1"/>
  <c r="R1372" i="1" s="1"/>
  <c r="P1373" i="1"/>
  <c r="R1373" i="1" s="1"/>
  <c r="P1374" i="1"/>
  <c r="R1374" i="1" s="1"/>
  <c r="P1375" i="1"/>
  <c r="R1375" i="1" s="1"/>
  <c r="P1376" i="1"/>
  <c r="R1376" i="1" s="1"/>
  <c r="P1377" i="1"/>
  <c r="R1377" i="1" s="1"/>
  <c r="P1378" i="1"/>
  <c r="R1378" i="1" s="1"/>
  <c r="P1379" i="1"/>
  <c r="R1379" i="1" s="1"/>
  <c r="P1380" i="1"/>
  <c r="R1380" i="1" s="1"/>
  <c r="P1381" i="1"/>
  <c r="R1381" i="1" s="1"/>
  <c r="P1382" i="1"/>
  <c r="R1382" i="1" s="1"/>
  <c r="P1383" i="1"/>
  <c r="R1383" i="1" s="1"/>
  <c r="P1384" i="1"/>
  <c r="R1384" i="1" s="1"/>
  <c r="P1385" i="1"/>
  <c r="R1385" i="1" s="1"/>
  <c r="P1386" i="1"/>
  <c r="R1386" i="1" s="1"/>
  <c r="M1270" i="1"/>
  <c r="O1365" i="1" s="1"/>
  <c r="M1271" i="1"/>
  <c r="O1366" i="1" s="1"/>
  <c r="M1272" i="1"/>
  <c r="O1367" i="1" s="1"/>
  <c r="M1273" i="1"/>
  <c r="O1368" i="1" s="1"/>
  <c r="M1274" i="1"/>
  <c r="O1369" i="1" s="1"/>
  <c r="M1275" i="1"/>
  <c r="O1370" i="1" s="1"/>
  <c r="M1276" i="1"/>
  <c r="O1371" i="1" s="1"/>
  <c r="M1277" i="1"/>
  <c r="O1372" i="1" s="1"/>
  <c r="M1278" i="1"/>
  <c r="O1373" i="1" s="1"/>
  <c r="M1279" i="1"/>
  <c r="O1374" i="1" s="1"/>
  <c r="M1280" i="1"/>
  <c r="O1375" i="1" s="1"/>
  <c r="M1281" i="1"/>
  <c r="O1376" i="1" s="1"/>
  <c r="M1282" i="1"/>
  <c r="O1377" i="1" s="1"/>
  <c r="M1283" i="1"/>
  <c r="O1378" i="1" s="1"/>
  <c r="M1284" i="1"/>
  <c r="O1379" i="1" s="1"/>
  <c r="M1285" i="1"/>
  <c r="O1380" i="1" s="1"/>
  <c r="M1286" i="1"/>
  <c r="O1381" i="1" s="1"/>
  <c r="M1287" i="1"/>
  <c r="O1382" i="1" s="1"/>
  <c r="M1288" i="1"/>
  <c r="O1383" i="1" s="1"/>
  <c r="M1289" i="1"/>
  <c r="O1384" i="1" s="1"/>
  <c r="M1290" i="1"/>
  <c r="O1385" i="1" s="1"/>
  <c r="M1291" i="1"/>
  <c r="O1386" i="1" s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J1270" i="1"/>
  <c r="L1270" i="1" s="1"/>
  <c r="J1271" i="1"/>
  <c r="L1271" i="1" s="1"/>
  <c r="J1272" i="1"/>
  <c r="L1272" i="1" s="1"/>
  <c r="J1273" i="1"/>
  <c r="L1273" i="1" s="1"/>
  <c r="J1274" i="1"/>
  <c r="L1274" i="1" s="1"/>
  <c r="J1275" i="1"/>
  <c r="L1275" i="1" s="1"/>
  <c r="J1276" i="1"/>
  <c r="L1276" i="1" s="1"/>
  <c r="J1277" i="1"/>
  <c r="L1277" i="1" s="1"/>
  <c r="J1278" i="1"/>
  <c r="L1278" i="1" s="1"/>
  <c r="J1279" i="1"/>
  <c r="L1279" i="1" s="1"/>
  <c r="J1280" i="1"/>
  <c r="L1280" i="1" s="1"/>
  <c r="J1281" i="1"/>
  <c r="L1281" i="1" s="1"/>
  <c r="J1282" i="1"/>
  <c r="L1282" i="1" s="1"/>
  <c r="J1283" i="1"/>
  <c r="L1283" i="1" s="1"/>
  <c r="J1284" i="1"/>
  <c r="L1284" i="1" s="1"/>
  <c r="J1285" i="1"/>
  <c r="L1285" i="1" s="1"/>
  <c r="J1286" i="1"/>
  <c r="L1286" i="1" s="1"/>
  <c r="J1287" i="1"/>
  <c r="L1287" i="1" s="1"/>
  <c r="J1288" i="1"/>
  <c r="L1288" i="1" s="1"/>
  <c r="J1289" i="1"/>
  <c r="L1289" i="1" s="1"/>
  <c r="J1290" i="1"/>
  <c r="L1290" i="1" s="1"/>
  <c r="J1291" i="1"/>
  <c r="L1291" i="1" s="1"/>
  <c r="J1292" i="1"/>
  <c r="L1292" i="1" s="1"/>
  <c r="J1293" i="1"/>
  <c r="L1293" i="1" s="1"/>
  <c r="J1294" i="1"/>
  <c r="L1294" i="1" s="1"/>
  <c r="J1295" i="1"/>
  <c r="L1295" i="1" s="1"/>
  <c r="J1296" i="1"/>
  <c r="L1296" i="1" s="1"/>
  <c r="J1297" i="1"/>
  <c r="L1297" i="1" s="1"/>
  <c r="J1298" i="1"/>
  <c r="L1298" i="1" s="1"/>
  <c r="J1299" i="1"/>
  <c r="L1299" i="1" s="1"/>
  <c r="J1300" i="1"/>
  <c r="L1300" i="1" s="1"/>
  <c r="J1301" i="1"/>
  <c r="L1301" i="1" s="1"/>
  <c r="J1302" i="1"/>
  <c r="L1302" i="1" s="1"/>
  <c r="J1303" i="1"/>
  <c r="L1303" i="1" s="1"/>
  <c r="J1304" i="1"/>
  <c r="L1304" i="1" s="1"/>
  <c r="J1305" i="1"/>
  <c r="L1305" i="1" s="1"/>
  <c r="J1306" i="1"/>
  <c r="L1306" i="1" s="1"/>
  <c r="J1307" i="1"/>
  <c r="L1307" i="1" s="1"/>
  <c r="J1308" i="1"/>
  <c r="L1308" i="1" s="1"/>
  <c r="J1309" i="1"/>
  <c r="L1309" i="1" s="1"/>
  <c r="J1310" i="1"/>
  <c r="L1310" i="1" s="1"/>
  <c r="J1311" i="1"/>
  <c r="L1311" i="1" s="1"/>
  <c r="J1312" i="1"/>
  <c r="L1312" i="1" s="1"/>
  <c r="J1313" i="1"/>
  <c r="L1313" i="1" s="1"/>
  <c r="J1314" i="1"/>
  <c r="L1314" i="1" s="1"/>
  <c r="J1315" i="1"/>
  <c r="L1315" i="1" s="1"/>
  <c r="J1316" i="1"/>
  <c r="L1316" i="1" s="1"/>
  <c r="J1317" i="1"/>
  <c r="L1317" i="1" s="1"/>
  <c r="J1318" i="1"/>
  <c r="L1318" i="1" s="1"/>
  <c r="J1319" i="1"/>
  <c r="L1319" i="1" s="1"/>
  <c r="J1320" i="1"/>
  <c r="L1320" i="1" s="1"/>
  <c r="J1321" i="1"/>
  <c r="L1321" i="1" s="1"/>
  <c r="J1322" i="1"/>
  <c r="L1322" i="1" s="1"/>
  <c r="J1323" i="1"/>
  <c r="L1323" i="1" s="1"/>
  <c r="J1324" i="1"/>
  <c r="L1324" i="1" s="1"/>
  <c r="J1325" i="1"/>
  <c r="L1325" i="1" s="1"/>
  <c r="J1326" i="1"/>
  <c r="L1326" i="1" s="1"/>
  <c r="J1327" i="1"/>
  <c r="L1327" i="1" s="1"/>
  <c r="J1328" i="1"/>
  <c r="L1328" i="1" s="1"/>
  <c r="J1329" i="1"/>
  <c r="L1329" i="1" s="1"/>
  <c r="J1330" i="1"/>
  <c r="L1330" i="1" s="1"/>
  <c r="J1331" i="1"/>
  <c r="L1331" i="1" s="1"/>
  <c r="J1332" i="1"/>
  <c r="L1332" i="1" s="1"/>
  <c r="J1333" i="1"/>
  <c r="L1333" i="1" s="1"/>
  <c r="J1334" i="1"/>
  <c r="L1334" i="1" s="1"/>
  <c r="J1335" i="1"/>
  <c r="L1335" i="1" s="1"/>
  <c r="J1336" i="1"/>
  <c r="L1336" i="1" s="1"/>
  <c r="J1337" i="1"/>
  <c r="L1337" i="1" s="1"/>
  <c r="J1338" i="1"/>
  <c r="L1338" i="1" s="1"/>
  <c r="J1339" i="1"/>
  <c r="L1339" i="1" s="1"/>
  <c r="J1340" i="1"/>
  <c r="L1340" i="1" s="1"/>
  <c r="J1341" i="1"/>
  <c r="L1341" i="1" s="1"/>
  <c r="J1342" i="1"/>
  <c r="L1342" i="1" s="1"/>
  <c r="J1343" i="1"/>
  <c r="L1343" i="1" s="1"/>
  <c r="J1344" i="1"/>
  <c r="L1344" i="1" s="1"/>
  <c r="J1345" i="1"/>
  <c r="L1345" i="1" s="1"/>
  <c r="J1346" i="1"/>
  <c r="L1346" i="1" s="1"/>
  <c r="J1347" i="1"/>
  <c r="L1347" i="1" s="1"/>
  <c r="J1348" i="1"/>
  <c r="L1348" i="1" s="1"/>
  <c r="J1349" i="1"/>
  <c r="L1349" i="1" s="1"/>
  <c r="J1350" i="1"/>
  <c r="L1350" i="1" s="1"/>
  <c r="J1351" i="1"/>
  <c r="L1351" i="1" s="1"/>
  <c r="J1352" i="1"/>
  <c r="L1352" i="1" s="1"/>
  <c r="J1353" i="1"/>
  <c r="L1353" i="1" s="1"/>
  <c r="J1354" i="1"/>
  <c r="L1354" i="1" s="1"/>
  <c r="J1355" i="1"/>
  <c r="L1355" i="1" s="1"/>
  <c r="J1356" i="1"/>
  <c r="L1356" i="1" s="1"/>
  <c r="J1357" i="1"/>
  <c r="L1357" i="1" s="1"/>
  <c r="J1358" i="1"/>
  <c r="L1358" i="1" s="1"/>
  <c r="J1359" i="1"/>
  <c r="L1359" i="1" s="1"/>
  <c r="J1360" i="1"/>
  <c r="L1360" i="1" s="1"/>
  <c r="J1361" i="1"/>
  <c r="L1361" i="1" s="1"/>
  <c r="J1362" i="1"/>
  <c r="L1362" i="1" s="1"/>
  <c r="J1363" i="1"/>
  <c r="L1363" i="1" s="1"/>
  <c r="J1364" i="1"/>
  <c r="L1364" i="1" s="1"/>
  <c r="J1365" i="1"/>
  <c r="L1365" i="1" s="1"/>
  <c r="J1366" i="1"/>
  <c r="L1366" i="1" s="1"/>
  <c r="J1367" i="1"/>
  <c r="L1367" i="1" s="1"/>
  <c r="J1368" i="1"/>
  <c r="L1368" i="1" s="1"/>
  <c r="J1369" i="1"/>
  <c r="L1369" i="1" s="1"/>
  <c r="J1370" i="1"/>
  <c r="L1370" i="1" s="1"/>
  <c r="J1371" i="1"/>
  <c r="L1371" i="1" s="1"/>
  <c r="J1372" i="1"/>
  <c r="L1372" i="1" s="1"/>
  <c r="J1373" i="1"/>
  <c r="L1373" i="1" s="1"/>
  <c r="J1374" i="1"/>
  <c r="L1374" i="1" s="1"/>
  <c r="J1375" i="1"/>
  <c r="L1375" i="1" s="1"/>
  <c r="J1376" i="1"/>
  <c r="L1376" i="1" s="1"/>
  <c r="J1377" i="1"/>
  <c r="L1377" i="1" s="1"/>
  <c r="J1378" i="1"/>
  <c r="L1378" i="1" s="1"/>
  <c r="J1379" i="1"/>
  <c r="L1379" i="1" s="1"/>
  <c r="J1380" i="1"/>
  <c r="L1380" i="1" s="1"/>
  <c r="J1381" i="1"/>
  <c r="L1381" i="1" s="1"/>
  <c r="J1382" i="1"/>
  <c r="L1382" i="1" s="1"/>
  <c r="J1383" i="1"/>
  <c r="L1383" i="1" s="1"/>
  <c r="J1384" i="1"/>
  <c r="L1384" i="1" s="1"/>
  <c r="J1385" i="1"/>
  <c r="L1385" i="1" s="1"/>
  <c r="J1386" i="1"/>
  <c r="L1386" i="1" s="1"/>
  <c r="AD1163" i="1"/>
  <c r="AB1163" i="1"/>
  <c r="AC1163" i="1" s="1"/>
  <c r="Y1163" i="1"/>
  <c r="AA1163" i="1" s="1"/>
  <c r="V1163" i="1"/>
  <c r="X1163" i="1" s="1"/>
  <c r="S1163" i="1"/>
  <c r="U1163" i="1" s="1"/>
  <c r="P1163" i="1"/>
  <c r="R1163" i="1" s="1"/>
  <c r="M1163" i="1"/>
  <c r="O1163" i="1" s="1"/>
  <c r="J1163" i="1"/>
  <c r="L1163" i="1" s="1"/>
  <c r="AD1162" i="1"/>
  <c r="AB1162" i="1"/>
  <c r="AC1162" i="1" s="1"/>
  <c r="Y1162" i="1"/>
  <c r="AA1162" i="1" s="1"/>
  <c r="V1162" i="1"/>
  <c r="X1162" i="1" s="1"/>
  <c r="S1162" i="1"/>
  <c r="U1162" i="1" s="1"/>
  <c r="P1162" i="1"/>
  <c r="R1162" i="1" s="1"/>
  <c r="M1162" i="1"/>
  <c r="O1162" i="1" s="1"/>
  <c r="J1162" i="1"/>
  <c r="L1162" i="1" s="1"/>
  <c r="J1151" i="1"/>
  <c r="L1151" i="1" s="1"/>
  <c r="AD1151" i="1"/>
  <c r="AF1151" i="1" s="1"/>
  <c r="AB1151" i="1"/>
  <c r="AC1151" i="1" s="1"/>
  <c r="Y1151" i="1"/>
  <c r="AA1151" i="1" s="1"/>
  <c r="V1151" i="1"/>
  <c r="X1151" i="1" s="1"/>
  <c r="S1151" i="1"/>
  <c r="U1151" i="1" s="1"/>
  <c r="P1151" i="1"/>
  <c r="R1151" i="1" s="1"/>
  <c r="M1151" i="1"/>
  <c r="O1151" i="1" s="1"/>
  <c r="AD1134" i="1"/>
  <c r="AB1134" i="1"/>
  <c r="AC1134" i="1" s="1"/>
  <c r="Y1134" i="1"/>
  <c r="AA1134" i="1" s="1"/>
  <c r="V1134" i="1"/>
  <c r="X1134" i="1" s="1"/>
  <c r="S1134" i="1"/>
  <c r="U1134" i="1" s="1"/>
  <c r="P1134" i="1"/>
  <c r="R1134" i="1" s="1"/>
  <c r="M1134" i="1"/>
  <c r="O1134" i="1" s="1"/>
  <c r="J1134" i="1"/>
  <c r="L1134" i="1" s="1"/>
  <c r="AD1114" i="1"/>
  <c r="AB1114" i="1"/>
  <c r="Y1114" i="1"/>
  <c r="AA1114" i="1" s="1"/>
  <c r="V1114" i="1"/>
  <c r="X1114" i="1" s="1"/>
  <c r="S1114" i="1"/>
  <c r="U1114" i="1" s="1"/>
  <c r="P1114" i="1"/>
  <c r="R1114" i="1" s="1"/>
  <c r="M1114" i="1"/>
  <c r="O1114" i="1" s="1"/>
  <c r="J1114" i="1"/>
  <c r="L1114" i="1" s="1"/>
  <c r="AB1164" i="1"/>
  <c r="AC1164" i="1" s="1"/>
  <c r="Y1155" i="1" l="1"/>
  <c r="AD1045" i="1" l="1"/>
  <c r="AD1091" i="1" l="1"/>
  <c r="Y1164" i="1" l="1"/>
  <c r="AA1164" i="1" s="1"/>
  <c r="AD1164" i="1"/>
  <c r="AF1164" i="1" s="1"/>
  <c r="J1164" i="1" l="1"/>
  <c r="M1164" i="1"/>
  <c r="P1164" i="1"/>
  <c r="S1164" i="1"/>
  <c r="V1164" i="1"/>
  <c r="X1164" i="1" s="1"/>
  <c r="AA1023" i="1"/>
  <c r="AA1015" i="1"/>
  <c r="J1156" i="1"/>
  <c r="J1152" i="1"/>
  <c r="AD1025" i="1"/>
  <c r="AF1025" i="1" s="1"/>
  <c r="AD1024" i="1"/>
  <c r="AF1024" i="1" s="1"/>
  <c r="AD1023" i="1"/>
  <c r="AF1023" i="1" s="1"/>
  <c r="AD1022" i="1"/>
  <c r="AF1022" i="1" s="1"/>
  <c r="AD1016" i="1"/>
  <c r="AD1015" i="1"/>
  <c r="AF1015" i="1" s="1"/>
  <c r="AD1070" i="1" l="1"/>
  <c r="AF1070" i="1" s="1"/>
  <c r="AB1070" i="1"/>
  <c r="AC1070" i="1" s="1"/>
  <c r="Y1070" i="1"/>
  <c r="AA1070" i="1" s="1"/>
  <c r="V1070" i="1"/>
  <c r="X1070" i="1" s="1"/>
  <c r="S1070" i="1"/>
  <c r="U1070" i="1" s="1"/>
  <c r="P1070" i="1"/>
  <c r="R1070" i="1" s="1"/>
  <c r="M1070" i="1"/>
  <c r="O1070" i="1" s="1"/>
  <c r="J1070" i="1"/>
  <c r="L1070" i="1" s="1"/>
  <c r="AD1069" i="1"/>
  <c r="AF1069" i="1" s="1"/>
  <c r="AB1069" i="1"/>
  <c r="AC1069" i="1" s="1"/>
  <c r="Y1069" i="1"/>
  <c r="AA1069" i="1" s="1"/>
  <c r="V1069" i="1"/>
  <c r="X1069" i="1" s="1"/>
  <c r="S1069" i="1"/>
  <c r="U1069" i="1" s="1"/>
  <c r="P1069" i="1"/>
  <c r="R1069" i="1" s="1"/>
  <c r="M1069" i="1"/>
  <c r="O1069" i="1" s="1"/>
  <c r="J1069" i="1"/>
  <c r="L1069" i="1" s="1"/>
  <c r="AD1068" i="1"/>
  <c r="AF1068" i="1" s="1"/>
  <c r="AB1068" i="1"/>
  <c r="AC1068" i="1" s="1"/>
  <c r="Y1068" i="1"/>
  <c r="AA1068" i="1" s="1"/>
  <c r="V1068" i="1"/>
  <c r="X1068" i="1" s="1"/>
  <c r="S1068" i="1"/>
  <c r="U1068" i="1" s="1"/>
  <c r="P1068" i="1"/>
  <c r="R1068" i="1" s="1"/>
  <c r="M1068" i="1"/>
  <c r="O1068" i="1" s="1"/>
  <c r="J1068" i="1"/>
  <c r="L1068" i="1" s="1"/>
  <c r="AD1047" i="1"/>
  <c r="AF1047" i="1" s="1"/>
  <c r="AB1047" i="1"/>
  <c r="AC1047" i="1" s="1"/>
  <c r="Y1047" i="1"/>
  <c r="AA1047" i="1" s="1"/>
  <c r="V1047" i="1"/>
  <c r="X1047" i="1" s="1"/>
  <c r="S1047" i="1"/>
  <c r="U1047" i="1" s="1"/>
  <c r="P1047" i="1"/>
  <c r="R1047" i="1" s="1"/>
  <c r="M1047" i="1"/>
  <c r="O1047" i="1" s="1"/>
  <c r="J1047" i="1"/>
  <c r="L1047" i="1" s="1"/>
  <c r="AD1039" i="1"/>
  <c r="AF1039" i="1" s="1"/>
  <c r="AB1039" i="1"/>
  <c r="AC1039" i="1" s="1"/>
  <c r="Y1039" i="1"/>
  <c r="AA1039" i="1" s="1"/>
  <c r="V1039" i="1"/>
  <c r="X1039" i="1" s="1"/>
  <c r="S1039" i="1"/>
  <c r="U1039" i="1" s="1"/>
  <c r="P1039" i="1"/>
  <c r="R1039" i="1" s="1"/>
  <c r="M1039" i="1"/>
  <c r="O1039" i="1" s="1"/>
  <c r="J1039" i="1"/>
  <c r="L1039" i="1" s="1"/>
  <c r="AD1038" i="1"/>
  <c r="AF1038" i="1" s="1"/>
  <c r="AB1038" i="1"/>
  <c r="AC1038" i="1" s="1"/>
  <c r="Y1038" i="1"/>
  <c r="AA1038" i="1" s="1"/>
  <c r="V1038" i="1"/>
  <c r="X1038" i="1" s="1"/>
  <c r="S1038" i="1"/>
  <c r="U1038" i="1" s="1"/>
  <c r="P1038" i="1"/>
  <c r="R1038" i="1" s="1"/>
  <c r="M1038" i="1"/>
  <c r="O1038" i="1" s="1"/>
  <c r="J1038" i="1"/>
  <c r="L1038" i="1" s="1"/>
  <c r="Y949" i="1" l="1"/>
  <c r="S99" i="1" l="1"/>
  <c r="AB3" i="1"/>
  <c r="AC3" i="1" s="1"/>
  <c r="AB4" i="1"/>
  <c r="AC4" i="1" s="1"/>
  <c r="AB5" i="1"/>
  <c r="AC5" i="1" s="1"/>
  <c r="AB6" i="1"/>
  <c r="AC6" i="1" s="1"/>
  <c r="AB7" i="1"/>
  <c r="AC7" i="1" s="1"/>
  <c r="AB8" i="1"/>
  <c r="AC8" i="1" s="1"/>
  <c r="AB9" i="1"/>
  <c r="AC9" i="1" s="1"/>
  <c r="AB10" i="1"/>
  <c r="AC10" i="1" s="1"/>
  <c r="AB11" i="1"/>
  <c r="AC11" i="1" s="1"/>
  <c r="AB12" i="1"/>
  <c r="AC12" i="1" s="1"/>
  <c r="AB13" i="1"/>
  <c r="AC13" i="1" s="1"/>
  <c r="AB14" i="1"/>
  <c r="AC14" i="1" s="1"/>
  <c r="AB15" i="1"/>
  <c r="AC15" i="1" s="1"/>
  <c r="AB16" i="1"/>
  <c r="AC16" i="1" s="1"/>
  <c r="AB17" i="1"/>
  <c r="AC17" i="1" s="1"/>
  <c r="AB18" i="1"/>
  <c r="AC18" i="1" s="1"/>
  <c r="AB19" i="1"/>
  <c r="AC19" i="1" s="1"/>
  <c r="AB20" i="1"/>
  <c r="AC20" i="1" s="1"/>
  <c r="AB21" i="1"/>
  <c r="AC21" i="1" s="1"/>
  <c r="AB22" i="1"/>
  <c r="AC22" i="1" s="1"/>
  <c r="AB23" i="1"/>
  <c r="AC23" i="1" s="1"/>
  <c r="AB24" i="1"/>
  <c r="AC24" i="1" s="1"/>
  <c r="AB25" i="1"/>
  <c r="AC25" i="1" s="1"/>
  <c r="AB26" i="1"/>
  <c r="AC26" i="1" s="1"/>
  <c r="AB27" i="1"/>
  <c r="AC27" i="1" s="1"/>
  <c r="AB28" i="1"/>
  <c r="AC28" i="1" s="1"/>
  <c r="AB29" i="1"/>
  <c r="AC29" i="1" s="1"/>
  <c r="AB30" i="1"/>
  <c r="AC30" i="1" s="1"/>
  <c r="AB31" i="1"/>
  <c r="AC31" i="1" s="1"/>
  <c r="AB32" i="1"/>
  <c r="AC32" i="1" s="1"/>
  <c r="AB33" i="1"/>
  <c r="AC33" i="1" s="1"/>
  <c r="AB34" i="1"/>
  <c r="AC34" i="1" s="1"/>
  <c r="AB35" i="1"/>
  <c r="AC35" i="1" s="1"/>
  <c r="AB36" i="1"/>
  <c r="AC36" i="1" s="1"/>
  <c r="AB37" i="1"/>
  <c r="AC37" i="1" s="1"/>
  <c r="AB38" i="1"/>
  <c r="AC38" i="1" s="1"/>
  <c r="AB39" i="1"/>
  <c r="AC39" i="1" s="1"/>
  <c r="AB40" i="1"/>
  <c r="AC40" i="1" s="1"/>
  <c r="AB41" i="1"/>
  <c r="AC41" i="1" s="1"/>
  <c r="AB42" i="1"/>
  <c r="AC42" i="1" s="1"/>
  <c r="AB43" i="1"/>
  <c r="AC43" i="1" s="1"/>
  <c r="AB44" i="1"/>
  <c r="AC44" i="1" s="1"/>
  <c r="AB45" i="1"/>
  <c r="AC45" i="1" s="1"/>
  <c r="AB46" i="1"/>
  <c r="AC46" i="1" s="1"/>
  <c r="AB47" i="1"/>
  <c r="AC47" i="1" s="1"/>
  <c r="AB48" i="1"/>
  <c r="AC48" i="1" s="1"/>
  <c r="AB49" i="1"/>
  <c r="AC49" i="1" s="1"/>
  <c r="AB50" i="1"/>
  <c r="AC50" i="1" s="1"/>
  <c r="AB51" i="1"/>
  <c r="AC51" i="1" s="1"/>
  <c r="AB52" i="1"/>
  <c r="AC52" i="1" s="1"/>
  <c r="AB53" i="1"/>
  <c r="AC53" i="1" s="1"/>
  <c r="AB54" i="1"/>
  <c r="AC54" i="1" s="1"/>
  <c r="AB55" i="1"/>
  <c r="AC55" i="1" s="1"/>
  <c r="AB56" i="1"/>
  <c r="AC56" i="1" s="1"/>
  <c r="AB57" i="1"/>
  <c r="AC57" i="1" s="1"/>
  <c r="AB58" i="1"/>
  <c r="AC58" i="1" s="1"/>
  <c r="AB59" i="1"/>
  <c r="AC59" i="1" s="1"/>
  <c r="AB60" i="1"/>
  <c r="AC60" i="1" s="1"/>
  <c r="AB61" i="1"/>
  <c r="AC61" i="1" s="1"/>
  <c r="AB62" i="1"/>
  <c r="AC62" i="1" s="1"/>
  <c r="AB63" i="1"/>
  <c r="AC63" i="1" s="1"/>
  <c r="AB64" i="1"/>
  <c r="AC64" i="1" s="1"/>
  <c r="AB65" i="1"/>
  <c r="AC65" i="1" s="1"/>
  <c r="AB66" i="1"/>
  <c r="AC66" i="1" s="1"/>
  <c r="AB67" i="1"/>
  <c r="AC67" i="1" s="1"/>
  <c r="AB68" i="1"/>
  <c r="AC68" i="1" s="1"/>
  <c r="AB69" i="1"/>
  <c r="AC69" i="1" s="1"/>
  <c r="AB70" i="1"/>
  <c r="AC70" i="1" s="1"/>
  <c r="AB71" i="1"/>
  <c r="AC71" i="1" s="1"/>
  <c r="AB72" i="1"/>
  <c r="AC72" i="1" s="1"/>
  <c r="AB73" i="1"/>
  <c r="AC73" i="1" s="1"/>
  <c r="AB74" i="1"/>
  <c r="AC74" i="1" s="1"/>
  <c r="AB75" i="1"/>
  <c r="AC75" i="1" s="1"/>
  <c r="AB76" i="1"/>
  <c r="AC76" i="1" s="1"/>
  <c r="AB77" i="1"/>
  <c r="AC77" i="1" s="1"/>
  <c r="AB78" i="1"/>
  <c r="AC78" i="1" s="1"/>
  <c r="AB79" i="1"/>
  <c r="AC79" i="1" s="1"/>
  <c r="AB80" i="1"/>
  <c r="AC80" i="1" s="1"/>
  <c r="AB81" i="1"/>
  <c r="AC81" i="1" s="1"/>
  <c r="AB82" i="1"/>
  <c r="AC82" i="1" s="1"/>
  <c r="AB83" i="1"/>
  <c r="AC83" i="1" s="1"/>
  <c r="AB84" i="1"/>
  <c r="AC84" i="1" s="1"/>
  <c r="AB85" i="1"/>
  <c r="AC85" i="1" s="1"/>
  <c r="AB86" i="1"/>
  <c r="AC86" i="1" s="1"/>
  <c r="AB87" i="1"/>
  <c r="AC87" i="1" s="1"/>
  <c r="AB88" i="1"/>
  <c r="AC88" i="1" s="1"/>
  <c r="AB89" i="1"/>
  <c r="AC89" i="1" s="1"/>
  <c r="AB90" i="1"/>
  <c r="AC90" i="1" s="1"/>
  <c r="AB91" i="1"/>
  <c r="AC91" i="1" s="1"/>
  <c r="AB92" i="1"/>
  <c r="AC92" i="1" s="1"/>
  <c r="AB93" i="1"/>
  <c r="AC93" i="1" s="1"/>
  <c r="AB94" i="1"/>
  <c r="AC94" i="1" s="1"/>
  <c r="AB95" i="1"/>
  <c r="AC95" i="1" s="1"/>
  <c r="AB96" i="1"/>
  <c r="AC96" i="1" s="1"/>
  <c r="AB97" i="1"/>
  <c r="AC97" i="1" s="1"/>
  <c r="AB98" i="1"/>
  <c r="AC98" i="1" s="1"/>
  <c r="AB99" i="1"/>
  <c r="AC99" i="1" s="1"/>
  <c r="AB100" i="1"/>
  <c r="AC100" i="1" s="1"/>
  <c r="AB101" i="1"/>
  <c r="AC101" i="1" s="1"/>
  <c r="AB102" i="1"/>
  <c r="AC102" i="1" s="1"/>
  <c r="AB103" i="1"/>
  <c r="AC103" i="1" s="1"/>
  <c r="AB104" i="1"/>
  <c r="AC104" i="1" s="1"/>
  <c r="AB105" i="1"/>
  <c r="AC105" i="1" s="1"/>
  <c r="AB106" i="1"/>
  <c r="AC106" i="1" s="1"/>
  <c r="AB107" i="1"/>
  <c r="AC107" i="1" s="1"/>
  <c r="AB108" i="1"/>
  <c r="AC108" i="1" s="1"/>
  <c r="AB109" i="1"/>
  <c r="AC109" i="1" s="1"/>
  <c r="AB110" i="1"/>
  <c r="AC110" i="1" s="1"/>
  <c r="AB111" i="1"/>
  <c r="AC111" i="1" s="1"/>
  <c r="AB112" i="1"/>
  <c r="AC112" i="1" s="1"/>
  <c r="AB113" i="1"/>
  <c r="AC113" i="1" s="1"/>
  <c r="AB114" i="1"/>
  <c r="AC114" i="1" s="1"/>
  <c r="AB115" i="1"/>
  <c r="AC115" i="1" s="1"/>
  <c r="AB116" i="1"/>
  <c r="AC116" i="1" s="1"/>
  <c r="AB117" i="1"/>
  <c r="AC117" i="1" s="1"/>
  <c r="AB118" i="1"/>
  <c r="AC118" i="1" s="1"/>
  <c r="AB119" i="1"/>
  <c r="AC119" i="1" s="1"/>
  <c r="AB120" i="1"/>
  <c r="AC120" i="1" s="1"/>
  <c r="AB121" i="1"/>
  <c r="AC121" i="1" s="1"/>
  <c r="AB122" i="1"/>
  <c r="AC122" i="1" s="1"/>
  <c r="AB123" i="1"/>
  <c r="AC123" i="1" s="1"/>
  <c r="AB124" i="1"/>
  <c r="AC124" i="1" s="1"/>
  <c r="AB125" i="1"/>
  <c r="AC125" i="1" s="1"/>
  <c r="AB126" i="1"/>
  <c r="AC126" i="1" s="1"/>
  <c r="AB127" i="1"/>
  <c r="AC127" i="1" s="1"/>
  <c r="AB128" i="1"/>
  <c r="AC128" i="1" s="1"/>
  <c r="AB129" i="1"/>
  <c r="AC129" i="1" s="1"/>
  <c r="AB130" i="1"/>
  <c r="AC130" i="1" s="1"/>
  <c r="AB131" i="1"/>
  <c r="AC131" i="1" s="1"/>
  <c r="AB132" i="1"/>
  <c r="AC132" i="1" s="1"/>
  <c r="AB133" i="1"/>
  <c r="AC133" i="1" s="1"/>
  <c r="AB134" i="1"/>
  <c r="AC134" i="1" s="1"/>
  <c r="AB135" i="1"/>
  <c r="AC135" i="1" s="1"/>
  <c r="AB136" i="1"/>
  <c r="AC136" i="1" s="1"/>
  <c r="AB137" i="1"/>
  <c r="AC137" i="1" s="1"/>
  <c r="AB138" i="1"/>
  <c r="AC138" i="1" s="1"/>
  <c r="AB139" i="1"/>
  <c r="AC139" i="1" s="1"/>
  <c r="AB140" i="1"/>
  <c r="AC140" i="1" s="1"/>
  <c r="AB141" i="1"/>
  <c r="AC141" i="1" s="1"/>
  <c r="AB142" i="1"/>
  <c r="AC142" i="1" s="1"/>
  <c r="AB143" i="1"/>
  <c r="AC143" i="1" s="1"/>
  <c r="AB144" i="1"/>
  <c r="AC144" i="1" s="1"/>
  <c r="AB145" i="1"/>
  <c r="AC145" i="1" s="1"/>
  <c r="AB146" i="1"/>
  <c r="AC146" i="1" s="1"/>
  <c r="AB147" i="1"/>
  <c r="AC147" i="1" s="1"/>
  <c r="AB148" i="1"/>
  <c r="AC148" i="1" s="1"/>
  <c r="AB149" i="1"/>
  <c r="AC149" i="1" s="1"/>
  <c r="AB150" i="1"/>
  <c r="AC150" i="1" s="1"/>
  <c r="AB151" i="1"/>
  <c r="AC151" i="1" s="1"/>
  <c r="AB152" i="1"/>
  <c r="AC152" i="1" s="1"/>
  <c r="AB153" i="1"/>
  <c r="AC153" i="1" s="1"/>
  <c r="AB154" i="1"/>
  <c r="AC154" i="1" s="1"/>
  <c r="AB155" i="1"/>
  <c r="AC155" i="1" s="1"/>
  <c r="AB156" i="1"/>
  <c r="AC156" i="1" s="1"/>
  <c r="AB157" i="1"/>
  <c r="AC157" i="1" s="1"/>
  <c r="AB158" i="1"/>
  <c r="AC158" i="1" s="1"/>
  <c r="AB159" i="1"/>
  <c r="AC159" i="1" s="1"/>
  <c r="AB160" i="1"/>
  <c r="AC160" i="1" s="1"/>
  <c r="AB161" i="1"/>
  <c r="AC161" i="1" s="1"/>
  <c r="AB162" i="1"/>
  <c r="AC162" i="1" s="1"/>
  <c r="AB163" i="1"/>
  <c r="AC163" i="1" s="1"/>
  <c r="AB164" i="1"/>
  <c r="AC164" i="1" s="1"/>
  <c r="AB165" i="1"/>
  <c r="AC165" i="1" s="1"/>
  <c r="AB166" i="1"/>
  <c r="AC166" i="1" s="1"/>
  <c r="AB167" i="1"/>
  <c r="AC167" i="1" s="1"/>
  <c r="AB168" i="1"/>
  <c r="AC168" i="1" s="1"/>
  <c r="AB169" i="1"/>
  <c r="AC169" i="1" s="1"/>
  <c r="AB170" i="1"/>
  <c r="AC170" i="1" s="1"/>
  <c r="AB171" i="1"/>
  <c r="AC171" i="1" s="1"/>
  <c r="AB172" i="1"/>
  <c r="AC172" i="1" s="1"/>
  <c r="AB173" i="1"/>
  <c r="AC173" i="1" s="1"/>
  <c r="AB174" i="1"/>
  <c r="AC174" i="1" s="1"/>
  <c r="AB175" i="1"/>
  <c r="AC175" i="1" s="1"/>
  <c r="AB176" i="1"/>
  <c r="AC176" i="1" s="1"/>
  <c r="AB177" i="1"/>
  <c r="AC177" i="1" s="1"/>
  <c r="AB178" i="1"/>
  <c r="AC178" i="1" s="1"/>
  <c r="AB179" i="1"/>
  <c r="AC179" i="1" s="1"/>
  <c r="AB180" i="1"/>
  <c r="AC180" i="1" s="1"/>
  <c r="AB181" i="1"/>
  <c r="AC181" i="1" s="1"/>
  <c r="AB182" i="1"/>
  <c r="AC182" i="1" s="1"/>
  <c r="AB183" i="1"/>
  <c r="AC183" i="1" s="1"/>
  <c r="AB184" i="1"/>
  <c r="AC184" i="1" s="1"/>
  <c r="AB185" i="1"/>
  <c r="AC185" i="1" s="1"/>
  <c r="AB186" i="1"/>
  <c r="AC186" i="1" s="1"/>
  <c r="AB187" i="1"/>
  <c r="AC187" i="1" s="1"/>
  <c r="AB188" i="1"/>
  <c r="AC188" i="1" s="1"/>
  <c r="AB189" i="1"/>
  <c r="AC189" i="1" s="1"/>
  <c r="AB190" i="1"/>
  <c r="AC190" i="1" s="1"/>
  <c r="AB191" i="1"/>
  <c r="AC191" i="1" s="1"/>
  <c r="AB192" i="1"/>
  <c r="AC192" i="1" s="1"/>
  <c r="AB193" i="1"/>
  <c r="AC193" i="1" s="1"/>
  <c r="AB194" i="1"/>
  <c r="AC194" i="1" s="1"/>
  <c r="AB195" i="1"/>
  <c r="AC195" i="1" s="1"/>
  <c r="AB196" i="1"/>
  <c r="AC196" i="1" s="1"/>
  <c r="AB197" i="1"/>
  <c r="AC197" i="1" s="1"/>
  <c r="AB198" i="1"/>
  <c r="AC198" i="1" s="1"/>
  <c r="AB199" i="1"/>
  <c r="AC199" i="1" s="1"/>
  <c r="AB200" i="1"/>
  <c r="AC200" i="1" s="1"/>
  <c r="AB201" i="1"/>
  <c r="AC201" i="1" s="1"/>
  <c r="AB202" i="1"/>
  <c r="AC202" i="1" s="1"/>
  <c r="AB203" i="1"/>
  <c r="AC203" i="1" s="1"/>
  <c r="AB204" i="1"/>
  <c r="AC204" i="1" s="1"/>
  <c r="AB205" i="1"/>
  <c r="AC205" i="1" s="1"/>
  <c r="AB206" i="1"/>
  <c r="AC206" i="1" s="1"/>
  <c r="AB207" i="1"/>
  <c r="AC207" i="1" s="1"/>
  <c r="AB208" i="1"/>
  <c r="AC208" i="1" s="1"/>
  <c r="AB209" i="1"/>
  <c r="AC209" i="1" s="1"/>
  <c r="AB210" i="1"/>
  <c r="AC210" i="1" s="1"/>
  <c r="AB211" i="1"/>
  <c r="AC211" i="1" s="1"/>
  <c r="AB212" i="1"/>
  <c r="AC212" i="1" s="1"/>
  <c r="AB213" i="1"/>
  <c r="AC213" i="1" s="1"/>
  <c r="AB214" i="1"/>
  <c r="AC214" i="1" s="1"/>
  <c r="AB215" i="1"/>
  <c r="AC215" i="1" s="1"/>
  <c r="AB216" i="1"/>
  <c r="AC216" i="1" s="1"/>
  <c r="AB217" i="1"/>
  <c r="AC217" i="1" s="1"/>
  <c r="AB218" i="1"/>
  <c r="AC218" i="1" s="1"/>
  <c r="AB219" i="1"/>
  <c r="AC219" i="1" s="1"/>
  <c r="AB220" i="1"/>
  <c r="AC220" i="1" s="1"/>
  <c r="AB221" i="1"/>
  <c r="AC221" i="1" s="1"/>
  <c r="AB222" i="1"/>
  <c r="AC222" i="1" s="1"/>
  <c r="AB223" i="1"/>
  <c r="AC223" i="1" s="1"/>
  <c r="AB224" i="1"/>
  <c r="AC224" i="1" s="1"/>
  <c r="AB225" i="1"/>
  <c r="AC225" i="1" s="1"/>
  <c r="AB226" i="1"/>
  <c r="AC226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238" i="1"/>
  <c r="AC238" i="1" s="1"/>
  <c r="AB239" i="1"/>
  <c r="AC239" i="1" s="1"/>
  <c r="AB240" i="1"/>
  <c r="AC240" i="1" s="1"/>
  <c r="AB241" i="1"/>
  <c r="AC241" i="1" s="1"/>
  <c r="AB242" i="1"/>
  <c r="AC242" i="1" s="1"/>
  <c r="AB243" i="1"/>
  <c r="AC243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251" i="1"/>
  <c r="AC251" i="1" s="1"/>
  <c r="AB252" i="1"/>
  <c r="AC252" i="1" s="1"/>
  <c r="AB253" i="1"/>
  <c r="AC253" i="1" s="1"/>
  <c r="AB254" i="1"/>
  <c r="AC254" i="1" s="1"/>
  <c r="AB255" i="1"/>
  <c r="AC255" i="1" s="1"/>
  <c r="AB256" i="1"/>
  <c r="AC256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69" i="1"/>
  <c r="AC269" i="1" s="1"/>
  <c r="AB270" i="1"/>
  <c r="AC270" i="1" s="1"/>
  <c r="AB271" i="1"/>
  <c r="AC271" i="1" s="1"/>
  <c r="AB272" i="1"/>
  <c r="AC272" i="1" s="1"/>
  <c r="AB273" i="1"/>
  <c r="AC273" i="1" s="1"/>
  <c r="AB274" i="1"/>
  <c r="AC274" i="1" s="1"/>
  <c r="AB275" i="1"/>
  <c r="AC275" i="1" s="1"/>
  <c r="AB276" i="1"/>
  <c r="AC276" i="1" s="1"/>
  <c r="AB277" i="1"/>
  <c r="AC277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284" i="1"/>
  <c r="AC284" i="1" s="1"/>
  <c r="AB285" i="1"/>
  <c r="AC285" i="1" s="1"/>
  <c r="AB286" i="1"/>
  <c r="AC286" i="1" s="1"/>
  <c r="AB287" i="1"/>
  <c r="AC287" i="1" s="1"/>
  <c r="AB288" i="1"/>
  <c r="AC288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24" i="1"/>
  <c r="AC324" i="1" s="1"/>
  <c r="AB325" i="1"/>
  <c r="AC325" i="1" s="1"/>
  <c r="AB326" i="1"/>
  <c r="AC326" i="1" s="1"/>
  <c r="AB327" i="1"/>
  <c r="AC327" i="1" s="1"/>
  <c r="AB328" i="1"/>
  <c r="AC328" i="1" s="1"/>
  <c r="AB329" i="1"/>
  <c r="AC329" i="1" s="1"/>
  <c r="AB330" i="1"/>
  <c r="AC330" i="1" s="1"/>
  <c r="AB331" i="1"/>
  <c r="AC331" i="1" s="1"/>
  <c r="AB332" i="1"/>
  <c r="AC332" i="1" s="1"/>
  <c r="AB333" i="1"/>
  <c r="AC333" i="1" s="1"/>
  <c r="AB334" i="1"/>
  <c r="AC334" i="1" s="1"/>
  <c r="AB335" i="1"/>
  <c r="AC335" i="1" s="1"/>
  <c r="AB336" i="1"/>
  <c r="AC336" i="1" s="1"/>
  <c r="AB337" i="1"/>
  <c r="AC337" i="1" s="1"/>
  <c r="AB338" i="1"/>
  <c r="AC338" i="1" s="1"/>
  <c r="AB339" i="1"/>
  <c r="AC339" i="1" s="1"/>
  <c r="AB340" i="1"/>
  <c r="AC340" i="1" s="1"/>
  <c r="AB341" i="1"/>
  <c r="AC341" i="1" s="1"/>
  <c r="AB342" i="1"/>
  <c r="AC342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452" i="1"/>
  <c r="AC452" i="1" s="1"/>
  <c r="AB453" i="1"/>
  <c r="AC453" i="1" s="1"/>
  <c r="AB454" i="1"/>
  <c r="AC454" i="1" s="1"/>
  <c r="AB455" i="1"/>
  <c r="AC455" i="1" s="1"/>
  <c r="AB456" i="1"/>
  <c r="AC456" i="1" s="1"/>
  <c r="AB457" i="1"/>
  <c r="AC457" i="1" s="1"/>
  <c r="AB458" i="1"/>
  <c r="AC458" i="1" s="1"/>
  <c r="AB459" i="1"/>
  <c r="AC459" i="1" s="1"/>
  <c r="AB460" i="1"/>
  <c r="AC460" i="1" s="1"/>
  <c r="AB461" i="1"/>
  <c r="AC461" i="1" s="1"/>
  <c r="AB462" i="1"/>
  <c r="AC462" i="1" s="1"/>
  <c r="AB463" i="1"/>
  <c r="AC463" i="1" s="1"/>
  <c r="AB464" i="1"/>
  <c r="AC464" i="1" s="1"/>
  <c r="AB465" i="1"/>
  <c r="AC465" i="1" s="1"/>
  <c r="AB466" i="1"/>
  <c r="AC466" i="1" s="1"/>
  <c r="AB467" i="1"/>
  <c r="AC467" i="1" s="1"/>
  <c r="AB468" i="1"/>
  <c r="AC468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4" i="1"/>
  <c r="AC474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4" i="1"/>
  <c r="AC484" i="1" s="1"/>
  <c r="AB485" i="1"/>
  <c r="AC485" i="1" s="1"/>
  <c r="AB486" i="1"/>
  <c r="AC486" i="1" s="1"/>
  <c r="AB487" i="1"/>
  <c r="AC487" i="1" s="1"/>
  <c r="AB488" i="1"/>
  <c r="AC488" i="1" s="1"/>
  <c r="AB489" i="1"/>
  <c r="AC489" i="1" s="1"/>
  <c r="AB490" i="1"/>
  <c r="AC490" i="1" s="1"/>
  <c r="AB491" i="1"/>
  <c r="AC491" i="1" s="1"/>
  <c r="AB492" i="1"/>
  <c r="AC492" i="1" s="1"/>
  <c r="AB493" i="1"/>
  <c r="AC493" i="1" s="1"/>
  <c r="AB494" i="1"/>
  <c r="AC494" i="1" s="1"/>
  <c r="AB495" i="1"/>
  <c r="AC495" i="1" s="1"/>
  <c r="AB496" i="1"/>
  <c r="AC496" i="1" s="1"/>
  <c r="AB497" i="1"/>
  <c r="AC497" i="1" s="1"/>
  <c r="AB498" i="1"/>
  <c r="AC498" i="1" s="1"/>
  <c r="AB499" i="1"/>
  <c r="AC499" i="1" s="1"/>
  <c r="AB500" i="1"/>
  <c r="AC500" i="1" s="1"/>
  <c r="AB501" i="1"/>
  <c r="AC501" i="1" s="1"/>
  <c r="AB502" i="1"/>
  <c r="AC502" i="1" s="1"/>
  <c r="AB503" i="1"/>
  <c r="AC503" i="1" s="1"/>
  <c r="AB504" i="1"/>
  <c r="AC504" i="1" s="1"/>
  <c r="AB505" i="1"/>
  <c r="AC505" i="1" s="1"/>
  <c r="AB506" i="1"/>
  <c r="AC506" i="1" s="1"/>
  <c r="AB507" i="1"/>
  <c r="AC507" i="1" s="1"/>
  <c r="AB508" i="1"/>
  <c r="AC508" i="1" s="1"/>
  <c r="AB509" i="1"/>
  <c r="AC509" i="1" s="1"/>
  <c r="AB510" i="1"/>
  <c r="AC510" i="1" s="1"/>
  <c r="AB511" i="1"/>
  <c r="AC511" i="1" s="1"/>
  <c r="AB512" i="1"/>
  <c r="AC512" i="1" s="1"/>
  <c r="AB513" i="1"/>
  <c r="AC513" i="1" s="1"/>
  <c r="AB514" i="1"/>
  <c r="AC514" i="1" s="1"/>
  <c r="AB515" i="1"/>
  <c r="AC515" i="1" s="1"/>
  <c r="AB516" i="1"/>
  <c r="AC516" i="1" s="1"/>
  <c r="AB517" i="1"/>
  <c r="AC517" i="1" s="1"/>
  <c r="AB518" i="1"/>
  <c r="AC518" i="1" s="1"/>
  <c r="AB519" i="1"/>
  <c r="AC519" i="1" s="1"/>
  <c r="AB520" i="1"/>
  <c r="AC520" i="1" s="1"/>
  <c r="AB521" i="1"/>
  <c r="AC521" i="1" s="1"/>
  <c r="AB522" i="1"/>
  <c r="AC522" i="1" s="1"/>
  <c r="AB523" i="1"/>
  <c r="AC523" i="1" s="1"/>
  <c r="AB524" i="1"/>
  <c r="AC524" i="1" s="1"/>
  <c r="AB525" i="1"/>
  <c r="AC525" i="1" s="1"/>
  <c r="AB526" i="1"/>
  <c r="AC526" i="1" s="1"/>
  <c r="AB527" i="1"/>
  <c r="AC527" i="1" s="1"/>
  <c r="AB528" i="1"/>
  <c r="AC528" i="1" s="1"/>
  <c r="AB529" i="1"/>
  <c r="AC529" i="1" s="1"/>
  <c r="AB530" i="1"/>
  <c r="AC530" i="1" s="1"/>
  <c r="AB531" i="1"/>
  <c r="AC531" i="1" s="1"/>
  <c r="AB532" i="1"/>
  <c r="AC532" i="1" s="1"/>
  <c r="AB533" i="1"/>
  <c r="AC533" i="1" s="1"/>
  <c r="AB534" i="1"/>
  <c r="AC534" i="1" s="1"/>
  <c r="AB535" i="1"/>
  <c r="AC535" i="1" s="1"/>
  <c r="AB536" i="1"/>
  <c r="AC536" i="1" s="1"/>
  <c r="AB537" i="1"/>
  <c r="AC537" i="1" s="1"/>
  <c r="AB538" i="1"/>
  <c r="AC538" i="1" s="1"/>
  <c r="AB539" i="1"/>
  <c r="AC539" i="1" s="1"/>
  <c r="AB540" i="1"/>
  <c r="AC540" i="1" s="1"/>
  <c r="AB541" i="1"/>
  <c r="AC541" i="1" s="1"/>
  <c r="AB542" i="1"/>
  <c r="AC542" i="1" s="1"/>
  <c r="AB543" i="1"/>
  <c r="AC543" i="1" s="1"/>
  <c r="AB544" i="1"/>
  <c r="AC544" i="1" s="1"/>
  <c r="AB545" i="1"/>
  <c r="AC545" i="1" s="1"/>
  <c r="AB546" i="1"/>
  <c r="AC546" i="1" s="1"/>
  <c r="AB547" i="1"/>
  <c r="AC547" i="1" s="1"/>
  <c r="AB548" i="1"/>
  <c r="AC548" i="1" s="1"/>
  <c r="AB549" i="1"/>
  <c r="AC549" i="1" s="1"/>
  <c r="AB550" i="1"/>
  <c r="AC550" i="1" s="1"/>
  <c r="AB551" i="1"/>
  <c r="AC551" i="1" s="1"/>
  <c r="AB552" i="1"/>
  <c r="AC552" i="1" s="1"/>
  <c r="AB553" i="1"/>
  <c r="AC553" i="1" s="1"/>
  <c r="AB554" i="1"/>
  <c r="AC554" i="1" s="1"/>
  <c r="AB555" i="1"/>
  <c r="AC555" i="1" s="1"/>
  <c r="AB556" i="1"/>
  <c r="AC556" i="1" s="1"/>
  <c r="AB557" i="1"/>
  <c r="AC557" i="1" s="1"/>
  <c r="AB558" i="1"/>
  <c r="AC558" i="1" s="1"/>
  <c r="AB559" i="1"/>
  <c r="AC559" i="1" s="1"/>
  <c r="AB560" i="1"/>
  <c r="AC560" i="1" s="1"/>
  <c r="AB561" i="1"/>
  <c r="AC561" i="1" s="1"/>
  <c r="AB562" i="1"/>
  <c r="AC562" i="1" s="1"/>
  <c r="AB563" i="1"/>
  <c r="AC563" i="1" s="1"/>
  <c r="AB564" i="1"/>
  <c r="AC564" i="1" s="1"/>
  <c r="AB565" i="1"/>
  <c r="AC565" i="1" s="1"/>
  <c r="AB566" i="1"/>
  <c r="AC566" i="1" s="1"/>
  <c r="AB567" i="1"/>
  <c r="AC567" i="1" s="1"/>
  <c r="AB568" i="1"/>
  <c r="AC568" i="1" s="1"/>
  <c r="AB569" i="1"/>
  <c r="AC569" i="1" s="1"/>
  <c r="AB570" i="1"/>
  <c r="AC570" i="1" s="1"/>
  <c r="AB571" i="1"/>
  <c r="AC571" i="1" s="1"/>
  <c r="AB572" i="1"/>
  <c r="AC572" i="1" s="1"/>
  <c r="AB573" i="1"/>
  <c r="AC573" i="1" s="1"/>
  <c r="AB574" i="1"/>
  <c r="AC574" i="1" s="1"/>
  <c r="AB575" i="1"/>
  <c r="AC575" i="1" s="1"/>
  <c r="AB576" i="1"/>
  <c r="AC576" i="1" s="1"/>
  <c r="AB577" i="1"/>
  <c r="AC577" i="1" s="1"/>
  <c r="AB578" i="1"/>
  <c r="AC578" i="1" s="1"/>
  <c r="AB579" i="1"/>
  <c r="AC579" i="1" s="1"/>
  <c r="AB580" i="1"/>
  <c r="AC580" i="1" s="1"/>
  <c r="AB581" i="1"/>
  <c r="AC581" i="1" s="1"/>
  <c r="AB582" i="1"/>
  <c r="AC582" i="1" s="1"/>
  <c r="AB583" i="1"/>
  <c r="AC583" i="1" s="1"/>
  <c r="AB584" i="1"/>
  <c r="AC584" i="1" s="1"/>
  <c r="AB585" i="1"/>
  <c r="AC585" i="1" s="1"/>
  <c r="AB586" i="1"/>
  <c r="AC586" i="1" s="1"/>
  <c r="AB587" i="1"/>
  <c r="AC587" i="1" s="1"/>
  <c r="AB588" i="1"/>
  <c r="AC588" i="1" s="1"/>
  <c r="AB589" i="1"/>
  <c r="AC589" i="1" s="1"/>
  <c r="AB590" i="1"/>
  <c r="AC590" i="1" s="1"/>
  <c r="AB591" i="1"/>
  <c r="AC591" i="1" s="1"/>
  <c r="AB592" i="1"/>
  <c r="AC592" i="1" s="1"/>
  <c r="AB593" i="1"/>
  <c r="AC593" i="1" s="1"/>
  <c r="AB594" i="1"/>
  <c r="AC594" i="1" s="1"/>
  <c r="AB595" i="1"/>
  <c r="AC595" i="1" s="1"/>
  <c r="AB596" i="1"/>
  <c r="AC596" i="1" s="1"/>
  <c r="AB597" i="1"/>
  <c r="AC597" i="1" s="1"/>
  <c r="AB598" i="1"/>
  <c r="AC598" i="1" s="1"/>
  <c r="AB599" i="1"/>
  <c r="AC599" i="1" s="1"/>
  <c r="AB600" i="1"/>
  <c r="AC600" i="1" s="1"/>
  <c r="AB601" i="1"/>
  <c r="AC601" i="1" s="1"/>
  <c r="AB602" i="1"/>
  <c r="AC602" i="1" s="1"/>
  <c r="AB603" i="1"/>
  <c r="AC603" i="1" s="1"/>
  <c r="AB604" i="1"/>
  <c r="AC604" i="1" s="1"/>
  <c r="AB605" i="1"/>
  <c r="AC605" i="1" s="1"/>
  <c r="AB606" i="1"/>
  <c r="AC606" i="1" s="1"/>
  <c r="AB607" i="1"/>
  <c r="AC607" i="1" s="1"/>
  <c r="AB608" i="1"/>
  <c r="AC608" i="1" s="1"/>
  <c r="AB609" i="1"/>
  <c r="AC609" i="1" s="1"/>
  <c r="AB610" i="1"/>
  <c r="AC610" i="1" s="1"/>
  <c r="AB611" i="1"/>
  <c r="AC611" i="1" s="1"/>
  <c r="AB612" i="1"/>
  <c r="AC612" i="1" s="1"/>
  <c r="AB613" i="1"/>
  <c r="AC613" i="1" s="1"/>
  <c r="AB614" i="1"/>
  <c r="AC614" i="1" s="1"/>
  <c r="AB615" i="1"/>
  <c r="AC615" i="1" s="1"/>
  <c r="AB616" i="1"/>
  <c r="AC616" i="1" s="1"/>
  <c r="AB617" i="1"/>
  <c r="AC617" i="1" s="1"/>
  <c r="AB618" i="1"/>
  <c r="AC618" i="1" s="1"/>
  <c r="AB619" i="1"/>
  <c r="AC619" i="1" s="1"/>
  <c r="AB620" i="1"/>
  <c r="AC620" i="1" s="1"/>
  <c r="AB621" i="1"/>
  <c r="AC621" i="1" s="1"/>
  <c r="AB622" i="1"/>
  <c r="AC622" i="1" s="1"/>
  <c r="AB623" i="1"/>
  <c r="AC623" i="1" s="1"/>
  <c r="AB624" i="1"/>
  <c r="AC624" i="1" s="1"/>
  <c r="AB625" i="1"/>
  <c r="AC625" i="1" s="1"/>
  <c r="AB626" i="1"/>
  <c r="AC626" i="1" s="1"/>
  <c r="AB627" i="1"/>
  <c r="AC627" i="1" s="1"/>
  <c r="AB628" i="1"/>
  <c r="AC628" i="1" s="1"/>
  <c r="AB629" i="1"/>
  <c r="AC629" i="1" s="1"/>
  <c r="AB630" i="1"/>
  <c r="AC630" i="1" s="1"/>
  <c r="AB631" i="1"/>
  <c r="AC631" i="1" s="1"/>
  <c r="AB632" i="1"/>
  <c r="AC632" i="1" s="1"/>
  <c r="AB633" i="1"/>
  <c r="AC633" i="1" s="1"/>
  <c r="AB634" i="1"/>
  <c r="AC634" i="1" s="1"/>
  <c r="AB635" i="1"/>
  <c r="AC635" i="1" s="1"/>
  <c r="AB636" i="1"/>
  <c r="AC636" i="1" s="1"/>
  <c r="AB637" i="1"/>
  <c r="AC637" i="1" s="1"/>
  <c r="AB638" i="1"/>
  <c r="AC638" i="1" s="1"/>
  <c r="AB639" i="1"/>
  <c r="AC639" i="1" s="1"/>
  <c r="AB640" i="1"/>
  <c r="AC640" i="1" s="1"/>
  <c r="AB641" i="1"/>
  <c r="AC641" i="1" s="1"/>
  <c r="AB642" i="1"/>
  <c r="AC642" i="1" s="1"/>
  <c r="AB643" i="1"/>
  <c r="AC643" i="1" s="1"/>
  <c r="AB644" i="1"/>
  <c r="AC644" i="1" s="1"/>
  <c r="AB645" i="1"/>
  <c r="AC645" i="1" s="1"/>
  <c r="AB646" i="1"/>
  <c r="AC646" i="1" s="1"/>
  <c r="AB647" i="1"/>
  <c r="AC647" i="1" s="1"/>
  <c r="AB648" i="1"/>
  <c r="AC648" i="1" s="1"/>
  <c r="AB649" i="1"/>
  <c r="AC649" i="1" s="1"/>
  <c r="AB650" i="1"/>
  <c r="AC650" i="1" s="1"/>
  <c r="AB651" i="1"/>
  <c r="AC651" i="1" s="1"/>
  <c r="AB652" i="1"/>
  <c r="AC652" i="1" s="1"/>
  <c r="AB653" i="1"/>
  <c r="AC653" i="1" s="1"/>
  <c r="AB654" i="1"/>
  <c r="AC654" i="1" s="1"/>
  <c r="AB655" i="1"/>
  <c r="AC655" i="1" s="1"/>
  <c r="AB656" i="1"/>
  <c r="AC656" i="1" s="1"/>
  <c r="AB657" i="1"/>
  <c r="AC657" i="1" s="1"/>
  <c r="AB658" i="1"/>
  <c r="AC658" i="1" s="1"/>
  <c r="AB659" i="1"/>
  <c r="AC659" i="1" s="1"/>
  <c r="AB660" i="1"/>
  <c r="AC660" i="1" s="1"/>
  <c r="AB661" i="1"/>
  <c r="AC661" i="1" s="1"/>
  <c r="AB662" i="1"/>
  <c r="AC662" i="1" s="1"/>
  <c r="AB663" i="1"/>
  <c r="AC663" i="1" s="1"/>
  <c r="AB664" i="1"/>
  <c r="AC664" i="1" s="1"/>
  <c r="AB665" i="1"/>
  <c r="AC665" i="1" s="1"/>
  <c r="AB666" i="1"/>
  <c r="AC666" i="1" s="1"/>
  <c r="AB667" i="1"/>
  <c r="AC667" i="1" s="1"/>
  <c r="AB668" i="1"/>
  <c r="AC668" i="1" s="1"/>
  <c r="AB669" i="1"/>
  <c r="AC669" i="1" s="1"/>
  <c r="AB670" i="1"/>
  <c r="AC670" i="1" s="1"/>
  <c r="AB671" i="1"/>
  <c r="AC671" i="1" s="1"/>
  <c r="AB672" i="1"/>
  <c r="AC672" i="1" s="1"/>
  <c r="AB673" i="1"/>
  <c r="AC673" i="1" s="1"/>
  <c r="AB674" i="1"/>
  <c r="AC674" i="1" s="1"/>
  <c r="AB675" i="1"/>
  <c r="AC675" i="1" s="1"/>
  <c r="AB676" i="1"/>
  <c r="AC676" i="1" s="1"/>
  <c r="AB677" i="1"/>
  <c r="AC677" i="1" s="1"/>
  <c r="AB678" i="1"/>
  <c r="AC678" i="1" s="1"/>
  <c r="AB679" i="1"/>
  <c r="AC679" i="1" s="1"/>
  <c r="AB680" i="1"/>
  <c r="AC680" i="1" s="1"/>
  <c r="AB681" i="1"/>
  <c r="AC681" i="1" s="1"/>
  <c r="AB682" i="1"/>
  <c r="AC682" i="1" s="1"/>
  <c r="AB683" i="1"/>
  <c r="AC683" i="1" s="1"/>
  <c r="AB684" i="1"/>
  <c r="AC684" i="1" s="1"/>
  <c r="AB685" i="1"/>
  <c r="AC685" i="1" s="1"/>
  <c r="AB686" i="1"/>
  <c r="AC686" i="1" s="1"/>
  <c r="AB687" i="1"/>
  <c r="AC687" i="1" s="1"/>
  <c r="AB688" i="1"/>
  <c r="AC688" i="1" s="1"/>
  <c r="AB689" i="1"/>
  <c r="AC689" i="1" s="1"/>
  <c r="AB690" i="1"/>
  <c r="AC690" i="1" s="1"/>
  <c r="AB691" i="1"/>
  <c r="AC691" i="1" s="1"/>
  <c r="AB692" i="1"/>
  <c r="AC692" i="1" s="1"/>
  <c r="AB693" i="1"/>
  <c r="AC693" i="1" s="1"/>
  <c r="AB694" i="1"/>
  <c r="AC694" i="1" s="1"/>
  <c r="AB695" i="1"/>
  <c r="AC695" i="1" s="1"/>
  <c r="AB696" i="1"/>
  <c r="AC696" i="1" s="1"/>
  <c r="AB697" i="1"/>
  <c r="AC697" i="1" s="1"/>
  <c r="AB698" i="1"/>
  <c r="AC698" i="1" s="1"/>
  <c r="AB699" i="1"/>
  <c r="AC699" i="1" s="1"/>
  <c r="AB700" i="1"/>
  <c r="AC700" i="1" s="1"/>
  <c r="AB701" i="1"/>
  <c r="AC701" i="1" s="1"/>
  <c r="AB702" i="1"/>
  <c r="AC702" i="1" s="1"/>
  <c r="AB703" i="1"/>
  <c r="AC703" i="1" s="1"/>
  <c r="AB704" i="1"/>
  <c r="AC704" i="1" s="1"/>
  <c r="AB705" i="1"/>
  <c r="AC705" i="1" s="1"/>
  <c r="AB706" i="1"/>
  <c r="AC706" i="1" s="1"/>
  <c r="AB707" i="1"/>
  <c r="AC707" i="1" s="1"/>
  <c r="AB708" i="1"/>
  <c r="AC708" i="1" s="1"/>
  <c r="AB709" i="1"/>
  <c r="AC709" i="1" s="1"/>
  <c r="AB710" i="1"/>
  <c r="AC710" i="1" s="1"/>
  <c r="AB711" i="1"/>
  <c r="AC711" i="1" s="1"/>
  <c r="AB712" i="1"/>
  <c r="AC712" i="1" s="1"/>
  <c r="AB713" i="1"/>
  <c r="AC713" i="1" s="1"/>
  <c r="AB714" i="1"/>
  <c r="AC714" i="1" s="1"/>
  <c r="AB715" i="1"/>
  <c r="AC715" i="1" s="1"/>
  <c r="AB716" i="1"/>
  <c r="AC716" i="1" s="1"/>
  <c r="AB717" i="1"/>
  <c r="AC717" i="1" s="1"/>
  <c r="AB718" i="1"/>
  <c r="AC718" i="1" s="1"/>
  <c r="AB719" i="1"/>
  <c r="AC719" i="1" s="1"/>
  <c r="AB720" i="1"/>
  <c r="AC720" i="1" s="1"/>
  <c r="AB721" i="1"/>
  <c r="AC721" i="1" s="1"/>
  <c r="AB722" i="1"/>
  <c r="AC722" i="1" s="1"/>
  <c r="AB723" i="1"/>
  <c r="AC723" i="1" s="1"/>
  <c r="AB724" i="1"/>
  <c r="AC724" i="1" s="1"/>
  <c r="AB725" i="1"/>
  <c r="AC725" i="1" s="1"/>
  <c r="AB726" i="1"/>
  <c r="AC726" i="1" s="1"/>
  <c r="AB727" i="1"/>
  <c r="AC727" i="1" s="1"/>
  <c r="AB728" i="1"/>
  <c r="AC728" i="1" s="1"/>
  <c r="AB729" i="1"/>
  <c r="AC729" i="1" s="1"/>
  <c r="AB730" i="1"/>
  <c r="AC730" i="1" s="1"/>
  <c r="AB731" i="1"/>
  <c r="AC731" i="1" s="1"/>
  <c r="AB732" i="1"/>
  <c r="AC732" i="1" s="1"/>
  <c r="AB733" i="1"/>
  <c r="AC733" i="1" s="1"/>
  <c r="AB734" i="1"/>
  <c r="AC734" i="1" s="1"/>
  <c r="AB735" i="1"/>
  <c r="AC735" i="1" s="1"/>
  <c r="AB736" i="1"/>
  <c r="AC736" i="1" s="1"/>
  <c r="AB737" i="1"/>
  <c r="AC737" i="1" s="1"/>
  <c r="AB738" i="1"/>
  <c r="AC738" i="1" s="1"/>
  <c r="AB739" i="1"/>
  <c r="AC739" i="1" s="1"/>
  <c r="AB740" i="1"/>
  <c r="AC740" i="1" s="1"/>
  <c r="AB741" i="1"/>
  <c r="AC741" i="1" s="1"/>
  <c r="AB742" i="1"/>
  <c r="AC742" i="1" s="1"/>
  <c r="AB743" i="1"/>
  <c r="AC743" i="1" s="1"/>
  <c r="AB744" i="1"/>
  <c r="AC744" i="1" s="1"/>
  <c r="AB745" i="1"/>
  <c r="AC745" i="1" s="1"/>
  <c r="AB746" i="1"/>
  <c r="AC746" i="1" s="1"/>
  <c r="AB747" i="1"/>
  <c r="AC747" i="1" s="1"/>
  <c r="AB748" i="1"/>
  <c r="AC748" i="1" s="1"/>
  <c r="AB749" i="1"/>
  <c r="AC749" i="1" s="1"/>
  <c r="AB750" i="1"/>
  <c r="AC750" i="1" s="1"/>
  <c r="AB751" i="1"/>
  <c r="AC751" i="1" s="1"/>
  <c r="AB752" i="1"/>
  <c r="AC752" i="1" s="1"/>
  <c r="AB753" i="1"/>
  <c r="AC753" i="1" s="1"/>
  <c r="AB754" i="1"/>
  <c r="AC754" i="1" s="1"/>
  <c r="AB755" i="1"/>
  <c r="AC755" i="1" s="1"/>
  <c r="AB756" i="1"/>
  <c r="AC756" i="1" s="1"/>
  <c r="AB757" i="1"/>
  <c r="AC757" i="1" s="1"/>
  <c r="AB758" i="1"/>
  <c r="AC758" i="1" s="1"/>
  <c r="AB759" i="1"/>
  <c r="AC759" i="1" s="1"/>
  <c r="AB760" i="1"/>
  <c r="AC760" i="1" s="1"/>
  <c r="AB761" i="1"/>
  <c r="AC761" i="1" s="1"/>
  <c r="AB762" i="1"/>
  <c r="AC762" i="1" s="1"/>
  <c r="AB763" i="1"/>
  <c r="AC763" i="1" s="1"/>
  <c r="AB764" i="1"/>
  <c r="AC764" i="1" s="1"/>
  <c r="AB765" i="1"/>
  <c r="AC765" i="1" s="1"/>
  <c r="AB766" i="1"/>
  <c r="AC766" i="1" s="1"/>
  <c r="AB767" i="1"/>
  <c r="AC767" i="1" s="1"/>
  <c r="AB768" i="1"/>
  <c r="AC768" i="1" s="1"/>
  <c r="AB769" i="1"/>
  <c r="AC769" i="1" s="1"/>
  <c r="AB770" i="1"/>
  <c r="AC770" i="1" s="1"/>
  <c r="AB771" i="1"/>
  <c r="AC771" i="1" s="1"/>
  <c r="AB772" i="1"/>
  <c r="AC772" i="1" s="1"/>
  <c r="AB773" i="1"/>
  <c r="AC773" i="1" s="1"/>
  <c r="AB774" i="1"/>
  <c r="AC774" i="1" s="1"/>
  <c r="AB775" i="1"/>
  <c r="AC775" i="1" s="1"/>
  <c r="AB776" i="1"/>
  <c r="AC776" i="1" s="1"/>
  <c r="AB777" i="1"/>
  <c r="AC777" i="1" s="1"/>
  <c r="AB778" i="1"/>
  <c r="AC778" i="1" s="1"/>
  <c r="AB779" i="1"/>
  <c r="AC779" i="1" s="1"/>
  <c r="AB780" i="1"/>
  <c r="AC780" i="1" s="1"/>
  <c r="AB781" i="1"/>
  <c r="AC781" i="1" s="1"/>
  <c r="AB782" i="1"/>
  <c r="AC782" i="1" s="1"/>
  <c r="AB783" i="1"/>
  <c r="AC783" i="1" s="1"/>
  <c r="AB784" i="1"/>
  <c r="AC784" i="1" s="1"/>
  <c r="AB785" i="1"/>
  <c r="AC785" i="1" s="1"/>
  <c r="AB786" i="1"/>
  <c r="AC786" i="1" s="1"/>
  <c r="AB787" i="1"/>
  <c r="AC787" i="1" s="1"/>
  <c r="AB788" i="1"/>
  <c r="AC788" i="1" s="1"/>
  <c r="AB789" i="1"/>
  <c r="AC789" i="1" s="1"/>
  <c r="AB790" i="1"/>
  <c r="AC790" i="1" s="1"/>
  <c r="AB791" i="1"/>
  <c r="AC791" i="1" s="1"/>
  <c r="AB792" i="1"/>
  <c r="AC792" i="1" s="1"/>
  <c r="AB793" i="1"/>
  <c r="AC793" i="1" s="1"/>
  <c r="AB794" i="1"/>
  <c r="AC794" i="1" s="1"/>
  <c r="AB795" i="1"/>
  <c r="AC795" i="1" s="1"/>
  <c r="AB796" i="1"/>
  <c r="AC796" i="1" s="1"/>
  <c r="AB797" i="1"/>
  <c r="AC797" i="1" s="1"/>
  <c r="AB798" i="1"/>
  <c r="AC798" i="1" s="1"/>
  <c r="AB799" i="1"/>
  <c r="AC799" i="1" s="1"/>
  <c r="AB800" i="1"/>
  <c r="AC800" i="1" s="1"/>
  <c r="AB801" i="1"/>
  <c r="AC801" i="1" s="1"/>
  <c r="AB802" i="1"/>
  <c r="AC802" i="1" s="1"/>
  <c r="AB803" i="1"/>
  <c r="AC803" i="1" s="1"/>
  <c r="AB804" i="1"/>
  <c r="AC804" i="1" s="1"/>
  <c r="AB805" i="1"/>
  <c r="AC805" i="1" s="1"/>
  <c r="AB806" i="1"/>
  <c r="AC806" i="1" s="1"/>
  <c r="AB807" i="1"/>
  <c r="AC807" i="1" s="1"/>
  <c r="AB808" i="1"/>
  <c r="AC808" i="1" s="1"/>
  <c r="AB809" i="1"/>
  <c r="AC809" i="1" s="1"/>
  <c r="AB810" i="1"/>
  <c r="AC810" i="1" s="1"/>
  <c r="AB811" i="1"/>
  <c r="AC811" i="1" s="1"/>
  <c r="AB812" i="1"/>
  <c r="AC812" i="1" s="1"/>
  <c r="AB813" i="1"/>
  <c r="AC813" i="1" s="1"/>
  <c r="AB814" i="1"/>
  <c r="AC814" i="1" s="1"/>
  <c r="AB815" i="1"/>
  <c r="AC815" i="1" s="1"/>
  <c r="AB816" i="1"/>
  <c r="AC816" i="1" s="1"/>
  <c r="AB817" i="1"/>
  <c r="AC817" i="1" s="1"/>
  <c r="AB818" i="1"/>
  <c r="AC818" i="1" s="1"/>
  <c r="AB819" i="1"/>
  <c r="AC819" i="1" s="1"/>
  <c r="AB820" i="1"/>
  <c r="AC820" i="1" s="1"/>
  <c r="AB821" i="1"/>
  <c r="AC821" i="1" s="1"/>
  <c r="AB822" i="1"/>
  <c r="AC822" i="1" s="1"/>
  <c r="AB823" i="1"/>
  <c r="AC823" i="1" s="1"/>
  <c r="AB824" i="1"/>
  <c r="AC824" i="1" s="1"/>
  <c r="AB825" i="1"/>
  <c r="AC825" i="1" s="1"/>
  <c r="AB826" i="1"/>
  <c r="AC826" i="1" s="1"/>
  <c r="AB827" i="1"/>
  <c r="AC827" i="1" s="1"/>
  <c r="AB828" i="1"/>
  <c r="AC828" i="1" s="1"/>
  <c r="AB829" i="1"/>
  <c r="AC829" i="1" s="1"/>
  <c r="AB830" i="1"/>
  <c r="AC830" i="1" s="1"/>
  <c r="AB831" i="1"/>
  <c r="AC831" i="1" s="1"/>
  <c r="AB832" i="1"/>
  <c r="AC832" i="1" s="1"/>
  <c r="AB833" i="1"/>
  <c r="AC833" i="1" s="1"/>
  <c r="AB834" i="1"/>
  <c r="AC834" i="1" s="1"/>
  <c r="AB835" i="1"/>
  <c r="AC835" i="1" s="1"/>
  <c r="AB836" i="1"/>
  <c r="AC836" i="1" s="1"/>
  <c r="AB837" i="1"/>
  <c r="AC837" i="1" s="1"/>
  <c r="AB838" i="1"/>
  <c r="AC838" i="1" s="1"/>
  <c r="AB839" i="1"/>
  <c r="AC839" i="1" s="1"/>
  <c r="AB840" i="1"/>
  <c r="AC840" i="1" s="1"/>
  <c r="AB841" i="1"/>
  <c r="AC841" i="1" s="1"/>
  <c r="AB842" i="1"/>
  <c r="AC842" i="1" s="1"/>
  <c r="AB843" i="1"/>
  <c r="AC843" i="1" s="1"/>
  <c r="AB844" i="1"/>
  <c r="AC844" i="1" s="1"/>
  <c r="AB845" i="1"/>
  <c r="AC845" i="1" s="1"/>
  <c r="AB846" i="1"/>
  <c r="AC846" i="1" s="1"/>
  <c r="AB847" i="1"/>
  <c r="AC847" i="1" s="1"/>
  <c r="AB848" i="1"/>
  <c r="AC848" i="1" s="1"/>
  <c r="AB849" i="1"/>
  <c r="AC849" i="1" s="1"/>
  <c r="AB850" i="1"/>
  <c r="AC850" i="1" s="1"/>
  <c r="AB851" i="1"/>
  <c r="AC851" i="1" s="1"/>
  <c r="AB852" i="1"/>
  <c r="AC852" i="1" s="1"/>
  <c r="AB853" i="1"/>
  <c r="AC853" i="1" s="1"/>
  <c r="AB854" i="1"/>
  <c r="AC854" i="1" s="1"/>
  <c r="AB855" i="1"/>
  <c r="AC855" i="1" s="1"/>
  <c r="AB856" i="1"/>
  <c r="AC856" i="1" s="1"/>
  <c r="AB857" i="1"/>
  <c r="AC857" i="1" s="1"/>
  <c r="AB858" i="1"/>
  <c r="AC858" i="1" s="1"/>
  <c r="AB859" i="1"/>
  <c r="AC859" i="1" s="1"/>
  <c r="AB860" i="1"/>
  <c r="AC860" i="1" s="1"/>
  <c r="AB861" i="1"/>
  <c r="AC861" i="1" s="1"/>
  <c r="AB862" i="1"/>
  <c r="AC862" i="1" s="1"/>
  <c r="AB863" i="1"/>
  <c r="AC863" i="1" s="1"/>
  <c r="AB864" i="1"/>
  <c r="AC864" i="1" s="1"/>
  <c r="AB865" i="1"/>
  <c r="AC865" i="1" s="1"/>
  <c r="AB866" i="1"/>
  <c r="AC866" i="1" s="1"/>
  <c r="AB867" i="1"/>
  <c r="AC867" i="1" s="1"/>
  <c r="AB868" i="1"/>
  <c r="AC868" i="1" s="1"/>
  <c r="AB869" i="1"/>
  <c r="AC869" i="1" s="1"/>
  <c r="AB870" i="1"/>
  <c r="AC870" i="1" s="1"/>
  <c r="AB871" i="1"/>
  <c r="AC871" i="1" s="1"/>
  <c r="AB872" i="1"/>
  <c r="AC872" i="1" s="1"/>
  <c r="AB873" i="1"/>
  <c r="AC873" i="1" s="1"/>
  <c r="AB874" i="1"/>
  <c r="AC874" i="1" s="1"/>
  <c r="AB875" i="1"/>
  <c r="AC875" i="1" s="1"/>
  <c r="AB876" i="1"/>
  <c r="AC876" i="1" s="1"/>
  <c r="AB877" i="1"/>
  <c r="AC877" i="1" s="1"/>
  <c r="AB878" i="1"/>
  <c r="AC878" i="1" s="1"/>
  <c r="AB879" i="1"/>
  <c r="AC879" i="1" s="1"/>
  <c r="AB880" i="1"/>
  <c r="AC880" i="1" s="1"/>
  <c r="AB881" i="1"/>
  <c r="AC881" i="1" s="1"/>
  <c r="AB882" i="1"/>
  <c r="AC882" i="1" s="1"/>
  <c r="AB883" i="1"/>
  <c r="AC883" i="1" s="1"/>
  <c r="AB884" i="1"/>
  <c r="AC884" i="1" s="1"/>
  <c r="AB885" i="1"/>
  <c r="AC885" i="1" s="1"/>
  <c r="AB886" i="1"/>
  <c r="AC886" i="1" s="1"/>
  <c r="AB887" i="1"/>
  <c r="AC887" i="1" s="1"/>
  <c r="AB888" i="1"/>
  <c r="AC888" i="1" s="1"/>
  <c r="AB889" i="1"/>
  <c r="AC889" i="1" s="1"/>
  <c r="AB890" i="1"/>
  <c r="AC890" i="1" s="1"/>
  <c r="AB891" i="1"/>
  <c r="AC891" i="1" s="1"/>
  <c r="AB892" i="1"/>
  <c r="AC892" i="1" s="1"/>
  <c r="AB893" i="1"/>
  <c r="AC893" i="1" s="1"/>
  <c r="AB894" i="1"/>
  <c r="AC894" i="1" s="1"/>
  <c r="AB895" i="1"/>
  <c r="AC895" i="1" s="1"/>
  <c r="AB896" i="1"/>
  <c r="AC896" i="1" s="1"/>
  <c r="AB897" i="1"/>
  <c r="AC897" i="1" s="1"/>
  <c r="AB898" i="1"/>
  <c r="AC898" i="1" s="1"/>
  <c r="AB899" i="1"/>
  <c r="AC899" i="1" s="1"/>
  <c r="AB900" i="1"/>
  <c r="AC900" i="1" s="1"/>
  <c r="AB901" i="1"/>
  <c r="AC901" i="1" s="1"/>
  <c r="AB902" i="1"/>
  <c r="AC902" i="1" s="1"/>
  <c r="AB903" i="1"/>
  <c r="AC903" i="1" s="1"/>
  <c r="AB904" i="1"/>
  <c r="AC904" i="1" s="1"/>
  <c r="AB905" i="1"/>
  <c r="AC905" i="1" s="1"/>
  <c r="AB906" i="1"/>
  <c r="AC906" i="1" s="1"/>
  <c r="AB907" i="1"/>
  <c r="AC907" i="1" s="1"/>
  <c r="AB908" i="1"/>
  <c r="AC908" i="1" s="1"/>
  <c r="AB909" i="1"/>
  <c r="AC909" i="1" s="1"/>
  <c r="AB910" i="1"/>
  <c r="AC910" i="1" s="1"/>
  <c r="AB911" i="1"/>
  <c r="AC911" i="1" s="1"/>
  <c r="AB912" i="1"/>
  <c r="AC912" i="1" s="1"/>
  <c r="AB913" i="1"/>
  <c r="AC913" i="1" s="1"/>
  <c r="AB914" i="1"/>
  <c r="AC914" i="1" s="1"/>
  <c r="AB915" i="1"/>
  <c r="AC915" i="1" s="1"/>
  <c r="AB916" i="1"/>
  <c r="AC916" i="1" s="1"/>
  <c r="AB917" i="1"/>
  <c r="AC917" i="1" s="1"/>
  <c r="AB918" i="1"/>
  <c r="AC918" i="1" s="1"/>
  <c r="AB919" i="1"/>
  <c r="AC919" i="1" s="1"/>
  <c r="AB920" i="1"/>
  <c r="AC920" i="1" s="1"/>
  <c r="AB921" i="1"/>
  <c r="AC921" i="1" s="1"/>
  <c r="AB922" i="1"/>
  <c r="AC922" i="1" s="1"/>
  <c r="AB923" i="1"/>
  <c r="AC923" i="1" s="1"/>
  <c r="AB924" i="1"/>
  <c r="AC924" i="1" s="1"/>
  <c r="AB925" i="1"/>
  <c r="AC925" i="1" s="1"/>
  <c r="AB926" i="1"/>
  <c r="AC926" i="1" s="1"/>
  <c r="AB927" i="1"/>
  <c r="AC927" i="1" s="1"/>
  <c r="AB928" i="1"/>
  <c r="AC928" i="1" s="1"/>
  <c r="AB929" i="1"/>
  <c r="AC929" i="1" s="1"/>
  <c r="AB930" i="1"/>
  <c r="AC930" i="1" s="1"/>
  <c r="AB931" i="1"/>
  <c r="AC931" i="1" s="1"/>
  <c r="AB932" i="1"/>
  <c r="AC932" i="1" s="1"/>
  <c r="AB933" i="1"/>
  <c r="AC933" i="1" s="1"/>
  <c r="AB934" i="1"/>
  <c r="AC934" i="1" s="1"/>
  <c r="AB935" i="1"/>
  <c r="AC935" i="1" s="1"/>
  <c r="AB936" i="1"/>
  <c r="AC936" i="1" s="1"/>
  <c r="AB937" i="1"/>
  <c r="AC937" i="1" s="1"/>
  <c r="AB938" i="1"/>
  <c r="AC938" i="1" s="1"/>
  <c r="AB939" i="1"/>
  <c r="AC939" i="1" s="1"/>
  <c r="AB940" i="1"/>
  <c r="AC940" i="1" s="1"/>
  <c r="AB941" i="1"/>
  <c r="AC941" i="1" s="1"/>
  <c r="AB942" i="1"/>
  <c r="AC942" i="1" s="1"/>
  <c r="AB943" i="1"/>
  <c r="AC943" i="1" s="1"/>
  <c r="AB944" i="1"/>
  <c r="AC944" i="1" s="1"/>
  <c r="AB945" i="1"/>
  <c r="AC945" i="1" s="1"/>
  <c r="AB946" i="1"/>
  <c r="AC946" i="1" s="1"/>
  <c r="AB947" i="1"/>
  <c r="AC947" i="1" s="1"/>
  <c r="AB948" i="1"/>
  <c r="AC948" i="1" s="1"/>
  <c r="AB949" i="1"/>
  <c r="AC949" i="1" s="1"/>
  <c r="AB950" i="1"/>
  <c r="AC950" i="1" s="1"/>
  <c r="AB951" i="1"/>
  <c r="AC951" i="1" s="1"/>
  <c r="AB952" i="1"/>
  <c r="AC952" i="1" s="1"/>
  <c r="AB953" i="1"/>
  <c r="AC953" i="1" s="1"/>
  <c r="AB954" i="1"/>
  <c r="AC954" i="1" s="1"/>
  <c r="AB955" i="1"/>
  <c r="AC955" i="1" s="1"/>
  <c r="AB956" i="1"/>
  <c r="AC956" i="1" s="1"/>
  <c r="AB957" i="1"/>
  <c r="AC957" i="1" s="1"/>
  <c r="AB958" i="1"/>
  <c r="AC958" i="1" s="1"/>
  <c r="AB959" i="1"/>
  <c r="AC959" i="1" s="1"/>
  <c r="AB960" i="1"/>
  <c r="AC960" i="1" s="1"/>
  <c r="AB961" i="1"/>
  <c r="AC961" i="1" s="1"/>
  <c r="AB962" i="1"/>
  <c r="AC962" i="1" s="1"/>
  <c r="AB963" i="1"/>
  <c r="AC963" i="1" s="1"/>
  <c r="AB964" i="1"/>
  <c r="AC964" i="1" s="1"/>
  <c r="AB965" i="1"/>
  <c r="AC965" i="1" s="1"/>
  <c r="AB966" i="1"/>
  <c r="AC966" i="1" s="1"/>
  <c r="AB967" i="1"/>
  <c r="AC967" i="1" s="1"/>
  <c r="AB968" i="1"/>
  <c r="AC968" i="1" s="1"/>
  <c r="AB969" i="1"/>
  <c r="AC969" i="1" s="1"/>
  <c r="AB970" i="1"/>
  <c r="AC970" i="1" s="1"/>
  <c r="AB971" i="1"/>
  <c r="AC971" i="1" s="1"/>
  <c r="AB972" i="1"/>
  <c r="AC972" i="1" s="1"/>
  <c r="AB973" i="1"/>
  <c r="AC973" i="1" s="1"/>
  <c r="AB974" i="1"/>
  <c r="AC974" i="1" s="1"/>
  <c r="AB975" i="1"/>
  <c r="AC975" i="1" s="1"/>
  <c r="AB976" i="1"/>
  <c r="AC976" i="1" s="1"/>
  <c r="AB977" i="1"/>
  <c r="AC977" i="1" s="1"/>
  <c r="AB978" i="1"/>
  <c r="AC978" i="1" s="1"/>
  <c r="AB979" i="1"/>
  <c r="AC979" i="1" s="1"/>
  <c r="AB980" i="1"/>
  <c r="AC980" i="1" s="1"/>
  <c r="AB981" i="1"/>
  <c r="AC981" i="1" s="1"/>
  <c r="AB982" i="1"/>
  <c r="AC982" i="1" s="1"/>
  <c r="AB983" i="1"/>
  <c r="AC983" i="1" s="1"/>
  <c r="AB984" i="1"/>
  <c r="AC984" i="1" s="1"/>
  <c r="AB985" i="1"/>
  <c r="AC985" i="1" s="1"/>
  <c r="AB986" i="1"/>
  <c r="AC986" i="1" s="1"/>
  <c r="AB987" i="1"/>
  <c r="AC987" i="1" s="1"/>
  <c r="AB988" i="1"/>
  <c r="AC988" i="1" s="1"/>
  <c r="AB989" i="1"/>
  <c r="AC989" i="1" s="1"/>
  <c r="AB990" i="1"/>
  <c r="AC990" i="1" s="1"/>
  <c r="AB991" i="1"/>
  <c r="AC991" i="1" s="1"/>
  <c r="AB992" i="1"/>
  <c r="AC992" i="1" s="1"/>
  <c r="AB993" i="1"/>
  <c r="AC993" i="1" s="1"/>
  <c r="AB994" i="1"/>
  <c r="AC994" i="1" s="1"/>
  <c r="AB995" i="1"/>
  <c r="AC995" i="1" s="1"/>
  <c r="AB996" i="1"/>
  <c r="AC996" i="1" s="1"/>
  <c r="AB997" i="1"/>
  <c r="AC997" i="1" s="1"/>
  <c r="AB998" i="1"/>
  <c r="AC998" i="1" s="1"/>
  <c r="AB999" i="1"/>
  <c r="AC999" i="1" s="1"/>
  <c r="AB1000" i="1"/>
  <c r="AC1000" i="1" s="1"/>
  <c r="AB1001" i="1"/>
  <c r="AC1001" i="1" s="1"/>
  <c r="AB1002" i="1"/>
  <c r="AC1002" i="1" s="1"/>
  <c r="AB1003" i="1"/>
  <c r="AC1003" i="1" s="1"/>
  <c r="AB1004" i="1"/>
  <c r="AC1004" i="1" s="1"/>
  <c r="AB1005" i="1"/>
  <c r="AC1005" i="1" s="1"/>
  <c r="AB1006" i="1"/>
  <c r="AC1006" i="1" s="1"/>
  <c r="AB1007" i="1"/>
  <c r="AC1007" i="1" s="1"/>
  <c r="AB1008" i="1"/>
  <c r="AC1008" i="1" s="1"/>
  <c r="AB1009" i="1"/>
  <c r="AC1009" i="1" s="1"/>
  <c r="AB1010" i="1"/>
  <c r="AC1010" i="1" s="1"/>
  <c r="AB1011" i="1"/>
  <c r="AC1011" i="1" s="1"/>
  <c r="AB1012" i="1"/>
  <c r="AC1012" i="1" s="1"/>
  <c r="AB1013" i="1"/>
  <c r="AC1013" i="1" s="1"/>
  <c r="AB1014" i="1"/>
  <c r="AC1014" i="1" s="1"/>
  <c r="AB1016" i="1"/>
  <c r="AC1016" i="1" s="1"/>
  <c r="AB1017" i="1"/>
  <c r="AC1017" i="1" s="1"/>
  <c r="AB1018" i="1"/>
  <c r="AC1018" i="1" s="1"/>
  <c r="AB1019" i="1"/>
  <c r="AC1019" i="1" s="1"/>
  <c r="AB1020" i="1"/>
  <c r="AC1020" i="1" s="1"/>
  <c r="AB1021" i="1"/>
  <c r="AC1021" i="1" s="1"/>
  <c r="AB1022" i="1"/>
  <c r="AC1022" i="1" s="1"/>
  <c r="AB1024" i="1"/>
  <c r="AC1024" i="1" s="1"/>
  <c r="AB1025" i="1"/>
  <c r="AC1025" i="1" s="1"/>
  <c r="AB1026" i="1"/>
  <c r="AC1026" i="1" s="1"/>
  <c r="AB1027" i="1"/>
  <c r="AC1027" i="1" s="1"/>
  <c r="AB1028" i="1"/>
  <c r="AC1028" i="1" s="1"/>
  <c r="AB1029" i="1"/>
  <c r="AC1029" i="1" s="1"/>
  <c r="AB1030" i="1"/>
  <c r="AC1030" i="1" s="1"/>
  <c r="AB1031" i="1"/>
  <c r="AC1031" i="1" s="1"/>
  <c r="AB1032" i="1"/>
  <c r="AC1032" i="1" s="1"/>
  <c r="AB1033" i="1"/>
  <c r="AC1033" i="1" s="1"/>
  <c r="AB1034" i="1"/>
  <c r="AC1034" i="1" s="1"/>
  <c r="AB1035" i="1"/>
  <c r="AC1035" i="1" s="1"/>
  <c r="AB1036" i="1"/>
  <c r="AC1036" i="1" s="1"/>
  <c r="AB1037" i="1"/>
  <c r="AC1037" i="1" s="1"/>
  <c r="AB1040" i="1"/>
  <c r="AC1040" i="1" s="1"/>
  <c r="AB1041" i="1"/>
  <c r="AC1041" i="1" s="1"/>
  <c r="AB1042" i="1"/>
  <c r="AC1042" i="1" s="1"/>
  <c r="AB1043" i="1"/>
  <c r="AC1043" i="1" s="1"/>
  <c r="AB1044" i="1"/>
  <c r="AC1044" i="1" s="1"/>
  <c r="AB1045" i="1"/>
  <c r="AC1045" i="1" s="1"/>
  <c r="AB1046" i="1"/>
  <c r="AC1046" i="1" s="1"/>
  <c r="AB1048" i="1"/>
  <c r="AC1048" i="1" s="1"/>
  <c r="AB1049" i="1"/>
  <c r="AC1049" i="1" s="1"/>
  <c r="AB1050" i="1"/>
  <c r="AC1050" i="1" s="1"/>
  <c r="AB1051" i="1"/>
  <c r="AC1051" i="1" s="1"/>
  <c r="AB1052" i="1"/>
  <c r="AC1052" i="1" s="1"/>
  <c r="AB1053" i="1"/>
  <c r="AC1053" i="1" s="1"/>
  <c r="AB1054" i="1"/>
  <c r="AC1054" i="1" s="1"/>
  <c r="AB1055" i="1"/>
  <c r="AC1055" i="1" s="1"/>
  <c r="AB1056" i="1"/>
  <c r="AC1056" i="1" s="1"/>
  <c r="AB1057" i="1"/>
  <c r="AC1057" i="1" s="1"/>
  <c r="AB1058" i="1"/>
  <c r="AC1058" i="1" s="1"/>
  <c r="AB1059" i="1"/>
  <c r="AC1059" i="1" s="1"/>
  <c r="AB1060" i="1"/>
  <c r="AC1060" i="1" s="1"/>
  <c r="AB1061" i="1"/>
  <c r="AC1061" i="1" s="1"/>
  <c r="AB1062" i="1"/>
  <c r="AC1062" i="1" s="1"/>
  <c r="AB1063" i="1"/>
  <c r="AC1063" i="1" s="1"/>
  <c r="AB1064" i="1"/>
  <c r="AC1064" i="1" s="1"/>
  <c r="AB1065" i="1"/>
  <c r="AC1065" i="1" s="1"/>
  <c r="AB1066" i="1"/>
  <c r="AC1066" i="1" s="1"/>
  <c r="AB1067" i="1"/>
  <c r="AC1067" i="1" s="1"/>
  <c r="AB1071" i="1"/>
  <c r="AC1071" i="1" s="1"/>
  <c r="AB1072" i="1"/>
  <c r="AC1072" i="1" s="1"/>
  <c r="AB1073" i="1"/>
  <c r="AC1073" i="1" s="1"/>
  <c r="AB1074" i="1"/>
  <c r="AC1074" i="1" s="1"/>
  <c r="AB1075" i="1"/>
  <c r="AC1075" i="1" s="1"/>
  <c r="AB1076" i="1"/>
  <c r="AC1076" i="1" s="1"/>
  <c r="AB1077" i="1"/>
  <c r="AC1077" i="1" s="1"/>
  <c r="AB1078" i="1"/>
  <c r="AC1078" i="1" s="1"/>
  <c r="AB1079" i="1"/>
  <c r="AC1079" i="1" s="1"/>
  <c r="AB1080" i="1"/>
  <c r="AC1080" i="1" s="1"/>
  <c r="AB1081" i="1"/>
  <c r="AC1081" i="1" s="1"/>
  <c r="AB1082" i="1"/>
  <c r="AC1082" i="1" s="1"/>
  <c r="AB1083" i="1"/>
  <c r="AC1083" i="1" s="1"/>
  <c r="AB1084" i="1"/>
  <c r="AC1084" i="1" s="1"/>
  <c r="AB1085" i="1"/>
  <c r="AC1085" i="1" s="1"/>
  <c r="AB1086" i="1"/>
  <c r="AC1086" i="1" s="1"/>
  <c r="AB1087" i="1"/>
  <c r="AC1087" i="1" s="1"/>
  <c r="AB1088" i="1"/>
  <c r="AC1088" i="1" s="1"/>
  <c r="AB1089" i="1"/>
  <c r="AC1089" i="1" s="1"/>
  <c r="AB1090" i="1"/>
  <c r="AC1090" i="1" s="1"/>
  <c r="AB1091" i="1"/>
  <c r="AC1091" i="1" s="1"/>
  <c r="AB1092" i="1"/>
  <c r="AC1092" i="1" s="1"/>
  <c r="AB1093" i="1"/>
  <c r="AC1093" i="1" s="1"/>
  <c r="AB1094" i="1"/>
  <c r="AC1094" i="1" s="1"/>
  <c r="AB1095" i="1"/>
  <c r="AC1095" i="1" s="1"/>
  <c r="AB1096" i="1"/>
  <c r="AC1096" i="1" s="1"/>
  <c r="AB1097" i="1"/>
  <c r="AC1097" i="1" s="1"/>
  <c r="AB1098" i="1"/>
  <c r="AC1098" i="1" s="1"/>
  <c r="AB1099" i="1"/>
  <c r="AC1099" i="1" s="1"/>
  <c r="AB1100" i="1"/>
  <c r="AC1100" i="1" s="1"/>
  <c r="AB1101" i="1"/>
  <c r="AC1101" i="1" s="1"/>
  <c r="AB1102" i="1"/>
  <c r="AC1102" i="1" s="1"/>
  <c r="AB1103" i="1"/>
  <c r="AC1103" i="1" s="1"/>
  <c r="AB1104" i="1"/>
  <c r="AC1104" i="1" s="1"/>
  <c r="AB1105" i="1"/>
  <c r="AC1105" i="1" s="1"/>
  <c r="AB1106" i="1"/>
  <c r="AC1106" i="1" s="1"/>
  <c r="AB1107" i="1"/>
  <c r="AC1107" i="1" s="1"/>
  <c r="AB1108" i="1"/>
  <c r="AC1108" i="1" s="1"/>
  <c r="AB1109" i="1"/>
  <c r="AC1109" i="1" s="1"/>
  <c r="AB1110" i="1"/>
  <c r="AC1110" i="1" s="1"/>
  <c r="AB1111" i="1"/>
  <c r="AC1111" i="1" s="1"/>
  <c r="AB1112" i="1"/>
  <c r="AC1112" i="1" s="1"/>
  <c r="AB1113" i="1"/>
  <c r="AC1113" i="1" s="1"/>
  <c r="AB1115" i="1"/>
  <c r="AC1115" i="1" s="1"/>
  <c r="AB1116" i="1"/>
  <c r="AC1116" i="1" s="1"/>
  <c r="AB1117" i="1"/>
  <c r="AC1117" i="1" s="1"/>
  <c r="AB1118" i="1"/>
  <c r="AC1118" i="1" s="1"/>
  <c r="AB1119" i="1"/>
  <c r="AC1119" i="1" s="1"/>
  <c r="AB1120" i="1"/>
  <c r="AC1120" i="1" s="1"/>
  <c r="AB1121" i="1"/>
  <c r="AC1121" i="1" s="1"/>
  <c r="AB1122" i="1"/>
  <c r="AC1122" i="1" s="1"/>
  <c r="AB1123" i="1"/>
  <c r="AC1123" i="1" s="1"/>
  <c r="AB1124" i="1"/>
  <c r="AC1124" i="1" s="1"/>
  <c r="AB1125" i="1"/>
  <c r="AC1125" i="1" s="1"/>
  <c r="AB1126" i="1"/>
  <c r="AC1126" i="1" s="1"/>
  <c r="AB1127" i="1"/>
  <c r="AC1127" i="1" s="1"/>
  <c r="AB1128" i="1"/>
  <c r="AC1128" i="1" s="1"/>
  <c r="AB1129" i="1"/>
  <c r="AC1129" i="1" s="1"/>
  <c r="AB1130" i="1"/>
  <c r="AC1130" i="1" s="1"/>
  <c r="AB1131" i="1"/>
  <c r="AC1131" i="1" s="1"/>
  <c r="AB1132" i="1"/>
  <c r="AC1132" i="1" s="1"/>
  <c r="AB1133" i="1"/>
  <c r="AC1133" i="1" s="1"/>
  <c r="AB1135" i="1"/>
  <c r="AC1135" i="1" s="1"/>
  <c r="AB1136" i="1"/>
  <c r="AC1136" i="1" s="1"/>
  <c r="AB1137" i="1"/>
  <c r="AC1137" i="1" s="1"/>
  <c r="AB1138" i="1"/>
  <c r="AC1138" i="1" s="1"/>
  <c r="AB1139" i="1"/>
  <c r="AC1139" i="1" s="1"/>
  <c r="AB1140" i="1"/>
  <c r="AC1140" i="1" s="1"/>
  <c r="AB1141" i="1"/>
  <c r="AC1141" i="1" s="1"/>
  <c r="AB1142" i="1"/>
  <c r="AC1142" i="1" s="1"/>
  <c r="AB1143" i="1"/>
  <c r="AC1143" i="1" s="1"/>
  <c r="AB1144" i="1"/>
  <c r="AC1144" i="1" s="1"/>
  <c r="AB1145" i="1"/>
  <c r="AC1145" i="1" s="1"/>
  <c r="AB1146" i="1"/>
  <c r="AC1146" i="1" s="1"/>
  <c r="AB1147" i="1"/>
  <c r="AC1147" i="1" s="1"/>
  <c r="AB1148" i="1"/>
  <c r="AC1148" i="1" s="1"/>
  <c r="AB1149" i="1"/>
  <c r="AC1149" i="1" s="1"/>
  <c r="AB1150" i="1"/>
  <c r="AC1150" i="1" s="1"/>
  <c r="AB1152" i="1"/>
  <c r="AC1152" i="1" s="1"/>
  <c r="AB1153" i="1"/>
  <c r="AC1153" i="1" s="1"/>
  <c r="AB1154" i="1"/>
  <c r="AC1154" i="1" s="1"/>
  <c r="AB1155" i="1"/>
  <c r="AC1155" i="1" s="1"/>
  <c r="AB1156" i="1"/>
  <c r="AC1156" i="1" s="1"/>
  <c r="AB1157" i="1"/>
  <c r="AC1157" i="1" s="1"/>
  <c r="AB1158" i="1"/>
  <c r="AC1158" i="1" s="1"/>
  <c r="AB1159" i="1"/>
  <c r="AC1159" i="1" s="1"/>
  <c r="AB1160" i="1"/>
  <c r="AC1160" i="1" s="1"/>
  <c r="AB1161" i="1"/>
  <c r="AC1161" i="1" s="1"/>
  <c r="AB1165" i="1"/>
  <c r="AC1165" i="1" s="1"/>
  <c r="AB1166" i="1"/>
  <c r="AC1166" i="1" s="1"/>
  <c r="AB1167" i="1"/>
  <c r="AC1167" i="1" s="1"/>
  <c r="AB1168" i="1"/>
  <c r="AC1168" i="1" s="1"/>
  <c r="AB1169" i="1"/>
  <c r="AC1169" i="1" s="1"/>
  <c r="AB1170" i="1"/>
  <c r="AC1170" i="1" s="1"/>
  <c r="AB1171" i="1"/>
  <c r="AC1171" i="1" s="1"/>
  <c r="AB1172" i="1"/>
  <c r="AC1172" i="1" s="1"/>
  <c r="AB1173" i="1"/>
  <c r="AC1173" i="1" s="1"/>
  <c r="AB1175" i="1"/>
  <c r="AC1175" i="1" s="1"/>
  <c r="AB1176" i="1"/>
  <c r="AC1176" i="1" s="1"/>
  <c r="AB1177" i="1"/>
  <c r="AC1177" i="1" s="1"/>
  <c r="AB1178" i="1"/>
  <c r="AC1178" i="1" s="1"/>
  <c r="AB1179" i="1"/>
  <c r="AC1179" i="1" s="1"/>
  <c r="AB1180" i="1"/>
  <c r="AC1180" i="1" s="1"/>
  <c r="AB1181" i="1"/>
  <c r="AC1181" i="1" s="1"/>
  <c r="AB1182" i="1"/>
  <c r="AC1182" i="1" s="1"/>
  <c r="AB1183" i="1"/>
  <c r="AC1183" i="1" s="1"/>
  <c r="AB1184" i="1"/>
  <c r="AC1184" i="1" s="1"/>
  <c r="AB1185" i="1"/>
  <c r="AC1185" i="1" s="1"/>
  <c r="AB1186" i="1"/>
  <c r="AC1186" i="1" s="1"/>
  <c r="AB1187" i="1"/>
  <c r="AC1187" i="1" s="1"/>
  <c r="AB1188" i="1"/>
  <c r="AC1188" i="1" s="1"/>
  <c r="AB1189" i="1"/>
  <c r="AC1189" i="1" s="1"/>
  <c r="AB1190" i="1"/>
  <c r="AC1190" i="1" s="1"/>
  <c r="AB1191" i="1"/>
  <c r="AC1191" i="1" s="1"/>
  <c r="AB1192" i="1"/>
  <c r="AC1192" i="1" s="1"/>
  <c r="AB1193" i="1"/>
  <c r="AC1193" i="1" s="1"/>
  <c r="AB1194" i="1"/>
  <c r="AC1194" i="1" s="1"/>
  <c r="AB1195" i="1"/>
  <c r="AC1195" i="1" s="1"/>
  <c r="AB1196" i="1"/>
  <c r="AC1196" i="1" s="1"/>
  <c r="AB1197" i="1"/>
  <c r="AC1197" i="1" s="1"/>
  <c r="AB1198" i="1"/>
  <c r="AC1198" i="1" s="1"/>
  <c r="AB1199" i="1"/>
  <c r="AC1199" i="1" s="1"/>
  <c r="AB1200" i="1"/>
  <c r="AC1200" i="1" s="1"/>
  <c r="AB1201" i="1"/>
  <c r="AC1201" i="1" s="1"/>
  <c r="AB1202" i="1"/>
  <c r="AC1202" i="1" s="1"/>
  <c r="AB1203" i="1"/>
  <c r="AC1203" i="1" s="1"/>
  <c r="AB1204" i="1"/>
  <c r="AC1204" i="1" s="1"/>
  <c r="AB1205" i="1"/>
  <c r="AC1205" i="1" s="1"/>
  <c r="AB1206" i="1"/>
  <c r="AC1206" i="1" s="1"/>
  <c r="AB1207" i="1"/>
  <c r="AC1207" i="1" s="1"/>
  <c r="AB1208" i="1"/>
  <c r="AC1208" i="1" s="1"/>
  <c r="AB1209" i="1"/>
  <c r="AC1209" i="1" s="1"/>
  <c r="AB1210" i="1"/>
  <c r="AC1210" i="1" s="1"/>
  <c r="AB1211" i="1"/>
  <c r="AC1211" i="1" s="1"/>
  <c r="AB1212" i="1"/>
  <c r="AC1212" i="1" s="1"/>
  <c r="AB1213" i="1"/>
  <c r="AC1213" i="1" s="1"/>
  <c r="AB1214" i="1"/>
  <c r="AC1214" i="1" s="1"/>
  <c r="AB1215" i="1"/>
  <c r="AC1215" i="1" s="1"/>
  <c r="AB1216" i="1"/>
  <c r="AC1216" i="1" s="1"/>
  <c r="AB1217" i="1"/>
  <c r="AC1217" i="1" s="1"/>
  <c r="AB1218" i="1"/>
  <c r="AC1218" i="1" s="1"/>
  <c r="AB1219" i="1"/>
  <c r="AC1219" i="1" s="1"/>
  <c r="AB1220" i="1"/>
  <c r="AC1220" i="1" s="1"/>
  <c r="AB1221" i="1"/>
  <c r="AC1221" i="1" s="1"/>
  <c r="AB1222" i="1"/>
  <c r="AC1222" i="1" s="1"/>
  <c r="AB1223" i="1"/>
  <c r="AC1223" i="1" s="1"/>
  <c r="AB1224" i="1"/>
  <c r="AC1224" i="1" s="1"/>
  <c r="AB1225" i="1"/>
  <c r="AC1225" i="1" s="1"/>
  <c r="AB1226" i="1"/>
  <c r="AC1226" i="1" s="1"/>
  <c r="AB1227" i="1"/>
  <c r="AC1227" i="1" s="1"/>
  <c r="AB1228" i="1"/>
  <c r="AC1228" i="1" s="1"/>
  <c r="AB1229" i="1"/>
  <c r="AC1229" i="1" s="1"/>
  <c r="AB1230" i="1"/>
  <c r="AC1230" i="1" s="1"/>
  <c r="AB1231" i="1"/>
  <c r="AC1231" i="1" s="1"/>
  <c r="AB1232" i="1"/>
  <c r="AC1232" i="1" s="1"/>
  <c r="AB1233" i="1"/>
  <c r="AC1233" i="1" s="1"/>
  <c r="AB1234" i="1"/>
  <c r="AC1234" i="1" s="1"/>
  <c r="AB1235" i="1"/>
  <c r="AC1235" i="1" s="1"/>
  <c r="AB1236" i="1"/>
  <c r="AC1236" i="1" s="1"/>
  <c r="AB1237" i="1"/>
  <c r="AC1237" i="1" s="1"/>
  <c r="AB1238" i="1"/>
  <c r="AC1238" i="1" s="1"/>
  <c r="AB1239" i="1"/>
  <c r="AC1239" i="1" s="1"/>
  <c r="AB1240" i="1"/>
  <c r="AC1240" i="1" s="1"/>
  <c r="AB1241" i="1"/>
  <c r="AC1241" i="1" s="1"/>
  <c r="AB1242" i="1"/>
  <c r="AC1242" i="1" s="1"/>
  <c r="AB1243" i="1"/>
  <c r="AC1243" i="1" s="1"/>
  <c r="AB1244" i="1"/>
  <c r="AC1244" i="1" s="1"/>
  <c r="AB1245" i="1"/>
  <c r="AC1245" i="1" s="1"/>
  <c r="AB1246" i="1"/>
  <c r="AC1246" i="1" s="1"/>
  <c r="AB1247" i="1"/>
  <c r="AC1247" i="1" s="1"/>
  <c r="AB1248" i="1"/>
  <c r="AC1248" i="1" s="1"/>
  <c r="AB1249" i="1"/>
  <c r="AC1249" i="1" s="1"/>
  <c r="AB1250" i="1"/>
  <c r="AC1250" i="1" s="1"/>
  <c r="AB1251" i="1"/>
  <c r="AC1251" i="1" s="1"/>
  <c r="AB1252" i="1"/>
  <c r="AC1252" i="1" s="1"/>
  <c r="AB1253" i="1"/>
  <c r="AC1253" i="1" s="1"/>
  <c r="AB1254" i="1"/>
  <c r="AC1254" i="1" s="1"/>
  <c r="AB1174" i="1"/>
  <c r="AC1174" i="1" s="1"/>
  <c r="AB1255" i="1"/>
  <c r="AC1255" i="1" s="1"/>
  <c r="AB1256" i="1"/>
  <c r="AC1256" i="1" s="1"/>
  <c r="AB1257" i="1"/>
  <c r="AC1257" i="1" s="1"/>
  <c r="AB1258" i="1"/>
  <c r="AC1258" i="1" s="1"/>
  <c r="AB1259" i="1"/>
  <c r="AC1259" i="1" s="1"/>
  <c r="AB1260" i="1"/>
  <c r="AC1260" i="1" s="1"/>
  <c r="AB1261" i="1"/>
  <c r="AC1261" i="1" s="1"/>
  <c r="AB1262" i="1"/>
  <c r="AC1262" i="1" s="1"/>
  <c r="AB1263" i="1"/>
  <c r="AC1263" i="1" s="1"/>
  <c r="AB1264" i="1"/>
  <c r="AC1264" i="1" s="1"/>
  <c r="AB1265" i="1"/>
  <c r="AC1265" i="1" s="1"/>
  <c r="AB1266" i="1"/>
  <c r="AC1266" i="1" s="1"/>
  <c r="AB1267" i="1"/>
  <c r="AC1267" i="1" s="1"/>
  <c r="AB1268" i="1"/>
  <c r="AC1268" i="1" s="1"/>
  <c r="AB2" i="1"/>
  <c r="AC2" i="1" s="1"/>
  <c r="AD2" i="1"/>
  <c r="J944" i="1"/>
  <c r="M944" i="1"/>
  <c r="O944" i="1" s="1"/>
  <c r="P944" i="1"/>
  <c r="R944" i="1" s="1"/>
  <c r="S944" i="1"/>
  <c r="U944" i="1" s="1"/>
  <c r="V944" i="1"/>
  <c r="Y944" i="1"/>
  <c r="AA944" i="1" s="1"/>
  <c r="AD944" i="1"/>
  <c r="AF944" i="1" s="1"/>
  <c r="L944" i="1" l="1"/>
  <c r="X944" i="1"/>
  <c r="AD993" i="1" l="1"/>
  <c r="AF993" i="1" s="1"/>
  <c r="Y993" i="1"/>
  <c r="AA993" i="1" s="1"/>
  <c r="V993" i="1"/>
  <c r="X993" i="1" s="1"/>
  <c r="S993" i="1"/>
  <c r="P993" i="1"/>
  <c r="M993" i="1"/>
  <c r="O993" i="1" s="1"/>
  <c r="J993" i="1"/>
  <c r="L993" i="1" s="1"/>
  <c r="AD992" i="1"/>
  <c r="AF992" i="1" s="1"/>
  <c r="Y992" i="1"/>
  <c r="AA992" i="1" s="1"/>
  <c r="V992" i="1"/>
  <c r="S992" i="1"/>
  <c r="P992" i="1"/>
  <c r="M992" i="1"/>
  <c r="J992" i="1"/>
  <c r="AD978" i="1"/>
  <c r="AF978" i="1" s="1"/>
  <c r="Y978" i="1"/>
  <c r="AA978" i="1" s="1"/>
  <c r="V978" i="1"/>
  <c r="S978" i="1"/>
  <c r="P978" i="1"/>
  <c r="M978" i="1"/>
  <c r="J978" i="1"/>
  <c r="AD977" i="1"/>
  <c r="AF977" i="1" s="1"/>
  <c r="Y977" i="1"/>
  <c r="AA977" i="1" s="1"/>
  <c r="V977" i="1"/>
  <c r="S977" i="1"/>
  <c r="P977" i="1"/>
  <c r="M977" i="1"/>
  <c r="O977" i="1" s="1"/>
  <c r="J977" i="1"/>
  <c r="AD961" i="1"/>
  <c r="AF961" i="1" s="1"/>
  <c r="Y961" i="1"/>
  <c r="AA961" i="1" s="1"/>
  <c r="V961" i="1"/>
  <c r="S961" i="1"/>
  <c r="U961" i="1" s="1"/>
  <c r="P961" i="1"/>
  <c r="M961" i="1"/>
  <c r="J961" i="1"/>
  <c r="V1046" i="1"/>
  <c r="V1036" i="1"/>
  <c r="V1037" i="1"/>
  <c r="V1034" i="1"/>
  <c r="R993" i="1" l="1"/>
  <c r="U993" i="1"/>
  <c r="X978" i="1"/>
  <c r="X977" i="1"/>
  <c r="X992" i="1"/>
  <c r="L992" i="1"/>
  <c r="O992" i="1"/>
  <c r="R992" i="1"/>
  <c r="U992" i="1"/>
  <c r="U978" i="1"/>
  <c r="R978" i="1"/>
  <c r="L978" i="1"/>
  <c r="O978" i="1"/>
  <c r="U977" i="1"/>
  <c r="R977" i="1"/>
  <c r="L977" i="1"/>
  <c r="L961" i="1"/>
  <c r="X961" i="1"/>
  <c r="O961" i="1"/>
  <c r="R961" i="1"/>
  <c r="AD793" i="1"/>
  <c r="AD781" i="1"/>
  <c r="Y760" i="1"/>
  <c r="AD860" i="1"/>
  <c r="AF860" i="1" s="1"/>
  <c r="Y860" i="1"/>
  <c r="AA860" i="1" s="1"/>
  <c r="V860" i="1"/>
  <c r="S860" i="1"/>
  <c r="P860" i="1"/>
  <c r="M860" i="1"/>
  <c r="O860" i="1" s="1"/>
  <c r="J860" i="1"/>
  <c r="L860" i="1" s="1"/>
  <c r="AD854" i="1"/>
  <c r="AF854" i="1" s="1"/>
  <c r="Y854" i="1"/>
  <c r="AA854" i="1" s="1"/>
  <c r="V854" i="1"/>
  <c r="S854" i="1"/>
  <c r="P854" i="1"/>
  <c r="M854" i="1"/>
  <c r="O854" i="1" s="1"/>
  <c r="J854" i="1"/>
  <c r="L854" i="1" s="1"/>
  <c r="AD824" i="1"/>
  <c r="AF824" i="1" s="1"/>
  <c r="Y824" i="1"/>
  <c r="AA824" i="1" s="1"/>
  <c r="V824" i="1"/>
  <c r="S824" i="1"/>
  <c r="P824" i="1"/>
  <c r="M824" i="1"/>
  <c r="O824" i="1" s="1"/>
  <c r="J824" i="1"/>
  <c r="L824" i="1" s="1"/>
  <c r="AD788" i="1"/>
  <c r="AF788" i="1" s="1"/>
  <c r="Y788" i="1"/>
  <c r="AA788" i="1" s="1"/>
  <c r="V788" i="1"/>
  <c r="S788" i="1"/>
  <c r="P788" i="1"/>
  <c r="M788" i="1"/>
  <c r="O788" i="1" s="1"/>
  <c r="J788" i="1"/>
  <c r="L788" i="1" s="1"/>
  <c r="AD787" i="1"/>
  <c r="AF787" i="1" s="1"/>
  <c r="Y787" i="1"/>
  <c r="AA787" i="1" s="1"/>
  <c r="V787" i="1"/>
  <c r="S787" i="1"/>
  <c r="P787" i="1"/>
  <c r="M787" i="1"/>
  <c r="O787" i="1" s="1"/>
  <c r="J787" i="1"/>
  <c r="L787" i="1" s="1"/>
  <c r="X787" i="1" l="1"/>
  <c r="X788" i="1"/>
  <c r="R860" i="1"/>
  <c r="U860" i="1"/>
  <c r="X860" i="1"/>
  <c r="R854" i="1"/>
  <c r="U854" i="1"/>
  <c r="X854" i="1"/>
  <c r="R824" i="1"/>
  <c r="U824" i="1"/>
  <c r="X824" i="1"/>
  <c r="R788" i="1"/>
  <c r="U788" i="1"/>
  <c r="R787" i="1"/>
  <c r="U787" i="1"/>
  <c r="S69" i="1"/>
  <c r="P7" i="1" l="1"/>
  <c r="P825" i="1"/>
  <c r="P843" i="1"/>
  <c r="J659" i="1"/>
  <c r="J4" i="1"/>
  <c r="L4" i="1" s="1"/>
  <c r="V10" i="1"/>
  <c r="V2" i="1"/>
  <c r="Y17" i="1"/>
  <c r="AA17" i="1" s="1"/>
  <c r="Y692" i="1"/>
  <c r="AA692" i="1" s="1"/>
  <c r="Y693" i="1"/>
  <c r="AA693" i="1" s="1"/>
  <c r="Y694" i="1"/>
  <c r="AA694" i="1" s="1"/>
  <c r="Y695" i="1"/>
  <c r="AA695" i="1" s="1"/>
  <c r="Y696" i="1"/>
  <c r="AA696" i="1" s="1"/>
  <c r="Y697" i="1"/>
  <c r="AA697" i="1" s="1"/>
  <c r="Y698" i="1"/>
  <c r="AA698" i="1" s="1"/>
  <c r="Y699" i="1"/>
  <c r="AA699" i="1" s="1"/>
  <c r="Y700" i="1"/>
  <c r="AA700" i="1" s="1"/>
  <c r="Y701" i="1"/>
  <c r="AA701" i="1" s="1"/>
  <c r="Y702" i="1"/>
  <c r="AA702" i="1" s="1"/>
  <c r="Y703" i="1"/>
  <c r="AA703" i="1" s="1"/>
  <c r="Y704" i="1"/>
  <c r="AA704" i="1" s="1"/>
  <c r="Y705" i="1"/>
  <c r="AA705" i="1" s="1"/>
  <c r="Y706" i="1"/>
  <c r="AA706" i="1" s="1"/>
  <c r="Y707" i="1"/>
  <c r="AA707" i="1" s="1"/>
  <c r="Y708" i="1"/>
  <c r="AA708" i="1" s="1"/>
  <c r="Y709" i="1"/>
  <c r="AA709" i="1" s="1"/>
  <c r="Y710" i="1"/>
  <c r="AA710" i="1" s="1"/>
  <c r="Y711" i="1"/>
  <c r="AA711" i="1" s="1"/>
  <c r="Y712" i="1"/>
  <c r="AA712" i="1" s="1"/>
  <c r="Y713" i="1"/>
  <c r="AA713" i="1" s="1"/>
  <c r="Y714" i="1"/>
  <c r="AA714" i="1" s="1"/>
  <c r="Y715" i="1"/>
  <c r="AA715" i="1" s="1"/>
  <c r="Y716" i="1"/>
  <c r="AA716" i="1" s="1"/>
  <c r="Y717" i="1"/>
  <c r="AA717" i="1" s="1"/>
  <c r="Y718" i="1"/>
  <c r="AA718" i="1" s="1"/>
  <c r="Y719" i="1"/>
  <c r="AA719" i="1" s="1"/>
  <c r="Y720" i="1"/>
  <c r="AA720" i="1" s="1"/>
  <c r="Y721" i="1"/>
  <c r="AA721" i="1" s="1"/>
  <c r="Y722" i="1"/>
  <c r="AA722" i="1" s="1"/>
  <c r="Y723" i="1"/>
  <c r="AA723" i="1" s="1"/>
  <c r="Y724" i="1"/>
  <c r="AA724" i="1" s="1"/>
  <c r="Y725" i="1"/>
  <c r="AA725" i="1" s="1"/>
  <c r="Y726" i="1"/>
  <c r="AA726" i="1" s="1"/>
  <c r="Y727" i="1"/>
  <c r="AA727" i="1" s="1"/>
  <c r="Y728" i="1"/>
  <c r="AA728" i="1" s="1"/>
  <c r="Y729" i="1"/>
  <c r="AA729" i="1" s="1"/>
  <c r="Y730" i="1"/>
  <c r="AA730" i="1" s="1"/>
  <c r="Y731" i="1"/>
  <c r="AA731" i="1" s="1"/>
  <c r="Y732" i="1"/>
  <c r="AA732" i="1" s="1"/>
  <c r="Y733" i="1"/>
  <c r="AA733" i="1" s="1"/>
  <c r="Y734" i="1"/>
  <c r="AA734" i="1" s="1"/>
  <c r="Y735" i="1"/>
  <c r="AA735" i="1" s="1"/>
  <c r="Y736" i="1"/>
  <c r="AA736" i="1" s="1"/>
  <c r="Y737" i="1"/>
  <c r="AA737" i="1" s="1"/>
  <c r="Y738" i="1"/>
  <c r="AA738" i="1" s="1"/>
  <c r="Y739" i="1"/>
  <c r="AA739" i="1" s="1"/>
  <c r="Y740" i="1"/>
  <c r="AA740" i="1" s="1"/>
  <c r="Y741" i="1"/>
  <c r="AA741" i="1" s="1"/>
  <c r="Y742" i="1"/>
  <c r="AA742" i="1" s="1"/>
  <c r="Y743" i="1"/>
  <c r="AA743" i="1" s="1"/>
  <c r="Y744" i="1"/>
  <c r="AA744" i="1" s="1"/>
  <c r="Y745" i="1"/>
  <c r="AA745" i="1" s="1"/>
  <c r="Y746" i="1"/>
  <c r="AA746" i="1" s="1"/>
  <c r="Y747" i="1"/>
  <c r="AA747" i="1" s="1"/>
  <c r="Y748" i="1"/>
  <c r="AA748" i="1" s="1"/>
  <c r="Y749" i="1"/>
  <c r="AA749" i="1" s="1"/>
  <c r="Y750" i="1"/>
  <c r="AA750" i="1" s="1"/>
  <c r="Y751" i="1"/>
  <c r="AA751" i="1" s="1"/>
  <c r="Y752" i="1"/>
  <c r="AA752" i="1" s="1"/>
  <c r="Y753" i="1"/>
  <c r="AA753" i="1" s="1"/>
  <c r="Y754" i="1"/>
  <c r="AA754" i="1" s="1"/>
  <c r="Y755" i="1"/>
  <c r="AA755" i="1" s="1"/>
  <c r="Y756" i="1"/>
  <c r="AA756" i="1" s="1"/>
  <c r="Y757" i="1"/>
  <c r="AA757" i="1" s="1"/>
  <c r="Y758" i="1"/>
  <c r="AA758" i="1" s="1"/>
  <c r="Y759" i="1"/>
  <c r="AA759" i="1" s="1"/>
  <c r="AA760" i="1"/>
  <c r="Y761" i="1"/>
  <c r="AA761" i="1" s="1"/>
  <c r="Y762" i="1"/>
  <c r="AA762" i="1" s="1"/>
  <c r="Y763" i="1"/>
  <c r="AA763" i="1" s="1"/>
  <c r="Y764" i="1"/>
  <c r="AA764" i="1" s="1"/>
  <c r="Y765" i="1"/>
  <c r="AA765" i="1" s="1"/>
  <c r="Y766" i="1"/>
  <c r="AA766" i="1" s="1"/>
  <c r="Y767" i="1"/>
  <c r="AA767" i="1" s="1"/>
  <c r="Y768" i="1"/>
  <c r="AA768" i="1" s="1"/>
  <c r="Y769" i="1"/>
  <c r="AA769" i="1" s="1"/>
  <c r="Y770" i="1"/>
  <c r="AA770" i="1" s="1"/>
  <c r="Y771" i="1"/>
  <c r="AA771" i="1" s="1"/>
  <c r="Y772" i="1"/>
  <c r="AA772" i="1" s="1"/>
  <c r="Y773" i="1"/>
  <c r="AA773" i="1" s="1"/>
  <c r="Y774" i="1"/>
  <c r="AA774" i="1" s="1"/>
  <c r="Y775" i="1"/>
  <c r="AA775" i="1" s="1"/>
  <c r="Y776" i="1"/>
  <c r="AA776" i="1" s="1"/>
  <c r="Y777" i="1"/>
  <c r="AA777" i="1" s="1"/>
  <c r="Y778" i="1"/>
  <c r="AA778" i="1" s="1"/>
  <c r="Y779" i="1"/>
  <c r="AA779" i="1" s="1"/>
  <c r="Y780" i="1"/>
  <c r="AA780" i="1" s="1"/>
  <c r="Y781" i="1"/>
  <c r="AA781" i="1" s="1"/>
  <c r="Y782" i="1"/>
  <c r="AA782" i="1" s="1"/>
  <c r="Y783" i="1"/>
  <c r="AA783" i="1" s="1"/>
  <c r="Y784" i="1"/>
  <c r="AA784" i="1" s="1"/>
  <c r="Y785" i="1"/>
  <c r="AA785" i="1" s="1"/>
  <c r="Y786" i="1"/>
  <c r="AA786" i="1" s="1"/>
  <c r="Y789" i="1"/>
  <c r="AA789" i="1" s="1"/>
  <c r="Y790" i="1"/>
  <c r="AA790" i="1" s="1"/>
  <c r="Y791" i="1"/>
  <c r="AA791" i="1" s="1"/>
  <c r="Y792" i="1"/>
  <c r="Y793" i="1"/>
  <c r="AA793" i="1" s="1"/>
  <c r="Y794" i="1"/>
  <c r="AA794" i="1" s="1"/>
  <c r="Y795" i="1"/>
  <c r="AA795" i="1" s="1"/>
  <c r="Y796" i="1"/>
  <c r="AA796" i="1" s="1"/>
  <c r="Y797" i="1"/>
  <c r="AA797" i="1" s="1"/>
  <c r="Y798" i="1"/>
  <c r="AA798" i="1" s="1"/>
  <c r="Y799" i="1"/>
  <c r="Y800" i="1"/>
  <c r="Y801" i="1"/>
  <c r="Y802" i="1"/>
  <c r="AA802" i="1" s="1"/>
  <c r="Y803" i="1"/>
  <c r="AA803" i="1" s="1"/>
  <c r="Y804" i="1"/>
  <c r="AA804" i="1" s="1"/>
  <c r="Y805" i="1"/>
  <c r="AA805" i="1" s="1"/>
  <c r="Y806" i="1"/>
  <c r="Y807" i="1"/>
  <c r="Y808" i="1"/>
  <c r="Y809" i="1"/>
  <c r="Y810" i="1"/>
  <c r="AA810" i="1" s="1"/>
  <c r="Y811" i="1"/>
  <c r="AA811" i="1" s="1"/>
  <c r="Y812" i="1"/>
  <c r="AA812" i="1" s="1"/>
  <c r="Y813" i="1"/>
  <c r="AA813" i="1" s="1"/>
  <c r="Y814" i="1"/>
  <c r="AA814" i="1" s="1"/>
  <c r="Y815" i="1"/>
  <c r="AA815" i="1" s="1"/>
  <c r="Y816" i="1"/>
  <c r="AA816" i="1" s="1"/>
  <c r="Y817" i="1"/>
  <c r="AA817" i="1" s="1"/>
  <c r="Y818" i="1"/>
  <c r="AA818" i="1" s="1"/>
  <c r="Y819" i="1"/>
  <c r="AA819" i="1" s="1"/>
  <c r="Y820" i="1"/>
  <c r="AA820" i="1" s="1"/>
  <c r="Y821" i="1"/>
  <c r="AA821" i="1" s="1"/>
  <c r="Y822" i="1"/>
  <c r="AA822" i="1" s="1"/>
  <c r="Y823" i="1"/>
  <c r="AA823" i="1" s="1"/>
  <c r="Y825" i="1"/>
  <c r="AA825" i="1" s="1"/>
  <c r="Y826" i="1"/>
  <c r="AA826" i="1" s="1"/>
  <c r="Y827" i="1"/>
  <c r="AA827" i="1" s="1"/>
  <c r="Y828" i="1"/>
  <c r="AA828" i="1" s="1"/>
  <c r="Y829" i="1"/>
  <c r="AA829" i="1" s="1"/>
  <c r="Y830" i="1"/>
  <c r="AA830" i="1" s="1"/>
  <c r="Y831" i="1"/>
  <c r="AA831" i="1" s="1"/>
  <c r="Y832" i="1"/>
  <c r="AA832" i="1" s="1"/>
  <c r="Y833" i="1"/>
  <c r="AA833" i="1" s="1"/>
  <c r="Y834" i="1"/>
  <c r="AA834" i="1" s="1"/>
  <c r="Y835" i="1"/>
  <c r="AA835" i="1" s="1"/>
  <c r="Y836" i="1"/>
  <c r="AA836" i="1" s="1"/>
  <c r="Y837" i="1"/>
  <c r="AA837" i="1" s="1"/>
  <c r="Y838" i="1"/>
  <c r="AA838" i="1" s="1"/>
  <c r="Y839" i="1"/>
  <c r="AA839" i="1" s="1"/>
  <c r="Y840" i="1"/>
  <c r="AA840" i="1" s="1"/>
  <c r="Y841" i="1"/>
  <c r="AA841" i="1" s="1"/>
  <c r="Y842" i="1"/>
  <c r="AA842" i="1" s="1"/>
  <c r="Y843" i="1"/>
  <c r="AA843" i="1" s="1"/>
  <c r="Y844" i="1"/>
  <c r="AA844" i="1" s="1"/>
  <c r="Y845" i="1"/>
  <c r="AA845" i="1" s="1"/>
  <c r="Y846" i="1"/>
  <c r="AA846" i="1" s="1"/>
  <c r="Y847" i="1"/>
  <c r="AA847" i="1" s="1"/>
  <c r="Y848" i="1"/>
  <c r="AA848" i="1" s="1"/>
  <c r="Y849" i="1"/>
  <c r="AA849" i="1" s="1"/>
  <c r="Y850" i="1"/>
  <c r="AA850" i="1" s="1"/>
  <c r="Y851" i="1"/>
  <c r="AA851" i="1" s="1"/>
  <c r="Y852" i="1"/>
  <c r="AA852" i="1" s="1"/>
  <c r="Y853" i="1"/>
  <c r="AA853" i="1" s="1"/>
  <c r="Y855" i="1"/>
  <c r="AA855" i="1" s="1"/>
  <c r="Y856" i="1"/>
  <c r="AA856" i="1" s="1"/>
  <c r="Y857" i="1"/>
  <c r="AA857" i="1" s="1"/>
  <c r="Y858" i="1"/>
  <c r="AA858" i="1" s="1"/>
  <c r="Y859" i="1"/>
  <c r="AA859" i="1" s="1"/>
  <c r="Y861" i="1"/>
  <c r="AA861" i="1" s="1"/>
  <c r="Y862" i="1"/>
  <c r="AA862" i="1" s="1"/>
  <c r="Y863" i="1"/>
  <c r="AA863" i="1" s="1"/>
  <c r="Y864" i="1"/>
  <c r="AA864" i="1" s="1"/>
  <c r="Y865" i="1"/>
  <c r="AA865" i="1" s="1"/>
  <c r="Y866" i="1"/>
  <c r="AA866" i="1" s="1"/>
  <c r="Y867" i="1"/>
  <c r="AA867" i="1" s="1"/>
  <c r="Y868" i="1"/>
  <c r="AA868" i="1" s="1"/>
  <c r="Y869" i="1"/>
  <c r="AA869" i="1" s="1"/>
  <c r="Y870" i="1"/>
  <c r="AA870" i="1" s="1"/>
  <c r="Y871" i="1"/>
  <c r="AA871" i="1" s="1"/>
  <c r="Y872" i="1"/>
  <c r="AA872" i="1" s="1"/>
  <c r="Y873" i="1"/>
  <c r="AA873" i="1" s="1"/>
  <c r="Y874" i="1"/>
  <c r="AA874" i="1" s="1"/>
  <c r="Y875" i="1"/>
  <c r="AA875" i="1" s="1"/>
  <c r="Y876" i="1"/>
  <c r="AA876" i="1" s="1"/>
  <c r="Y877" i="1"/>
  <c r="AA877" i="1" s="1"/>
  <c r="Y878" i="1"/>
  <c r="AA878" i="1" s="1"/>
  <c r="Y879" i="1"/>
  <c r="AA879" i="1" s="1"/>
  <c r="Y880" i="1"/>
  <c r="AA880" i="1" s="1"/>
  <c r="Y881" i="1"/>
  <c r="AA881" i="1" s="1"/>
  <c r="Y882" i="1"/>
  <c r="AA882" i="1" s="1"/>
  <c r="Y883" i="1"/>
  <c r="AA883" i="1" s="1"/>
  <c r="Y884" i="1"/>
  <c r="AA884" i="1" s="1"/>
  <c r="Y885" i="1"/>
  <c r="AA885" i="1" s="1"/>
  <c r="Y886" i="1"/>
  <c r="AA886" i="1" s="1"/>
  <c r="Y887" i="1"/>
  <c r="AA887" i="1" s="1"/>
  <c r="Y888" i="1"/>
  <c r="AA888" i="1" s="1"/>
  <c r="Y889" i="1"/>
  <c r="AA889" i="1" s="1"/>
  <c r="Y890" i="1"/>
  <c r="AA890" i="1" s="1"/>
  <c r="Y891" i="1"/>
  <c r="AA891" i="1" s="1"/>
  <c r="Y892" i="1"/>
  <c r="AA892" i="1" s="1"/>
  <c r="Y893" i="1"/>
  <c r="AA893" i="1" s="1"/>
  <c r="Y894" i="1"/>
  <c r="AA894" i="1" s="1"/>
  <c r="Y895" i="1"/>
  <c r="AA895" i="1" s="1"/>
  <c r="Y896" i="1"/>
  <c r="AA896" i="1" s="1"/>
  <c r="Y897" i="1"/>
  <c r="AA897" i="1" s="1"/>
  <c r="Y898" i="1"/>
  <c r="AA898" i="1" s="1"/>
  <c r="Y899" i="1"/>
  <c r="AA899" i="1" s="1"/>
  <c r="Y900" i="1"/>
  <c r="AA900" i="1" s="1"/>
  <c r="Y901" i="1"/>
  <c r="AA901" i="1" s="1"/>
  <c r="Y902" i="1"/>
  <c r="AA902" i="1" s="1"/>
  <c r="Y903" i="1"/>
  <c r="AA903" i="1" s="1"/>
  <c r="Y904" i="1"/>
  <c r="AA904" i="1" s="1"/>
  <c r="Y905" i="1"/>
  <c r="AA905" i="1" s="1"/>
  <c r="Y906" i="1"/>
  <c r="AA906" i="1" s="1"/>
  <c r="Y907" i="1"/>
  <c r="AA907" i="1" s="1"/>
  <c r="Y908" i="1"/>
  <c r="AA908" i="1" s="1"/>
  <c r="Y909" i="1"/>
  <c r="AA909" i="1" s="1"/>
  <c r="Y910" i="1"/>
  <c r="Y911" i="1"/>
  <c r="AA911" i="1" s="1"/>
  <c r="Y912" i="1"/>
  <c r="AA912" i="1" s="1"/>
  <c r="Y913" i="1"/>
  <c r="AA913" i="1" s="1"/>
  <c r="Y914" i="1"/>
  <c r="AA914" i="1" s="1"/>
  <c r="Y915" i="1"/>
  <c r="AA915" i="1" s="1"/>
  <c r="Y916" i="1"/>
  <c r="AA916" i="1" s="1"/>
  <c r="Y917" i="1"/>
  <c r="AA917" i="1" s="1"/>
  <c r="Y918" i="1"/>
  <c r="AA918" i="1" s="1"/>
  <c r="Y919" i="1"/>
  <c r="AA919" i="1" s="1"/>
  <c r="Y920" i="1"/>
  <c r="AA920" i="1" s="1"/>
  <c r="Y921" i="1"/>
  <c r="AA921" i="1" s="1"/>
  <c r="Y922" i="1"/>
  <c r="AA922" i="1" s="1"/>
  <c r="Y923" i="1"/>
  <c r="AA923" i="1" s="1"/>
  <c r="Y924" i="1"/>
  <c r="AA924" i="1" s="1"/>
  <c r="Y925" i="1"/>
  <c r="AA925" i="1" s="1"/>
  <c r="Y926" i="1"/>
  <c r="AA926" i="1" s="1"/>
  <c r="Y927" i="1"/>
  <c r="AA927" i="1" s="1"/>
  <c r="Y928" i="1"/>
  <c r="AA928" i="1" s="1"/>
  <c r="Y929" i="1"/>
  <c r="AA929" i="1" s="1"/>
  <c r="Y930" i="1"/>
  <c r="AA930" i="1" s="1"/>
  <c r="Y931" i="1"/>
  <c r="AA931" i="1" s="1"/>
  <c r="Y932" i="1"/>
  <c r="AA932" i="1" s="1"/>
  <c r="Y933" i="1"/>
  <c r="AA933" i="1" s="1"/>
  <c r="Y934" i="1"/>
  <c r="AA934" i="1" s="1"/>
  <c r="Y935" i="1"/>
  <c r="Y936" i="1"/>
  <c r="AA936" i="1" s="1"/>
  <c r="Y937" i="1"/>
  <c r="AA937" i="1" s="1"/>
  <c r="Y938" i="1"/>
  <c r="AA938" i="1" s="1"/>
  <c r="Y939" i="1"/>
  <c r="AA939" i="1" s="1"/>
  <c r="Y940" i="1"/>
  <c r="AA940" i="1" s="1"/>
  <c r="Y941" i="1"/>
  <c r="AA941" i="1" s="1"/>
  <c r="Y942" i="1"/>
  <c r="AA942" i="1" s="1"/>
  <c r="Y943" i="1"/>
  <c r="AA943" i="1" s="1"/>
  <c r="Y945" i="1"/>
  <c r="AA945" i="1" s="1"/>
  <c r="Y946" i="1"/>
  <c r="AA946" i="1" s="1"/>
  <c r="Y947" i="1"/>
  <c r="AA947" i="1" s="1"/>
  <c r="Y948" i="1"/>
  <c r="AA948" i="1" s="1"/>
  <c r="AA949" i="1"/>
  <c r="Y950" i="1"/>
  <c r="AA950" i="1" s="1"/>
  <c r="Y951" i="1"/>
  <c r="AA951" i="1" s="1"/>
  <c r="Y952" i="1"/>
  <c r="AA952" i="1" s="1"/>
  <c r="Y953" i="1"/>
  <c r="AA953" i="1" s="1"/>
  <c r="Y954" i="1"/>
  <c r="AA954" i="1" s="1"/>
  <c r="Y955" i="1"/>
  <c r="AA955" i="1" s="1"/>
  <c r="Y956" i="1"/>
  <c r="AA956" i="1" s="1"/>
  <c r="Y957" i="1"/>
  <c r="AA957" i="1" s="1"/>
  <c r="Y958" i="1"/>
  <c r="AA958" i="1" s="1"/>
  <c r="Y959" i="1"/>
  <c r="AA959" i="1" s="1"/>
  <c r="Y960" i="1"/>
  <c r="AA960" i="1" s="1"/>
  <c r="Y962" i="1"/>
  <c r="AA962" i="1" s="1"/>
  <c r="Y963" i="1"/>
  <c r="AA963" i="1" s="1"/>
  <c r="Y964" i="1"/>
  <c r="AA964" i="1" s="1"/>
  <c r="Y965" i="1"/>
  <c r="AA965" i="1" s="1"/>
  <c r="Y966" i="1"/>
  <c r="AA966" i="1" s="1"/>
  <c r="Y967" i="1"/>
  <c r="AA967" i="1" s="1"/>
  <c r="Y968" i="1"/>
  <c r="AA968" i="1" s="1"/>
  <c r="Y969" i="1"/>
  <c r="AA969" i="1" s="1"/>
  <c r="Y970" i="1"/>
  <c r="AA970" i="1" s="1"/>
  <c r="Y971" i="1"/>
  <c r="AA971" i="1" s="1"/>
  <c r="Y972" i="1"/>
  <c r="AA972" i="1" s="1"/>
  <c r="Y973" i="1"/>
  <c r="AA973" i="1" s="1"/>
  <c r="Y974" i="1"/>
  <c r="AA974" i="1" s="1"/>
  <c r="Y975" i="1"/>
  <c r="AA975" i="1" s="1"/>
  <c r="Y976" i="1"/>
  <c r="AA976" i="1" s="1"/>
  <c r="Y979" i="1"/>
  <c r="AA979" i="1" s="1"/>
  <c r="Y980" i="1"/>
  <c r="AA980" i="1" s="1"/>
  <c r="Y981" i="1"/>
  <c r="AA981" i="1" s="1"/>
  <c r="Y982" i="1"/>
  <c r="AA982" i="1" s="1"/>
  <c r="Y983" i="1"/>
  <c r="AA983" i="1" s="1"/>
  <c r="Y984" i="1"/>
  <c r="AA984" i="1" s="1"/>
  <c r="Y985" i="1"/>
  <c r="AA985" i="1" s="1"/>
  <c r="Y986" i="1"/>
  <c r="AA986" i="1" s="1"/>
  <c r="Y987" i="1"/>
  <c r="AA987" i="1" s="1"/>
  <c r="Y988" i="1"/>
  <c r="AA988" i="1" s="1"/>
  <c r="Y989" i="1"/>
  <c r="AA989" i="1" s="1"/>
  <c r="Y990" i="1"/>
  <c r="AA990" i="1" s="1"/>
  <c r="Y991" i="1"/>
  <c r="AA991" i="1" s="1"/>
  <c r="Y994" i="1"/>
  <c r="AA994" i="1" s="1"/>
  <c r="Y995" i="1"/>
  <c r="AA995" i="1" s="1"/>
  <c r="Y996" i="1"/>
  <c r="AA996" i="1" s="1"/>
  <c r="Y997" i="1"/>
  <c r="AA997" i="1" s="1"/>
  <c r="Y998" i="1"/>
  <c r="AA998" i="1" s="1"/>
  <c r="Y999" i="1"/>
  <c r="AA999" i="1" s="1"/>
  <c r="Y1000" i="1"/>
  <c r="AA1000" i="1" s="1"/>
  <c r="Y1001" i="1"/>
  <c r="AA1001" i="1" s="1"/>
  <c r="Y1002" i="1"/>
  <c r="AA1002" i="1" s="1"/>
  <c r="Y1003" i="1"/>
  <c r="AA1003" i="1" s="1"/>
  <c r="Y1004" i="1"/>
  <c r="AA1004" i="1" s="1"/>
  <c r="Y1005" i="1"/>
  <c r="AA1005" i="1" s="1"/>
  <c r="Y1006" i="1"/>
  <c r="AA1006" i="1" s="1"/>
  <c r="Y1007" i="1"/>
  <c r="AA1007" i="1" s="1"/>
  <c r="Y1008" i="1"/>
  <c r="AA1008" i="1" s="1"/>
  <c r="Y1009" i="1"/>
  <c r="AA1009" i="1" s="1"/>
  <c r="Y1010" i="1"/>
  <c r="AA1010" i="1" s="1"/>
  <c r="Y1011" i="1"/>
  <c r="AA1011" i="1" s="1"/>
  <c r="Y1012" i="1"/>
  <c r="AA1012" i="1" s="1"/>
  <c r="Y1013" i="1"/>
  <c r="AA1013" i="1" s="1"/>
  <c r="Y1014" i="1"/>
  <c r="AA1014" i="1" s="1"/>
  <c r="Y1016" i="1"/>
  <c r="AA1016" i="1" s="1"/>
  <c r="Y1017" i="1"/>
  <c r="AA1017" i="1" s="1"/>
  <c r="Y1018" i="1"/>
  <c r="AA1018" i="1" s="1"/>
  <c r="Y1019" i="1"/>
  <c r="AA1019" i="1" s="1"/>
  <c r="Y1020" i="1"/>
  <c r="AA1020" i="1" s="1"/>
  <c r="Y1021" i="1"/>
  <c r="AA1021" i="1" s="1"/>
  <c r="Y1022" i="1"/>
  <c r="AA1022" i="1" s="1"/>
  <c r="Y1024" i="1"/>
  <c r="AA1024" i="1" s="1"/>
  <c r="Y1025" i="1"/>
  <c r="AA1025" i="1" s="1"/>
  <c r="Y1026" i="1"/>
  <c r="AA1026" i="1" s="1"/>
  <c r="Y1027" i="1"/>
  <c r="AA1027" i="1" s="1"/>
  <c r="Y1028" i="1"/>
  <c r="AA1028" i="1" s="1"/>
  <c r="Y1029" i="1"/>
  <c r="AA1029" i="1" s="1"/>
  <c r="Y1030" i="1"/>
  <c r="AA1030" i="1" s="1"/>
  <c r="Y1031" i="1"/>
  <c r="AA1031" i="1" s="1"/>
  <c r="Y1032" i="1"/>
  <c r="AA1032" i="1" s="1"/>
  <c r="Y1033" i="1"/>
  <c r="AA1033" i="1" s="1"/>
  <c r="Y1034" i="1"/>
  <c r="AA1034" i="1" s="1"/>
  <c r="Y1035" i="1"/>
  <c r="AA1035" i="1" s="1"/>
  <c r="Y1036" i="1"/>
  <c r="AA1036" i="1" s="1"/>
  <c r="Y1037" i="1"/>
  <c r="AA1037" i="1" s="1"/>
  <c r="Y1040" i="1"/>
  <c r="AA1040" i="1" s="1"/>
  <c r="Y1041" i="1"/>
  <c r="AA1041" i="1" s="1"/>
  <c r="Y1042" i="1"/>
  <c r="AA1042" i="1" s="1"/>
  <c r="Y1043" i="1"/>
  <c r="AA1043" i="1" s="1"/>
  <c r="Y1044" i="1"/>
  <c r="AA1044" i="1" s="1"/>
  <c r="Y1045" i="1"/>
  <c r="AA1045" i="1" s="1"/>
  <c r="Y1046" i="1"/>
  <c r="AA1046" i="1" s="1"/>
  <c r="Y1048" i="1"/>
  <c r="AA1048" i="1" s="1"/>
  <c r="Y1049" i="1"/>
  <c r="AA1049" i="1" s="1"/>
  <c r="Y1050" i="1"/>
  <c r="AA1050" i="1" s="1"/>
  <c r="Y1051" i="1"/>
  <c r="AA1051" i="1" s="1"/>
  <c r="Y1052" i="1"/>
  <c r="AA1052" i="1" s="1"/>
  <c r="Y1053" i="1"/>
  <c r="AA1053" i="1" s="1"/>
  <c r="Y1054" i="1"/>
  <c r="AA1054" i="1" s="1"/>
  <c r="Y1055" i="1"/>
  <c r="AA1055" i="1" s="1"/>
  <c r="Y1056" i="1"/>
  <c r="AA1056" i="1" s="1"/>
  <c r="Y1057" i="1"/>
  <c r="AA1057" i="1" s="1"/>
  <c r="Y1058" i="1"/>
  <c r="AA1058" i="1" s="1"/>
  <c r="Y1059" i="1"/>
  <c r="AA1059" i="1" s="1"/>
  <c r="Y1060" i="1"/>
  <c r="AA1060" i="1" s="1"/>
  <c r="Y1061" i="1"/>
  <c r="AA1061" i="1" s="1"/>
  <c r="Y1062" i="1"/>
  <c r="AA1062" i="1" s="1"/>
  <c r="Y1063" i="1"/>
  <c r="AA1063" i="1" s="1"/>
  <c r="Y1064" i="1"/>
  <c r="AA1064" i="1" s="1"/>
  <c r="Y1065" i="1"/>
  <c r="AA1065" i="1" s="1"/>
  <c r="Y1066" i="1"/>
  <c r="Y1067" i="1"/>
  <c r="AA1067" i="1" s="1"/>
  <c r="Y1071" i="1"/>
  <c r="AA1071" i="1" s="1"/>
  <c r="Y1072" i="1"/>
  <c r="AA1072" i="1" s="1"/>
  <c r="Y1073" i="1"/>
  <c r="AA1073" i="1" s="1"/>
  <c r="Y1074" i="1"/>
  <c r="AA1074" i="1" s="1"/>
  <c r="Y1075" i="1"/>
  <c r="AA1075" i="1" s="1"/>
  <c r="Y1076" i="1"/>
  <c r="AA1076" i="1" s="1"/>
  <c r="Y1077" i="1"/>
  <c r="AA1077" i="1" s="1"/>
  <c r="Y1078" i="1"/>
  <c r="AA1078" i="1" s="1"/>
  <c r="Y1079" i="1"/>
  <c r="AA1079" i="1" s="1"/>
  <c r="Y1080" i="1"/>
  <c r="AA1080" i="1" s="1"/>
  <c r="Y1081" i="1"/>
  <c r="AA1081" i="1" s="1"/>
  <c r="Y1082" i="1"/>
  <c r="AA1082" i="1" s="1"/>
  <c r="Y1083" i="1"/>
  <c r="AA1083" i="1" s="1"/>
  <c r="Y1084" i="1"/>
  <c r="AA1084" i="1" s="1"/>
  <c r="Y1085" i="1"/>
  <c r="AA1085" i="1" s="1"/>
  <c r="Y1086" i="1"/>
  <c r="AA1086" i="1" s="1"/>
  <c r="Y1087" i="1"/>
  <c r="AA1087" i="1" s="1"/>
  <c r="Y1088" i="1"/>
  <c r="AA1088" i="1" s="1"/>
  <c r="Y1089" i="1"/>
  <c r="AA1089" i="1" s="1"/>
  <c r="Y1090" i="1"/>
  <c r="AA1090" i="1" s="1"/>
  <c r="Y1091" i="1"/>
  <c r="AA1091" i="1" s="1"/>
  <c r="Y1092" i="1"/>
  <c r="AA1092" i="1" s="1"/>
  <c r="Y1093" i="1"/>
  <c r="AA1093" i="1" s="1"/>
  <c r="Y1094" i="1"/>
  <c r="AA1094" i="1" s="1"/>
  <c r="Y1095" i="1"/>
  <c r="AA1095" i="1" s="1"/>
  <c r="Y1096" i="1"/>
  <c r="AA1096" i="1" s="1"/>
  <c r="Y1097" i="1"/>
  <c r="AA1097" i="1" s="1"/>
  <c r="Y1098" i="1"/>
  <c r="AA1098" i="1" s="1"/>
  <c r="Y1099" i="1"/>
  <c r="AA1099" i="1" s="1"/>
  <c r="Y1100" i="1"/>
  <c r="AA1100" i="1" s="1"/>
  <c r="Y1101" i="1"/>
  <c r="AA1101" i="1" s="1"/>
  <c r="Y1102" i="1"/>
  <c r="AA1102" i="1" s="1"/>
  <c r="Y1103" i="1"/>
  <c r="AA1103" i="1" s="1"/>
  <c r="Y1104" i="1"/>
  <c r="AA1104" i="1" s="1"/>
  <c r="Y1105" i="1"/>
  <c r="AA1105" i="1" s="1"/>
  <c r="Y1106" i="1"/>
  <c r="AA1106" i="1" s="1"/>
  <c r="Y1107" i="1"/>
  <c r="AA1107" i="1" s="1"/>
  <c r="Y1108" i="1"/>
  <c r="AA1108" i="1" s="1"/>
  <c r="Y1109" i="1"/>
  <c r="AA1109" i="1" s="1"/>
  <c r="Y1110" i="1"/>
  <c r="AA1110" i="1" s="1"/>
  <c r="Y1111" i="1"/>
  <c r="AA1111" i="1" s="1"/>
  <c r="Y1112" i="1"/>
  <c r="AA1112" i="1" s="1"/>
  <c r="Y1113" i="1"/>
  <c r="AA1113" i="1" s="1"/>
  <c r="Y1115" i="1"/>
  <c r="AA1115" i="1" s="1"/>
  <c r="Y1116" i="1"/>
  <c r="AA1116" i="1" s="1"/>
  <c r="Y1117" i="1"/>
  <c r="AA1117" i="1" s="1"/>
  <c r="Y1118" i="1"/>
  <c r="AA1118" i="1" s="1"/>
  <c r="Y1119" i="1"/>
  <c r="AA1119" i="1" s="1"/>
  <c r="Y1120" i="1"/>
  <c r="AA1120" i="1" s="1"/>
  <c r="Y1121" i="1"/>
  <c r="AA1121" i="1" s="1"/>
  <c r="Y1122" i="1"/>
  <c r="AA1122" i="1" s="1"/>
  <c r="Y1123" i="1"/>
  <c r="AA1123" i="1" s="1"/>
  <c r="Y1124" i="1"/>
  <c r="AA1124" i="1" s="1"/>
  <c r="Y1125" i="1"/>
  <c r="AA1125" i="1" s="1"/>
  <c r="Y1126" i="1"/>
  <c r="AA1126" i="1" s="1"/>
  <c r="Y1127" i="1"/>
  <c r="AA1127" i="1" s="1"/>
  <c r="Y1128" i="1"/>
  <c r="AA1128" i="1" s="1"/>
  <c r="Y1129" i="1"/>
  <c r="AA1129" i="1" s="1"/>
  <c r="Y1130" i="1"/>
  <c r="AA1130" i="1" s="1"/>
  <c r="Y1131" i="1"/>
  <c r="AA1131" i="1" s="1"/>
  <c r="Y1132" i="1"/>
  <c r="AA1132" i="1" s="1"/>
  <c r="Y1133" i="1"/>
  <c r="AA1133" i="1" s="1"/>
  <c r="Y1135" i="1"/>
  <c r="AA1135" i="1" s="1"/>
  <c r="Y1136" i="1"/>
  <c r="AA1136" i="1" s="1"/>
  <c r="Y1137" i="1"/>
  <c r="AA1137" i="1" s="1"/>
  <c r="Y1138" i="1"/>
  <c r="AA1138" i="1" s="1"/>
  <c r="Y1139" i="1"/>
  <c r="AA1139" i="1" s="1"/>
  <c r="Y1140" i="1"/>
  <c r="AA1140" i="1" s="1"/>
  <c r="Y1141" i="1"/>
  <c r="AA1141" i="1" s="1"/>
  <c r="Y1142" i="1"/>
  <c r="AA1142" i="1" s="1"/>
  <c r="Y1143" i="1"/>
  <c r="AA1143" i="1" s="1"/>
  <c r="Y1144" i="1"/>
  <c r="AA1144" i="1" s="1"/>
  <c r="Y1145" i="1"/>
  <c r="AA1145" i="1" s="1"/>
  <c r="Y1146" i="1"/>
  <c r="AA1146" i="1" s="1"/>
  <c r="Y1147" i="1"/>
  <c r="AA1147" i="1" s="1"/>
  <c r="Y1148" i="1"/>
  <c r="AA1148" i="1" s="1"/>
  <c r="Y1149" i="1"/>
  <c r="AA1149" i="1" s="1"/>
  <c r="Y1150" i="1"/>
  <c r="AA1150" i="1" s="1"/>
  <c r="Y1152" i="1"/>
  <c r="AA1152" i="1" s="1"/>
  <c r="Y1153" i="1"/>
  <c r="AA1153" i="1" s="1"/>
  <c r="Y1154" i="1"/>
  <c r="AA1154" i="1" s="1"/>
  <c r="AA1155" i="1"/>
  <c r="Y1156" i="1"/>
  <c r="AA1156" i="1" s="1"/>
  <c r="Y1157" i="1"/>
  <c r="AA1157" i="1" s="1"/>
  <c r="Y1158" i="1"/>
  <c r="AA1158" i="1" s="1"/>
  <c r="Y1159" i="1"/>
  <c r="AA1159" i="1" s="1"/>
  <c r="Y1160" i="1"/>
  <c r="AA1160" i="1" s="1"/>
  <c r="Y1161" i="1"/>
  <c r="AA1161" i="1" s="1"/>
  <c r="Y1165" i="1"/>
  <c r="AA1165" i="1" s="1"/>
  <c r="Y1166" i="1"/>
  <c r="AA1166" i="1" s="1"/>
  <c r="Y1167" i="1"/>
  <c r="AA1167" i="1" s="1"/>
  <c r="Y1168" i="1"/>
  <c r="AA1168" i="1" s="1"/>
  <c r="Y1169" i="1"/>
  <c r="AA1169" i="1" s="1"/>
  <c r="Y1170" i="1"/>
  <c r="AA1170" i="1" s="1"/>
  <c r="Y1171" i="1"/>
  <c r="AA1171" i="1" s="1"/>
  <c r="Y1172" i="1"/>
  <c r="AA1172" i="1" s="1"/>
  <c r="Y1173" i="1"/>
  <c r="AA1173" i="1" s="1"/>
  <c r="Y1175" i="1"/>
  <c r="AA1175" i="1" s="1"/>
  <c r="Y1176" i="1"/>
  <c r="AA1176" i="1" s="1"/>
  <c r="Y1177" i="1"/>
  <c r="AA1177" i="1" s="1"/>
  <c r="Y1178" i="1"/>
  <c r="AA1178" i="1" s="1"/>
  <c r="Y1179" i="1"/>
  <c r="AA1179" i="1" s="1"/>
  <c r="Y1180" i="1"/>
  <c r="AA1180" i="1" s="1"/>
  <c r="Y1181" i="1"/>
  <c r="AA1181" i="1" s="1"/>
  <c r="Y1182" i="1"/>
  <c r="AA1182" i="1" s="1"/>
  <c r="Y1269" i="1"/>
  <c r="AA1269" i="1" s="1"/>
  <c r="Y1183" i="1"/>
  <c r="AA1183" i="1" s="1"/>
  <c r="Y1184" i="1"/>
  <c r="AA1184" i="1" s="1"/>
  <c r="Y1185" i="1"/>
  <c r="AA1185" i="1" s="1"/>
  <c r="Y1186" i="1"/>
  <c r="AA1186" i="1" s="1"/>
  <c r="Y1187" i="1"/>
  <c r="AA1187" i="1" s="1"/>
  <c r="Y1188" i="1"/>
  <c r="AA1188" i="1" s="1"/>
  <c r="Y1189" i="1"/>
  <c r="AA1189" i="1" s="1"/>
  <c r="Y1190" i="1"/>
  <c r="AA1190" i="1" s="1"/>
  <c r="Y1191" i="1"/>
  <c r="AA1191" i="1" s="1"/>
  <c r="Y1192" i="1"/>
  <c r="AA1192" i="1" s="1"/>
  <c r="Y1193" i="1"/>
  <c r="AA1193" i="1" s="1"/>
  <c r="Y1194" i="1"/>
  <c r="AA1194" i="1" s="1"/>
  <c r="Y1195" i="1"/>
  <c r="AA1195" i="1" s="1"/>
  <c r="Y1196" i="1"/>
  <c r="AA1196" i="1" s="1"/>
  <c r="Y1197" i="1"/>
  <c r="AA1197" i="1" s="1"/>
  <c r="Y1198" i="1"/>
  <c r="AA1198" i="1" s="1"/>
  <c r="Y1199" i="1"/>
  <c r="AA1199" i="1" s="1"/>
  <c r="Y1200" i="1"/>
  <c r="AA1200" i="1" s="1"/>
  <c r="Y1201" i="1"/>
  <c r="AA1201" i="1" s="1"/>
  <c r="Y1202" i="1"/>
  <c r="AA1202" i="1" s="1"/>
  <c r="Y1203" i="1"/>
  <c r="AA1203" i="1" s="1"/>
  <c r="Y1204" i="1"/>
  <c r="AA1204" i="1" s="1"/>
  <c r="Y1205" i="1"/>
  <c r="AA1205" i="1" s="1"/>
  <c r="Y1206" i="1"/>
  <c r="AA1206" i="1" s="1"/>
  <c r="Y1207" i="1"/>
  <c r="AA1207" i="1" s="1"/>
  <c r="Y1208" i="1"/>
  <c r="AA1208" i="1" s="1"/>
  <c r="Y1209" i="1"/>
  <c r="AA1209" i="1" s="1"/>
  <c r="Y1210" i="1"/>
  <c r="AA1210" i="1" s="1"/>
  <c r="Y1211" i="1"/>
  <c r="AA1211" i="1" s="1"/>
  <c r="Y1212" i="1"/>
  <c r="AA1212" i="1" s="1"/>
  <c r="Y1213" i="1"/>
  <c r="AA1213" i="1" s="1"/>
  <c r="Y1214" i="1"/>
  <c r="AA1214" i="1" s="1"/>
  <c r="Y1215" i="1"/>
  <c r="AA1215" i="1" s="1"/>
  <c r="Y1216" i="1"/>
  <c r="AA1216" i="1" s="1"/>
  <c r="Y1217" i="1"/>
  <c r="AA1217" i="1" s="1"/>
  <c r="Y1218" i="1"/>
  <c r="AA1218" i="1" s="1"/>
  <c r="Y1219" i="1"/>
  <c r="AA1219" i="1" s="1"/>
  <c r="Y1220" i="1"/>
  <c r="AA1220" i="1" s="1"/>
  <c r="Y1221" i="1"/>
  <c r="AA1221" i="1" s="1"/>
  <c r="Y1222" i="1"/>
  <c r="AA1222" i="1" s="1"/>
  <c r="Y1223" i="1"/>
  <c r="AA1223" i="1" s="1"/>
  <c r="Y1224" i="1"/>
  <c r="AA1224" i="1" s="1"/>
  <c r="Y1225" i="1"/>
  <c r="AA1225" i="1" s="1"/>
  <c r="Y1226" i="1"/>
  <c r="AA1226" i="1" s="1"/>
  <c r="Y1227" i="1"/>
  <c r="AA1227" i="1" s="1"/>
  <c r="Y1228" i="1"/>
  <c r="AA1228" i="1" s="1"/>
  <c r="Y1229" i="1"/>
  <c r="AA1229" i="1" s="1"/>
  <c r="Y1230" i="1"/>
  <c r="AA1230" i="1" s="1"/>
  <c r="Y1231" i="1"/>
  <c r="AA1231" i="1" s="1"/>
  <c r="Y1232" i="1"/>
  <c r="AA1232" i="1" s="1"/>
  <c r="Y1233" i="1"/>
  <c r="AA1233" i="1" s="1"/>
  <c r="Y1234" i="1"/>
  <c r="AA1234" i="1" s="1"/>
  <c r="Y1235" i="1"/>
  <c r="AA1235" i="1" s="1"/>
  <c r="Y1236" i="1"/>
  <c r="AA1236" i="1" s="1"/>
  <c r="Y1237" i="1"/>
  <c r="AA1237" i="1" s="1"/>
  <c r="Y1238" i="1"/>
  <c r="AA1238" i="1" s="1"/>
  <c r="Y1239" i="1"/>
  <c r="AA1239" i="1" s="1"/>
  <c r="Y1240" i="1"/>
  <c r="AA1240" i="1" s="1"/>
  <c r="Y1241" i="1"/>
  <c r="AA1241" i="1" s="1"/>
  <c r="Y1242" i="1"/>
  <c r="AA1242" i="1" s="1"/>
  <c r="Y1243" i="1"/>
  <c r="AA1243" i="1" s="1"/>
  <c r="Y1244" i="1"/>
  <c r="AA1244" i="1" s="1"/>
  <c r="Y1245" i="1"/>
  <c r="AA1245" i="1" s="1"/>
  <c r="Y1246" i="1"/>
  <c r="AA1246" i="1" s="1"/>
  <c r="Y1247" i="1"/>
  <c r="AA1247" i="1" s="1"/>
  <c r="Y1248" i="1"/>
  <c r="AA1248" i="1" s="1"/>
  <c r="Y1249" i="1"/>
  <c r="AA1249" i="1" s="1"/>
  <c r="Y1250" i="1"/>
  <c r="AA1250" i="1" s="1"/>
  <c r="Y1251" i="1"/>
  <c r="AA1251" i="1" s="1"/>
  <c r="Y1252" i="1"/>
  <c r="AA1252" i="1" s="1"/>
  <c r="Y1253" i="1"/>
  <c r="AA1253" i="1" s="1"/>
  <c r="Y1254" i="1"/>
  <c r="AA1254" i="1" s="1"/>
  <c r="Y1174" i="1"/>
  <c r="AA1174" i="1" s="1"/>
  <c r="Y1255" i="1"/>
  <c r="AA1255" i="1" s="1"/>
  <c r="Y1256" i="1"/>
  <c r="AA1256" i="1" s="1"/>
  <c r="Y1257" i="1"/>
  <c r="AA1257" i="1" s="1"/>
  <c r="Y1258" i="1"/>
  <c r="AA1258" i="1" s="1"/>
  <c r="Y1259" i="1"/>
  <c r="AA1259" i="1" s="1"/>
  <c r="Y1260" i="1"/>
  <c r="AA1260" i="1" s="1"/>
  <c r="Y1261" i="1"/>
  <c r="AA1261" i="1" s="1"/>
  <c r="Y1262" i="1"/>
  <c r="AA1262" i="1" s="1"/>
  <c r="Y1263" i="1"/>
  <c r="AA1263" i="1" s="1"/>
  <c r="Y1264" i="1"/>
  <c r="AA1264" i="1" s="1"/>
  <c r="Y1265" i="1"/>
  <c r="AA1265" i="1" s="1"/>
  <c r="Y1266" i="1"/>
  <c r="AA1266" i="1" s="1"/>
  <c r="Y1267" i="1"/>
  <c r="AA1267" i="1" s="1"/>
  <c r="Y1268" i="1"/>
  <c r="AA1268" i="1" s="1"/>
  <c r="Y691" i="1"/>
  <c r="AA691" i="1" s="1"/>
  <c r="P791" i="1"/>
  <c r="Y3" i="1"/>
  <c r="AA3" i="1" s="1"/>
  <c r="Y4" i="1"/>
  <c r="AA4" i="1" s="1"/>
  <c r="Y5" i="1"/>
  <c r="AA5" i="1" s="1"/>
  <c r="Y6" i="1"/>
  <c r="AA6" i="1" s="1"/>
  <c r="Y7" i="1"/>
  <c r="AA7" i="1" s="1"/>
  <c r="Y8" i="1"/>
  <c r="AA8" i="1" s="1"/>
  <c r="Y9" i="1"/>
  <c r="AA9" i="1" s="1"/>
  <c r="Y10" i="1"/>
  <c r="AA10" i="1" s="1"/>
  <c r="Y11" i="1"/>
  <c r="AA11" i="1" s="1"/>
  <c r="Y12" i="1"/>
  <c r="AA12" i="1" s="1"/>
  <c r="Y13" i="1"/>
  <c r="AA13" i="1" s="1"/>
  <c r="Y14" i="1"/>
  <c r="AA14" i="1" s="1"/>
  <c r="Y15" i="1"/>
  <c r="AA15" i="1" s="1"/>
  <c r="Y16" i="1"/>
  <c r="AA16" i="1" s="1"/>
  <c r="Y18" i="1"/>
  <c r="AA18" i="1" s="1"/>
  <c r="Y19" i="1"/>
  <c r="AA19" i="1" s="1"/>
  <c r="Y20" i="1"/>
  <c r="AA20" i="1" s="1"/>
  <c r="Y21" i="1"/>
  <c r="AA21" i="1" s="1"/>
  <c r="Y22" i="1"/>
  <c r="AA22" i="1" s="1"/>
  <c r="Y23" i="1"/>
  <c r="AA23" i="1" s="1"/>
  <c r="Y24" i="1"/>
  <c r="AA24" i="1" s="1"/>
  <c r="Y25" i="1"/>
  <c r="AA25" i="1" s="1"/>
  <c r="Y26" i="1"/>
  <c r="AA26" i="1" s="1"/>
  <c r="Y27" i="1"/>
  <c r="AA27" i="1" s="1"/>
  <c r="Y28" i="1"/>
  <c r="AA28" i="1" s="1"/>
  <c r="Y29" i="1"/>
  <c r="AA29" i="1" s="1"/>
  <c r="Y30" i="1"/>
  <c r="AA30" i="1" s="1"/>
  <c r="Y31" i="1"/>
  <c r="AA31" i="1" s="1"/>
  <c r="Y32" i="1"/>
  <c r="AA32" i="1" s="1"/>
  <c r="Y33" i="1"/>
  <c r="AA33" i="1" s="1"/>
  <c r="Y34" i="1"/>
  <c r="AA34" i="1" s="1"/>
  <c r="Y35" i="1"/>
  <c r="AA35" i="1" s="1"/>
  <c r="Y36" i="1"/>
  <c r="AA36" i="1" s="1"/>
  <c r="Y37" i="1"/>
  <c r="AA37" i="1" s="1"/>
  <c r="Y38" i="1"/>
  <c r="AA38" i="1" s="1"/>
  <c r="Y39" i="1"/>
  <c r="AA39" i="1" s="1"/>
  <c r="Y40" i="1"/>
  <c r="AA40" i="1" s="1"/>
  <c r="Y41" i="1"/>
  <c r="AA41" i="1" s="1"/>
  <c r="Y42" i="1"/>
  <c r="AA42" i="1" s="1"/>
  <c r="Y43" i="1"/>
  <c r="AA43" i="1" s="1"/>
  <c r="Y44" i="1"/>
  <c r="AA44" i="1" s="1"/>
  <c r="Y45" i="1"/>
  <c r="AA45" i="1" s="1"/>
  <c r="Y46" i="1"/>
  <c r="AA46" i="1" s="1"/>
  <c r="Y47" i="1"/>
  <c r="AA47" i="1" s="1"/>
  <c r="Y48" i="1"/>
  <c r="AA48" i="1" s="1"/>
  <c r="Y49" i="1"/>
  <c r="AA49" i="1" s="1"/>
  <c r="Y50" i="1"/>
  <c r="AA50" i="1" s="1"/>
  <c r="Y51" i="1"/>
  <c r="AA51" i="1" s="1"/>
  <c r="Y52" i="1"/>
  <c r="AA52" i="1" s="1"/>
  <c r="Y53" i="1"/>
  <c r="AA53" i="1" s="1"/>
  <c r="Y54" i="1"/>
  <c r="AA54" i="1" s="1"/>
  <c r="Y55" i="1"/>
  <c r="AA55" i="1" s="1"/>
  <c r="Y56" i="1"/>
  <c r="AA56" i="1" s="1"/>
  <c r="Y57" i="1"/>
  <c r="AA57" i="1" s="1"/>
  <c r="Y58" i="1"/>
  <c r="AA58" i="1" s="1"/>
  <c r="Y59" i="1"/>
  <c r="AA59" i="1" s="1"/>
  <c r="Y60" i="1"/>
  <c r="AA60" i="1" s="1"/>
  <c r="Y61" i="1"/>
  <c r="AA61" i="1" s="1"/>
  <c r="Y62" i="1"/>
  <c r="AA62" i="1" s="1"/>
  <c r="Y63" i="1"/>
  <c r="AA63" i="1" s="1"/>
  <c r="Y64" i="1"/>
  <c r="AA64" i="1" s="1"/>
  <c r="Y65" i="1"/>
  <c r="AA65" i="1" s="1"/>
  <c r="Y66" i="1"/>
  <c r="AA66" i="1" s="1"/>
  <c r="Y67" i="1"/>
  <c r="AA67" i="1" s="1"/>
  <c r="Y68" i="1"/>
  <c r="AA68" i="1" s="1"/>
  <c r="Y69" i="1"/>
  <c r="AA69" i="1" s="1"/>
  <c r="Y70" i="1"/>
  <c r="AA70" i="1" s="1"/>
  <c r="Y71" i="1"/>
  <c r="AA71" i="1" s="1"/>
  <c r="Y72" i="1"/>
  <c r="AA72" i="1" s="1"/>
  <c r="Y73" i="1"/>
  <c r="AA73" i="1" s="1"/>
  <c r="Y74" i="1"/>
  <c r="AA74" i="1" s="1"/>
  <c r="Y75" i="1"/>
  <c r="AA75" i="1" s="1"/>
  <c r="Y76" i="1"/>
  <c r="AA76" i="1" s="1"/>
  <c r="Y77" i="1"/>
  <c r="AA77" i="1" s="1"/>
  <c r="Y78" i="1"/>
  <c r="AA78" i="1" s="1"/>
  <c r="Y79" i="1"/>
  <c r="AA79" i="1" s="1"/>
  <c r="Y80" i="1"/>
  <c r="AA80" i="1" s="1"/>
  <c r="Y81" i="1"/>
  <c r="AA81" i="1" s="1"/>
  <c r="Y82" i="1"/>
  <c r="AA82" i="1" s="1"/>
  <c r="Y83" i="1"/>
  <c r="AA83" i="1" s="1"/>
  <c r="Y84" i="1"/>
  <c r="AA84" i="1" s="1"/>
  <c r="Y85" i="1"/>
  <c r="AA85" i="1" s="1"/>
  <c r="Y86" i="1"/>
  <c r="AA86" i="1" s="1"/>
  <c r="Y87" i="1"/>
  <c r="AA87" i="1" s="1"/>
  <c r="Y88" i="1"/>
  <c r="AA88" i="1" s="1"/>
  <c r="Y89" i="1"/>
  <c r="AA89" i="1" s="1"/>
  <c r="Y90" i="1"/>
  <c r="AA90" i="1" s="1"/>
  <c r="Y91" i="1"/>
  <c r="AA91" i="1" s="1"/>
  <c r="Y92" i="1"/>
  <c r="AA92" i="1" s="1"/>
  <c r="Y93" i="1"/>
  <c r="AA93" i="1" s="1"/>
  <c r="Y94" i="1"/>
  <c r="AA94" i="1" s="1"/>
  <c r="Y95" i="1"/>
  <c r="AA95" i="1" s="1"/>
  <c r="Y96" i="1"/>
  <c r="AA96" i="1" s="1"/>
  <c r="Y97" i="1"/>
  <c r="AA97" i="1" s="1"/>
  <c r="Y98" i="1"/>
  <c r="AA98" i="1" s="1"/>
  <c r="Y99" i="1"/>
  <c r="AA99" i="1" s="1"/>
  <c r="Y100" i="1"/>
  <c r="AA100" i="1" s="1"/>
  <c r="Y101" i="1"/>
  <c r="AA101" i="1" s="1"/>
  <c r="Y102" i="1"/>
  <c r="AA102" i="1" s="1"/>
  <c r="Y103" i="1"/>
  <c r="AA103" i="1" s="1"/>
  <c r="Y104" i="1"/>
  <c r="AA104" i="1" s="1"/>
  <c r="Y105" i="1"/>
  <c r="AA105" i="1" s="1"/>
  <c r="Y106" i="1"/>
  <c r="AA106" i="1" s="1"/>
  <c r="Y107" i="1"/>
  <c r="AA107" i="1" s="1"/>
  <c r="Y108" i="1"/>
  <c r="AA108" i="1" s="1"/>
  <c r="Y109" i="1"/>
  <c r="AA109" i="1" s="1"/>
  <c r="Y110" i="1"/>
  <c r="AA110" i="1" s="1"/>
  <c r="Y111" i="1"/>
  <c r="AA111" i="1" s="1"/>
  <c r="Y112" i="1"/>
  <c r="AA112" i="1" s="1"/>
  <c r="Y113" i="1"/>
  <c r="AA113" i="1" s="1"/>
  <c r="Y114" i="1"/>
  <c r="AA114" i="1" s="1"/>
  <c r="Y115" i="1"/>
  <c r="AA115" i="1" s="1"/>
  <c r="Y116" i="1"/>
  <c r="AA116" i="1" s="1"/>
  <c r="Y117" i="1"/>
  <c r="AA117" i="1" s="1"/>
  <c r="Y118" i="1"/>
  <c r="AA118" i="1" s="1"/>
  <c r="Y119" i="1"/>
  <c r="AA119" i="1" s="1"/>
  <c r="Y120" i="1"/>
  <c r="AA120" i="1" s="1"/>
  <c r="Y121" i="1"/>
  <c r="AA121" i="1" s="1"/>
  <c r="Y122" i="1"/>
  <c r="AA122" i="1" s="1"/>
  <c r="Y123" i="1"/>
  <c r="AA123" i="1" s="1"/>
  <c r="Y124" i="1"/>
  <c r="AA124" i="1" s="1"/>
  <c r="Y125" i="1"/>
  <c r="AA125" i="1" s="1"/>
  <c r="Y126" i="1"/>
  <c r="AA126" i="1" s="1"/>
  <c r="Y127" i="1"/>
  <c r="AA127" i="1" s="1"/>
  <c r="Y128" i="1"/>
  <c r="AA128" i="1" s="1"/>
  <c r="Y129" i="1"/>
  <c r="AA129" i="1" s="1"/>
  <c r="Y130" i="1"/>
  <c r="AA130" i="1" s="1"/>
  <c r="Y131" i="1"/>
  <c r="AA131" i="1" s="1"/>
  <c r="Y132" i="1"/>
  <c r="AA132" i="1" s="1"/>
  <c r="Y133" i="1"/>
  <c r="AA133" i="1" s="1"/>
  <c r="Y134" i="1"/>
  <c r="AA134" i="1" s="1"/>
  <c r="Y135" i="1"/>
  <c r="AA135" i="1" s="1"/>
  <c r="Y136" i="1"/>
  <c r="AA136" i="1" s="1"/>
  <c r="Y137" i="1"/>
  <c r="AA137" i="1" s="1"/>
  <c r="Y138" i="1"/>
  <c r="AA138" i="1" s="1"/>
  <c r="Y139" i="1"/>
  <c r="AA139" i="1" s="1"/>
  <c r="Y140" i="1"/>
  <c r="AA140" i="1" s="1"/>
  <c r="Y141" i="1"/>
  <c r="AA141" i="1" s="1"/>
  <c r="Y142" i="1"/>
  <c r="AA142" i="1" s="1"/>
  <c r="Y143" i="1"/>
  <c r="AA143" i="1" s="1"/>
  <c r="Y144" i="1"/>
  <c r="AA144" i="1" s="1"/>
  <c r="Y145" i="1"/>
  <c r="AA145" i="1" s="1"/>
  <c r="Y146" i="1"/>
  <c r="AA146" i="1" s="1"/>
  <c r="Y147" i="1"/>
  <c r="AA147" i="1" s="1"/>
  <c r="Y148" i="1"/>
  <c r="AA148" i="1" s="1"/>
  <c r="Y149" i="1"/>
  <c r="AA149" i="1" s="1"/>
  <c r="Y150" i="1"/>
  <c r="AA150" i="1" s="1"/>
  <c r="Y151" i="1"/>
  <c r="AA151" i="1" s="1"/>
  <c r="Y152" i="1"/>
  <c r="AA152" i="1" s="1"/>
  <c r="Y153" i="1"/>
  <c r="AA153" i="1" s="1"/>
  <c r="Y154" i="1"/>
  <c r="AA154" i="1" s="1"/>
  <c r="Y155" i="1"/>
  <c r="AA155" i="1" s="1"/>
  <c r="Y156" i="1"/>
  <c r="AA156" i="1" s="1"/>
  <c r="Y157" i="1"/>
  <c r="AA157" i="1" s="1"/>
  <c r="Y158" i="1"/>
  <c r="AA158" i="1" s="1"/>
  <c r="Y159" i="1"/>
  <c r="AA159" i="1" s="1"/>
  <c r="Y160" i="1"/>
  <c r="AA160" i="1" s="1"/>
  <c r="Y161" i="1"/>
  <c r="AA161" i="1" s="1"/>
  <c r="Y162" i="1"/>
  <c r="AA162" i="1" s="1"/>
  <c r="Y163" i="1"/>
  <c r="AA163" i="1" s="1"/>
  <c r="Y164" i="1"/>
  <c r="AA164" i="1" s="1"/>
  <c r="Y165" i="1"/>
  <c r="AA165" i="1" s="1"/>
  <c r="Y166" i="1"/>
  <c r="AA166" i="1" s="1"/>
  <c r="Y167" i="1"/>
  <c r="AA167" i="1" s="1"/>
  <c r="Y168" i="1"/>
  <c r="AA168" i="1" s="1"/>
  <c r="Y169" i="1"/>
  <c r="AA169" i="1" s="1"/>
  <c r="Y170" i="1"/>
  <c r="AA170" i="1" s="1"/>
  <c r="Y171" i="1"/>
  <c r="AA171" i="1" s="1"/>
  <c r="Y172" i="1"/>
  <c r="AA172" i="1" s="1"/>
  <c r="Y173" i="1"/>
  <c r="AA173" i="1" s="1"/>
  <c r="Y174" i="1"/>
  <c r="AA174" i="1" s="1"/>
  <c r="Y175" i="1"/>
  <c r="AA175" i="1" s="1"/>
  <c r="Y176" i="1"/>
  <c r="AA176" i="1" s="1"/>
  <c r="Y177" i="1"/>
  <c r="AA177" i="1" s="1"/>
  <c r="Y178" i="1"/>
  <c r="AA178" i="1" s="1"/>
  <c r="Y179" i="1"/>
  <c r="AA179" i="1" s="1"/>
  <c r="Y180" i="1"/>
  <c r="AA180" i="1" s="1"/>
  <c r="Y181" i="1"/>
  <c r="AA181" i="1" s="1"/>
  <c r="Y182" i="1"/>
  <c r="AA182" i="1" s="1"/>
  <c r="Y183" i="1"/>
  <c r="AA183" i="1" s="1"/>
  <c r="Y184" i="1"/>
  <c r="AA184" i="1" s="1"/>
  <c r="Y185" i="1"/>
  <c r="AA185" i="1" s="1"/>
  <c r="Y186" i="1"/>
  <c r="AA186" i="1" s="1"/>
  <c r="Y187" i="1"/>
  <c r="AA187" i="1" s="1"/>
  <c r="Y188" i="1"/>
  <c r="AA188" i="1" s="1"/>
  <c r="Y189" i="1"/>
  <c r="AA189" i="1" s="1"/>
  <c r="Y190" i="1"/>
  <c r="AA190" i="1" s="1"/>
  <c r="Y191" i="1"/>
  <c r="AA191" i="1" s="1"/>
  <c r="Y192" i="1"/>
  <c r="AA192" i="1" s="1"/>
  <c r="Y193" i="1"/>
  <c r="AA193" i="1" s="1"/>
  <c r="Y194" i="1"/>
  <c r="AA194" i="1" s="1"/>
  <c r="Y195" i="1"/>
  <c r="AA195" i="1" s="1"/>
  <c r="Y196" i="1"/>
  <c r="AA196" i="1" s="1"/>
  <c r="Y197" i="1"/>
  <c r="AA197" i="1" s="1"/>
  <c r="Y198" i="1"/>
  <c r="AA198" i="1" s="1"/>
  <c r="Y199" i="1"/>
  <c r="AA199" i="1" s="1"/>
  <c r="Y200" i="1"/>
  <c r="AA200" i="1" s="1"/>
  <c r="Y201" i="1"/>
  <c r="AA201" i="1" s="1"/>
  <c r="Y202" i="1"/>
  <c r="AA202" i="1" s="1"/>
  <c r="Y203" i="1"/>
  <c r="AA203" i="1" s="1"/>
  <c r="Y204" i="1"/>
  <c r="AA204" i="1" s="1"/>
  <c r="Y205" i="1"/>
  <c r="AA205" i="1" s="1"/>
  <c r="Y206" i="1"/>
  <c r="AA206" i="1" s="1"/>
  <c r="Y207" i="1"/>
  <c r="AA207" i="1" s="1"/>
  <c r="Y208" i="1"/>
  <c r="AA208" i="1" s="1"/>
  <c r="Y209" i="1"/>
  <c r="AA209" i="1" s="1"/>
  <c r="Y210" i="1"/>
  <c r="AA210" i="1" s="1"/>
  <c r="Y211" i="1"/>
  <c r="AA211" i="1" s="1"/>
  <c r="Y212" i="1"/>
  <c r="AA212" i="1" s="1"/>
  <c r="Y213" i="1"/>
  <c r="AA213" i="1" s="1"/>
  <c r="Y214" i="1"/>
  <c r="AA214" i="1" s="1"/>
  <c r="Y215" i="1"/>
  <c r="AA215" i="1" s="1"/>
  <c r="Y216" i="1"/>
  <c r="AA216" i="1" s="1"/>
  <c r="Y217" i="1"/>
  <c r="AA217" i="1" s="1"/>
  <c r="Y218" i="1"/>
  <c r="AA218" i="1" s="1"/>
  <c r="Y219" i="1"/>
  <c r="AA219" i="1" s="1"/>
  <c r="Y220" i="1"/>
  <c r="AA220" i="1" s="1"/>
  <c r="Y221" i="1"/>
  <c r="AA221" i="1" s="1"/>
  <c r="Y222" i="1"/>
  <c r="AA222" i="1" s="1"/>
  <c r="Y223" i="1"/>
  <c r="AA223" i="1" s="1"/>
  <c r="Y224" i="1"/>
  <c r="AA224" i="1" s="1"/>
  <c r="Y225" i="1"/>
  <c r="AA225" i="1" s="1"/>
  <c r="Y226" i="1"/>
  <c r="AA226" i="1" s="1"/>
  <c r="Y227" i="1"/>
  <c r="AA227" i="1" s="1"/>
  <c r="Y228" i="1"/>
  <c r="AA228" i="1" s="1"/>
  <c r="Y229" i="1"/>
  <c r="AA229" i="1" s="1"/>
  <c r="Y230" i="1"/>
  <c r="AA230" i="1" s="1"/>
  <c r="Y231" i="1"/>
  <c r="AA231" i="1" s="1"/>
  <c r="Y232" i="1"/>
  <c r="AA232" i="1" s="1"/>
  <c r="Y233" i="1"/>
  <c r="AA233" i="1" s="1"/>
  <c r="Y234" i="1"/>
  <c r="AA234" i="1" s="1"/>
  <c r="Y235" i="1"/>
  <c r="AA235" i="1" s="1"/>
  <c r="Y236" i="1"/>
  <c r="AA236" i="1" s="1"/>
  <c r="Y237" i="1"/>
  <c r="AA237" i="1" s="1"/>
  <c r="Y238" i="1"/>
  <c r="AA238" i="1" s="1"/>
  <c r="Y239" i="1"/>
  <c r="AA239" i="1" s="1"/>
  <c r="Y240" i="1"/>
  <c r="AA240" i="1" s="1"/>
  <c r="Y241" i="1"/>
  <c r="AA241" i="1" s="1"/>
  <c r="Y242" i="1"/>
  <c r="AA242" i="1" s="1"/>
  <c r="Y243" i="1"/>
  <c r="AA243" i="1" s="1"/>
  <c r="Y244" i="1"/>
  <c r="AA244" i="1" s="1"/>
  <c r="Y245" i="1"/>
  <c r="AA245" i="1" s="1"/>
  <c r="Y246" i="1"/>
  <c r="AA246" i="1" s="1"/>
  <c r="Y247" i="1"/>
  <c r="AA247" i="1" s="1"/>
  <c r="Y248" i="1"/>
  <c r="AA248" i="1" s="1"/>
  <c r="Y249" i="1"/>
  <c r="AA249" i="1" s="1"/>
  <c r="Y250" i="1"/>
  <c r="AA250" i="1" s="1"/>
  <c r="Y251" i="1"/>
  <c r="AA251" i="1" s="1"/>
  <c r="Y252" i="1"/>
  <c r="AA252" i="1" s="1"/>
  <c r="Y253" i="1"/>
  <c r="AA253" i="1" s="1"/>
  <c r="Y254" i="1"/>
  <c r="AA254" i="1" s="1"/>
  <c r="Y255" i="1"/>
  <c r="AA255" i="1" s="1"/>
  <c r="Y256" i="1"/>
  <c r="AA256" i="1" s="1"/>
  <c r="Y257" i="1"/>
  <c r="AA257" i="1" s="1"/>
  <c r="Y258" i="1"/>
  <c r="AA258" i="1" s="1"/>
  <c r="Y259" i="1"/>
  <c r="AA259" i="1" s="1"/>
  <c r="Y260" i="1"/>
  <c r="AA260" i="1" s="1"/>
  <c r="Y261" i="1"/>
  <c r="AA261" i="1" s="1"/>
  <c r="Y262" i="1"/>
  <c r="AA262" i="1" s="1"/>
  <c r="Y263" i="1"/>
  <c r="AA263" i="1" s="1"/>
  <c r="Y264" i="1"/>
  <c r="AA264" i="1" s="1"/>
  <c r="Y265" i="1"/>
  <c r="AA265" i="1" s="1"/>
  <c r="Y266" i="1"/>
  <c r="AA266" i="1" s="1"/>
  <c r="Y267" i="1"/>
  <c r="AA267" i="1" s="1"/>
  <c r="Y268" i="1"/>
  <c r="AA268" i="1" s="1"/>
  <c r="Y269" i="1"/>
  <c r="AA269" i="1" s="1"/>
  <c r="Y270" i="1"/>
  <c r="AA270" i="1" s="1"/>
  <c r="Y271" i="1"/>
  <c r="AA271" i="1" s="1"/>
  <c r="Y272" i="1"/>
  <c r="AA272" i="1" s="1"/>
  <c r="Y273" i="1"/>
  <c r="AA273" i="1" s="1"/>
  <c r="Y274" i="1"/>
  <c r="AA274" i="1" s="1"/>
  <c r="Y275" i="1"/>
  <c r="AA275" i="1" s="1"/>
  <c r="Y276" i="1"/>
  <c r="AA276" i="1" s="1"/>
  <c r="Y277" i="1"/>
  <c r="AA277" i="1" s="1"/>
  <c r="Y278" i="1"/>
  <c r="AA278" i="1" s="1"/>
  <c r="Y279" i="1"/>
  <c r="AA279" i="1" s="1"/>
  <c r="Y280" i="1"/>
  <c r="AA280" i="1" s="1"/>
  <c r="Y281" i="1"/>
  <c r="AA281" i="1" s="1"/>
  <c r="Y282" i="1"/>
  <c r="AA282" i="1" s="1"/>
  <c r="Y283" i="1"/>
  <c r="AA283" i="1" s="1"/>
  <c r="Y284" i="1"/>
  <c r="AA284" i="1" s="1"/>
  <c r="Y285" i="1"/>
  <c r="AA285" i="1" s="1"/>
  <c r="Y286" i="1"/>
  <c r="AA286" i="1" s="1"/>
  <c r="Y287" i="1"/>
  <c r="AA287" i="1" s="1"/>
  <c r="Y288" i="1"/>
  <c r="AA288" i="1" s="1"/>
  <c r="Y289" i="1"/>
  <c r="AA289" i="1" s="1"/>
  <c r="Y290" i="1"/>
  <c r="AA290" i="1" s="1"/>
  <c r="Y291" i="1"/>
  <c r="AA291" i="1" s="1"/>
  <c r="Y292" i="1"/>
  <c r="AA292" i="1" s="1"/>
  <c r="Y293" i="1"/>
  <c r="AA293" i="1" s="1"/>
  <c r="Y294" i="1"/>
  <c r="AA294" i="1" s="1"/>
  <c r="Y295" i="1"/>
  <c r="AA295" i="1" s="1"/>
  <c r="Y296" i="1"/>
  <c r="AA296" i="1" s="1"/>
  <c r="Y297" i="1"/>
  <c r="AA297" i="1" s="1"/>
  <c r="Y298" i="1"/>
  <c r="AA298" i="1" s="1"/>
  <c r="Y299" i="1"/>
  <c r="AA299" i="1" s="1"/>
  <c r="Y300" i="1"/>
  <c r="AA300" i="1" s="1"/>
  <c r="Y301" i="1"/>
  <c r="AA301" i="1" s="1"/>
  <c r="Y302" i="1"/>
  <c r="AA302" i="1" s="1"/>
  <c r="Y303" i="1"/>
  <c r="AA303" i="1" s="1"/>
  <c r="Y304" i="1"/>
  <c r="AA304" i="1" s="1"/>
  <c r="Y305" i="1"/>
  <c r="AA305" i="1" s="1"/>
  <c r="Y306" i="1"/>
  <c r="AA306" i="1" s="1"/>
  <c r="Y307" i="1"/>
  <c r="AA307" i="1" s="1"/>
  <c r="Y308" i="1"/>
  <c r="AA308" i="1" s="1"/>
  <c r="Y309" i="1"/>
  <c r="AA309" i="1" s="1"/>
  <c r="Y310" i="1"/>
  <c r="AA310" i="1" s="1"/>
  <c r="Y311" i="1"/>
  <c r="AA311" i="1" s="1"/>
  <c r="Y312" i="1"/>
  <c r="AA312" i="1" s="1"/>
  <c r="Y313" i="1"/>
  <c r="AA313" i="1" s="1"/>
  <c r="Y314" i="1"/>
  <c r="AA314" i="1" s="1"/>
  <c r="Y315" i="1"/>
  <c r="AA315" i="1" s="1"/>
  <c r="Y316" i="1"/>
  <c r="AA316" i="1" s="1"/>
  <c r="Y317" i="1"/>
  <c r="AA317" i="1" s="1"/>
  <c r="Y318" i="1"/>
  <c r="AA318" i="1" s="1"/>
  <c r="Y319" i="1"/>
  <c r="AA319" i="1" s="1"/>
  <c r="Y320" i="1"/>
  <c r="AA320" i="1" s="1"/>
  <c r="Y321" i="1"/>
  <c r="AA321" i="1" s="1"/>
  <c r="Y322" i="1"/>
  <c r="AA322" i="1" s="1"/>
  <c r="Y323" i="1"/>
  <c r="AA323" i="1" s="1"/>
  <c r="Y324" i="1"/>
  <c r="AA324" i="1" s="1"/>
  <c r="Y325" i="1"/>
  <c r="AA325" i="1" s="1"/>
  <c r="Y326" i="1"/>
  <c r="AA326" i="1" s="1"/>
  <c r="Y327" i="1"/>
  <c r="AA327" i="1" s="1"/>
  <c r="Y328" i="1"/>
  <c r="AA328" i="1" s="1"/>
  <c r="Y329" i="1"/>
  <c r="AA329" i="1" s="1"/>
  <c r="Y330" i="1"/>
  <c r="AA330" i="1" s="1"/>
  <c r="Y331" i="1"/>
  <c r="AA331" i="1" s="1"/>
  <c r="Y332" i="1"/>
  <c r="AA332" i="1" s="1"/>
  <c r="Y333" i="1"/>
  <c r="AA333" i="1" s="1"/>
  <c r="Y334" i="1"/>
  <c r="AA334" i="1" s="1"/>
  <c r="Y335" i="1"/>
  <c r="AA335" i="1" s="1"/>
  <c r="Y336" i="1"/>
  <c r="AA336" i="1" s="1"/>
  <c r="Y337" i="1"/>
  <c r="AA337" i="1" s="1"/>
  <c r="Y338" i="1"/>
  <c r="AA338" i="1" s="1"/>
  <c r="Y339" i="1"/>
  <c r="AA339" i="1" s="1"/>
  <c r="Y340" i="1"/>
  <c r="AA340" i="1" s="1"/>
  <c r="Y341" i="1"/>
  <c r="AA341" i="1" s="1"/>
  <c r="Y342" i="1"/>
  <c r="AA342" i="1" s="1"/>
  <c r="Y343" i="1"/>
  <c r="AA343" i="1" s="1"/>
  <c r="Y344" i="1"/>
  <c r="AA344" i="1" s="1"/>
  <c r="Y345" i="1"/>
  <c r="AA345" i="1" s="1"/>
  <c r="Y346" i="1"/>
  <c r="AA346" i="1" s="1"/>
  <c r="Y347" i="1"/>
  <c r="AA347" i="1" s="1"/>
  <c r="Y348" i="1"/>
  <c r="AA348" i="1" s="1"/>
  <c r="Y349" i="1"/>
  <c r="AA349" i="1" s="1"/>
  <c r="Y350" i="1"/>
  <c r="AA350" i="1" s="1"/>
  <c r="Y351" i="1"/>
  <c r="AA351" i="1" s="1"/>
  <c r="Y352" i="1"/>
  <c r="AA352" i="1" s="1"/>
  <c r="Y353" i="1"/>
  <c r="AA353" i="1" s="1"/>
  <c r="Y354" i="1"/>
  <c r="AA354" i="1" s="1"/>
  <c r="Y355" i="1"/>
  <c r="AA355" i="1" s="1"/>
  <c r="Y356" i="1"/>
  <c r="AA356" i="1" s="1"/>
  <c r="Y357" i="1"/>
  <c r="AA357" i="1" s="1"/>
  <c r="Y358" i="1"/>
  <c r="AA358" i="1" s="1"/>
  <c r="Y359" i="1"/>
  <c r="AA359" i="1" s="1"/>
  <c r="Y360" i="1"/>
  <c r="AA360" i="1" s="1"/>
  <c r="Y361" i="1"/>
  <c r="AA361" i="1" s="1"/>
  <c r="Y362" i="1"/>
  <c r="AA362" i="1" s="1"/>
  <c r="Y363" i="1"/>
  <c r="AA363" i="1" s="1"/>
  <c r="Y364" i="1"/>
  <c r="AA364" i="1" s="1"/>
  <c r="Y365" i="1"/>
  <c r="AA365" i="1" s="1"/>
  <c r="Y366" i="1"/>
  <c r="AA366" i="1" s="1"/>
  <c r="Y367" i="1"/>
  <c r="AA367" i="1" s="1"/>
  <c r="Y368" i="1"/>
  <c r="AA368" i="1" s="1"/>
  <c r="Y369" i="1"/>
  <c r="AA369" i="1" s="1"/>
  <c r="Y370" i="1"/>
  <c r="AA370" i="1" s="1"/>
  <c r="Y371" i="1"/>
  <c r="AA371" i="1" s="1"/>
  <c r="Y372" i="1"/>
  <c r="AA372" i="1" s="1"/>
  <c r="Y373" i="1"/>
  <c r="AA373" i="1" s="1"/>
  <c r="Y374" i="1"/>
  <c r="AA374" i="1" s="1"/>
  <c r="Y375" i="1"/>
  <c r="AA375" i="1" s="1"/>
  <c r="Y376" i="1"/>
  <c r="AA376" i="1" s="1"/>
  <c r="Y377" i="1"/>
  <c r="AA377" i="1" s="1"/>
  <c r="Y378" i="1"/>
  <c r="AA378" i="1" s="1"/>
  <c r="Y379" i="1"/>
  <c r="AA379" i="1" s="1"/>
  <c r="Y380" i="1"/>
  <c r="AA380" i="1" s="1"/>
  <c r="Y381" i="1"/>
  <c r="AA381" i="1" s="1"/>
  <c r="Y382" i="1"/>
  <c r="AA382" i="1" s="1"/>
  <c r="Y383" i="1"/>
  <c r="AA383" i="1" s="1"/>
  <c r="Y384" i="1"/>
  <c r="AA384" i="1" s="1"/>
  <c r="Y385" i="1"/>
  <c r="AA385" i="1" s="1"/>
  <c r="Y386" i="1"/>
  <c r="AA386" i="1" s="1"/>
  <c r="Y387" i="1"/>
  <c r="AA387" i="1" s="1"/>
  <c r="Y388" i="1"/>
  <c r="AA388" i="1" s="1"/>
  <c r="Y389" i="1"/>
  <c r="AA389" i="1" s="1"/>
  <c r="Y390" i="1"/>
  <c r="AA390" i="1" s="1"/>
  <c r="Y391" i="1"/>
  <c r="AA391" i="1" s="1"/>
  <c r="Y392" i="1"/>
  <c r="AA392" i="1" s="1"/>
  <c r="Y393" i="1"/>
  <c r="AA393" i="1" s="1"/>
  <c r="Y394" i="1"/>
  <c r="AA394" i="1" s="1"/>
  <c r="Y395" i="1"/>
  <c r="AA395" i="1" s="1"/>
  <c r="Y396" i="1"/>
  <c r="AA396" i="1" s="1"/>
  <c r="Y397" i="1"/>
  <c r="AA397" i="1" s="1"/>
  <c r="Y398" i="1"/>
  <c r="AA398" i="1" s="1"/>
  <c r="Y399" i="1"/>
  <c r="AA399" i="1" s="1"/>
  <c r="Y400" i="1"/>
  <c r="AA400" i="1" s="1"/>
  <c r="Y401" i="1"/>
  <c r="AA401" i="1" s="1"/>
  <c r="Y402" i="1"/>
  <c r="AA402" i="1" s="1"/>
  <c r="Y403" i="1"/>
  <c r="AA403" i="1" s="1"/>
  <c r="Y404" i="1"/>
  <c r="AA404" i="1" s="1"/>
  <c r="Y405" i="1"/>
  <c r="AA405" i="1" s="1"/>
  <c r="Y406" i="1"/>
  <c r="AA406" i="1" s="1"/>
  <c r="Y407" i="1"/>
  <c r="AA407" i="1" s="1"/>
  <c r="Y408" i="1"/>
  <c r="AA408" i="1" s="1"/>
  <c r="Y409" i="1"/>
  <c r="AA409" i="1" s="1"/>
  <c r="Y410" i="1"/>
  <c r="AA410" i="1" s="1"/>
  <c r="Y411" i="1"/>
  <c r="AA411" i="1" s="1"/>
  <c r="Y412" i="1"/>
  <c r="AA412" i="1" s="1"/>
  <c r="Y413" i="1"/>
  <c r="AA413" i="1" s="1"/>
  <c r="Y414" i="1"/>
  <c r="AA414" i="1" s="1"/>
  <c r="Y415" i="1"/>
  <c r="AA415" i="1" s="1"/>
  <c r="Y416" i="1"/>
  <c r="AA416" i="1" s="1"/>
  <c r="Y417" i="1"/>
  <c r="AA417" i="1" s="1"/>
  <c r="Y418" i="1"/>
  <c r="AA418" i="1" s="1"/>
  <c r="Y419" i="1"/>
  <c r="AA419" i="1" s="1"/>
  <c r="Y420" i="1"/>
  <c r="AA420" i="1" s="1"/>
  <c r="Y421" i="1"/>
  <c r="AA421" i="1" s="1"/>
  <c r="Y422" i="1"/>
  <c r="AA422" i="1" s="1"/>
  <c r="Y423" i="1"/>
  <c r="AA423" i="1" s="1"/>
  <c r="Y424" i="1"/>
  <c r="AA424" i="1" s="1"/>
  <c r="Y425" i="1"/>
  <c r="AA425" i="1" s="1"/>
  <c r="Y426" i="1"/>
  <c r="AA426" i="1" s="1"/>
  <c r="Y427" i="1"/>
  <c r="AA427" i="1" s="1"/>
  <c r="Y428" i="1"/>
  <c r="AA428" i="1" s="1"/>
  <c r="Y429" i="1"/>
  <c r="AA429" i="1" s="1"/>
  <c r="Y430" i="1"/>
  <c r="AA430" i="1" s="1"/>
  <c r="Y431" i="1"/>
  <c r="AA431" i="1" s="1"/>
  <c r="Y432" i="1"/>
  <c r="AA432" i="1" s="1"/>
  <c r="Y433" i="1"/>
  <c r="AA433" i="1" s="1"/>
  <c r="Y434" i="1"/>
  <c r="AA434" i="1" s="1"/>
  <c r="Y435" i="1"/>
  <c r="AA435" i="1" s="1"/>
  <c r="Y436" i="1"/>
  <c r="AA436" i="1" s="1"/>
  <c r="Y437" i="1"/>
  <c r="AA437" i="1" s="1"/>
  <c r="Y438" i="1"/>
  <c r="AA438" i="1" s="1"/>
  <c r="Y439" i="1"/>
  <c r="AA439" i="1" s="1"/>
  <c r="Y440" i="1"/>
  <c r="AA440" i="1" s="1"/>
  <c r="Y441" i="1"/>
  <c r="AA441" i="1" s="1"/>
  <c r="Y442" i="1"/>
  <c r="AA442" i="1" s="1"/>
  <c r="Y443" i="1"/>
  <c r="AA443" i="1" s="1"/>
  <c r="Y444" i="1"/>
  <c r="AA444" i="1" s="1"/>
  <c r="Y445" i="1"/>
  <c r="AA445" i="1" s="1"/>
  <c r="Y446" i="1"/>
  <c r="AA446" i="1" s="1"/>
  <c r="Y447" i="1"/>
  <c r="AA447" i="1" s="1"/>
  <c r="Y448" i="1"/>
  <c r="AA448" i="1" s="1"/>
  <c r="Y449" i="1"/>
  <c r="AA449" i="1" s="1"/>
  <c r="Y450" i="1"/>
  <c r="AA450" i="1" s="1"/>
  <c r="Y451" i="1"/>
  <c r="AA451" i="1" s="1"/>
  <c r="Y452" i="1"/>
  <c r="AA452" i="1" s="1"/>
  <c r="Y453" i="1"/>
  <c r="AA453" i="1" s="1"/>
  <c r="Y454" i="1"/>
  <c r="AA454" i="1" s="1"/>
  <c r="Y455" i="1"/>
  <c r="AA455" i="1" s="1"/>
  <c r="Y456" i="1"/>
  <c r="AA456" i="1" s="1"/>
  <c r="Y457" i="1"/>
  <c r="AA457" i="1" s="1"/>
  <c r="Y458" i="1"/>
  <c r="AA458" i="1" s="1"/>
  <c r="Y459" i="1"/>
  <c r="AA459" i="1" s="1"/>
  <c r="Y460" i="1"/>
  <c r="AA460" i="1" s="1"/>
  <c r="Y461" i="1"/>
  <c r="AA461" i="1" s="1"/>
  <c r="Y462" i="1"/>
  <c r="AA462" i="1" s="1"/>
  <c r="Y463" i="1"/>
  <c r="AA463" i="1" s="1"/>
  <c r="Y464" i="1"/>
  <c r="AA464" i="1" s="1"/>
  <c r="Y465" i="1"/>
  <c r="AA465" i="1" s="1"/>
  <c r="Y466" i="1"/>
  <c r="AA466" i="1" s="1"/>
  <c r="Y467" i="1"/>
  <c r="AA467" i="1" s="1"/>
  <c r="Y468" i="1"/>
  <c r="AA468" i="1" s="1"/>
  <c r="Y469" i="1"/>
  <c r="AA469" i="1" s="1"/>
  <c r="Y470" i="1"/>
  <c r="AA470" i="1" s="1"/>
  <c r="Y471" i="1"/>
  <c r="AA471" i="1" s="1"/>
  <c r="Y472" i="1"/>
  <c r="AA472" i="1" s="1"/>
  <c r="Y473" i="1"/>
  <c r="AA473" i="1" s="1"/>
  <c r="Y474" i="1"/>
  <c r="AA474" i="1" s="1"/>
  <c r="Y475" i="1"/>
  <c r="AA475" i="1" s="1"/>
  <c r="Y476" i="1"/>
  <c r="AA476" i="1" s="1"/>
  <c r="Y477" i="1"/>
  <c r="AA477" i="1" s="1"/>
  <c r="Y478" i="1"/>
  <c r="AA478" i="1" s="1"/>
  <c r="Y479" i="1"/>
  <c r="AA479" i="1" s="1"/>
  <c r="Y480" i="1"/>
  <c r="AA480" i="1" s="1"/>
  <c r="Y481" i="1"/>
  <c r="AA481" i="1" s="1"/>
  <c r="Y482" i="1"/>
  <c r="AA482" i="1" s="1"/>
  <c r="Y483" i="1"/>
  <c r="AA483" i="1" s="1"/>
  <c r="Y484" i="1"/>
  <c r="AA484" i="1" s="1"/>
  <c r="Y485" i="1"/>
  <c r="AA485" i="1" s="1"/>
  <c r="Y486" i="1"/>
  <c r="AA486" i="1" s="1"/>
  <c r="Y487" i="1"/>
  <c r="AA487" i="1" s="1"/>
  <c r="Y488" i="1"/>
  <c r="AA488" i="1" s="1"/>
  <c r="Y489" i="1"/>
  <c r="AA489" i="1" s="1"/>
  <c r="Y490" i="1"/>
  <c r="AA490" i="1" s="1"/>
  <c r="Y491" i="1"/>
  <c r="AA491" i="1" s="1"/>
  <c r="Y492" i="1"/>
  <c r="AA492" i="1" s="1"/>
  <c r="Y493" i="1"/>
  <c r="AA493" i="1" s="1"/>
  <c r="Y494" i="1"/>
  <c r="AA494" i="1" s="1"/>
  <c r="Y495" i="1"/>
  <c r="AA495" i="1" s="1"/>
  <c r="Y496" i="1"/>
  <c r="AA496" i="1" s="1"/>
  <c r="Y497" i="1"/>
  <c r="AA497" i="1" s="1"/>
  <c r="Y498" i="1"/>
  <c r="AA498" i="1" s="1"/>
  <c r="Y499" i="1"/>
  <c r="AA499" i="1" s="1"/>
  <c r="Y500" i="1"/>
  <c r="AA500" i="1" s="1"/>
  <c r="Y501" i="1"/>
  <c r="AA501" i="1" s="1"/>
  <c r="Y502" i="1"/>
  <c r="AA502" i="1" s="1"/>
  <c r="Y503" i="1"/>
  <c r="AA503" i="1" s="1"/>
  <c r="Y504" i="1"/>
  <c r="AA504" i="1" s="1"/>
  <c r="Y505" i="1"/>
  <c r="AA505" i="1" s="1"/>
  <c r="Y506" i="1"/>
  <c r="AA506" i="1" s="1"/>
  <c r="Y507" i="1"/>
  <c r="AA507" i="1" s="1"/>
  <c r="Y508" i="1"/>
  <c r="AA508" i="1" s="1"/>
  <c r="Y509" i="1"/>
  <c r="AA509" i="1" s="1"/>
  <c r="Y510" i="1"/>
  <c r="AA510" i="1" s="1"/>
  <c r="Y511" i="1"/>
  <c r="AA511" i="1" s="1"/>
  <c r="Y512" i="1"/>
  <c r="AA512" i="1" s="1"/>
  <c r="Y513" i="1"/>
  <c r="AA513" i="1" s="1"/>
  <c r="Y514" i="1"/>
  <c r="AA514" i="1" s="1"/>
  <c r="Y515" i="1"/>
  <c r="AA515" i="1" s="1"/>
  <c r="Y516" i="1"/>
  <c r="AA516" i="1" s="1"/>
  <c r="Y517" i="1"/>
  <c r="AA517" i="1" s="1"/>
  <c r="Y518" i="1"/>
  <c r="AA518" i="1" s="1"/>
  <c r="Y519" i="1"/>
  <c r="AA519" i="1" s="1"/>
  <c r="Y520" i="1"/>
  <c r="AA520" i="1" s="1"/>
  <c r="Y521" i="1"/>
  <c r="AA521" i="1" s="1"/>
  <c r="Y522" i="1"/>
  <c r="AA522" i="1" s="1"/>
  <c r="Y523" i="1"/>
  <c r="AA523" i="1" s="1"/>
  <c r="Y524" i="1"/>
  <c r="AA524" i="1" s="1"/>
  <c r="Y525" i="1"/>
  <c r="AA525" i="1" s="1"/>
  <c r="Y526" i="1"/>
  <c r="AA526" i="1" s="1"/>
  <c r="Y527" i="1"/>
  <c r="AA527" i="1" s="1"/>
  <c r="Y528" i="1"/>
  <c r="AA528" i="1" s="1"/>
  <c r="Y529" i="1"/>
  <c r="AA529" i="1" s="1"/>
  <c r="Y530" i="1"/>
  <c r="AA530" i="1" s="1"/>
  <c r="Y531" i="1"/>
  <c r="AA531" i="1" s="1"/>
  <c r="Y532" i="1"/>
  <c r="AA532" i="1" s="1"/>
  <c r="Y533" i="1"/>
  <c r="AA533" i="1" s="1"/>
  <c r="Y534" i="1"/>
  <c r="AA534" i="1" s="1"/>
  <c r="Y535" i="1"/>
  <c r="AA535" i="1" s="1"/>
  <c r="Y536" i="1"/>
  <c r="AA536" i="1" s="1"/>
  <c r="Y537" i="1"/>
  <c r="AA537" i="1" s="1"/>
  <c r="Y538" i="1"/>
  <c r="AA538" i="1" s="1"/>
  <c r="Y539" i="1"/>
  <c r="AA539" i="1" s="1"/>
  <c r="Y540" i="1"/>
  <c r="AA540" i="1" s="1"/>
  <c r="Y541" i="1"/>
  <c r="AA541" i="1" s="1"/>
  <c r="Y542" i="1"/>
  <c r="AA542" i="1" s="1"/>
  <c r="Y543" i="1"/>
  <c r="AA543" i="1" s="1"/>
  <c r="Y544" i="1"/>
  <c r="AA544" i="1" s="1"/>
  <c r="Y545" i="1"/>
  <c r="AA545" i="1" s="1"/>
  <c r="Y546" i="1"/>
  <c r="AA546" i="1" s="1"/>
  <c r="Y547" i="1"/>
  <c r="AA547" i="1" s="1"/>
  <c r="Y548" i="1"/>
  <c r="AA548" i="1" s="1"/>
  <c r="Y549" i="1"/>
  <c r="AA549" i="1" s="1"/>
  <c r="Y550" i="1"/>
  <c r="AA550" i="1" s="1"/>
  <c r="Y551" i="1"/>
  <c r="AA551" i="1" s="1"/>
  <c r="Y552" i="1"/>
  <c r="AA552" i="1" s="1"/>
  <c r="Y553" i="1"/>
  <c r="AA553" i="1" s="1"/>
  <c r="Y554" i="1"/>
  <c r="AA554" i="1" s="1"/>
  <c r="Y555" i="1"/>
  <c r="AA555" i="1" s="1"/>
  <c r="Y556" i="1"/>
  <c r="AA556" i="1" s="1"/>
  <c r="Y557" i="1"/>
  <c r="AA557" i="1" s="1"/>
  <c r="Y558" i="1"/>
  <c r="AA558" i="1" s="1"/>
  <c r="Y559" i="1"/>
  <c r="AA559" i="1" s="1"/>
  <c r="Y560" i="1"/>
  <c r="AA560" i="1" s="1"/>
  <c r="Y561" i="1"/>
  <c r="AA561" i="1" s="1"/>
  <c r="Y562" i="1"/>
  <c r="AA562" i="1" s="1"/>
  <c r="Y563" i="1"/>
  <c r="AA563" i="1" s="1"/>
  <c r="Y564" i="1"/>
  <c r="AA564" i="1" s="1"/>
  <c r="Y565" i="1"/>
  <c r="AA565" i="1" s="1"/>
  <c r="Y566" i="1"/>
  <c r="AA566" i="1" s="1"/>
  <c r="Y567" i="1"/>
  <c r="AA567" i="1" s="1"/>
  <c r="Y568" i="1"/>
  <c r="AA568" i="1" s="1"/>
  <c r="Y569" i="1"/>
  <c r="AA569" i="1" s="1"/>
  <c r="Y570" i="1"/>
  <c r="AA570" i="1" s="1"/>
  <c r="Y571" i="1"/>
  <c r="AA571" i="1" s="1"/>
  <c r="Y572" i="1"/>
  <c r="AA572" i="1" s="1"/>
  <c r="Y573" i="1"/>
  <c r="AA573" i="1" s="1"/>
  <c r="Y574" i="1"/>
  <c r="AA574" i="1" s="1"/>
  <c r="Y575" i="1"/>
  <c r="AA575" i="1" s="1"/>
  <c r="Y576" i="1"/>
  <c r="AA576" i="1" s="1"/>
  <c r="Y577" i="1"/>
  <c r="AA577" i="1" s="1"/>
  <c r="Y578" i="1"/>
  <c r="AA578" i="1" s="1"/>
  <c r="Y579" i="1"/>
  <c r="AA579" i="1" s="1"/>
  <c r="Y580" i="1"/>
  <c r="AA580" i="1" s="1"/>
  <c r="Y581" i="1"/>
  <c r="AA581" i="1" s="1"/>
  <c r="Y582" i="1"/>
  <c r="AA582" i="1" s="1"/>
  <c r="Y583" i="1"/>
  <c r="AA583" i="1" s="1"/>
  <c r="Y584" i="1"/>
  <c r="AA584" i="1" s="1"/>
  <c r="Y585" i="1"/>
  <c r="AA585" i="1" s="1"/>
  <c r="Y586" i="1"/>
  <c r="AA586" i="1" s="1"/>
  <c r="Y587" i="1"/>
  <c r="AA587" i="1" s="1"/>
  <c r="Y588" i="1"/>
  <c r="AA588" i="1" s="1"/>
  <c r="Y589" i="1"/>
  <c r="AA589" i="1" s="1"/>
  <c r="Y590" i="1"/>
  <c r="AA590" i="1" s="1"/>
  <c r="Y591" i="1"/>
  <c r="AA591" i="1" s="1"/>
  <c r="Y592" i="1"/>
  <c r="AA592" i="1" s="1"/>
  <c r="Y593" i="1"/>
  <c r="AA593" i="1" s="1"/>
  <c r="Y594" i="1"/>
  <c r="AA594" i="1" s="1"/>
  <c r="Y595" i="1"/>
  <c r="AA595" i="1" s="1"/>
  <c r="Y596" i="1"/>
  <c r="AA596" i="1" s="1"/>
  <c r="Y597" i="1"/>
  <c r="AA597" i="1" s="1"/>
  <c r="Y598" i="1"/>
  <c r="AA598" i="1" s="1"/>
  <c r="Y599" i="1"/>
  <c r="AA599" i="1" s="1"/>
  <c r="Y600" i="1"/>
  <c r="AA600" i="1" s="1"/>
  <c r="Y601" i="1"/>
  <c r="AA601" i="1" s="1"/>
  <c r="Y602" i="1"/>
  <c r="AA602" i="1" s="1"/>
  <c r="Y603" i="1"/>
  <c r="AA603" i="1" s="1"/>
  <c r="Y604" i="1"/>
  <c r="AA604" i="1" s="1"/>
  <c r="Y605" i="1"/>
  <c r="AA605" i="1" s="1"/>
  <c r="Y606" i="1"/>
  <c r="AA606" i="1" s="1"/>
  <c r="Y607" i="1"/>
  <c r="AA607" i="1" s="1"/>
  <c r="Y608" i="1"/>
  <c r="AA608" i="1" s="1"/>
  <c r="Y609" i="1"/>
  <c r="AA609" i="1" s="1"/>
  <c r="Y610" i="1"/>
  <c r="AA610" i="1" s="1"/>
  <c r="Y611" i="1"/>
  <c r="AA611" i="1" s="1"/>
  <c r="Y612" i="1"/>
  <c r="AA612" i="1" s="1"/>
  <c r="Y613" i="1"/>
  <c r="AA613" i="1" s="1"/>
  <c r="Y614" i="1"/>
  <c r="AA614" i="1" s="1"/>
  <c r="Y615" i="1"/>
  <c r="AA615" i="1" s="1"/>
  <c r="Y616" i="1"/>
  <c r="AA616" i="1" s="1"/>
  <c r="Y617" i="1"/>
  <c r="AA617" i="1" s="1"/>
  <c r="Y618" i="1"/>
  <c r="AA618" i="1" s="1"/>
  <c r="Y619" i="1"/>
  <c r="AA619" i="1" s="1"/>
  <c r="Y620" i="1"/>
  <c r="AA620" i="1" s="1"/>
  <c r="Y621" i="1"/>
  <c r="AA621" i="1" s="1"/>
  <c r="Y622" i="1"/>
  <c r="AA622" i="1" s="1"/>
  <c r="Y623" i="1"/>
  <c r="AA623" i="1" s="1"/>
  <c r="Y624" i="1"/>
  <c r="AA624" i="1" s="1"/>
  <c r="Y625" i="1"/>
  <c r="AA625" i="1" s="1"/>
  <c r="Y626" i="1"/>
  <c r="AA626" i="1" s="1"/>
  <c r="Y627" i="1"/>
  <c r="AA627" i="1" s="1"/>
  <c r="Y628" i="1"/>
  <c r="AA628" i="1" s="1"/>
  <c r="Y629" i="1"/>
  <c r="AA629" i="1" s="1"/>
  <c r="Y630" i="1"/>
  <c r="AA630" i="1" s="1"/>
  <c r="Y631" i="1"/>
  <c r="AA631" i="1" s="1"/>
  <c r="Y632" i="1"/>
  <c r="AA632" i="1" s="1"/>
  <c r="Y633" i="1"/>
  <c r="AA633" i="1" s="1"/>
  <c r="Y634" i="1"/>
  <c r="AA634" i="1" s="1"/>
  <c r="Y635" i="1"/>
  <c r="AA635" i="1" s="1"/>
  <c r="Y636" i="1"/>
  <c r="AA636" i="1" s="1"/>
  <c r="Y637" i="1"/>
  <c r="AA637" i="1" s="1"/>
  <c r="Y638" i="1"/>
  <c r="AA638" i="1" s="1"/>
  <c r="Y639" i="1"/>
  <c r="AA639" i="1" s="1"/>
  <c r="Y640" i="1"/>
  <c r="AA640" i="1" s="1"/>
  <c r="Y641" i="1"/>
  <c r="AA641" i="1" s="1"/>
  <c r="Y642" i="1"/>
  <c r="AA642" i="1" s="1"/>
  <c r="Y643" i="1"/>
  <c r="AA643" i="1" s="1"/>
  <c r="Y644" i="1"/>
  <c r="AA644" i="1" s="1"/>
  <c r="Y645" i="1"/>
  <c r="AA645" i="1" s="1"/>
  <c r="Y646" i="1"/>
  <c r="AA646" i="1" s="1"/>
  <c r="Y647" i="1"/>
  <c r="AA647" i="1" s="1"/>
  <c r="Y649" i="1"/>
  <c r="AA649" i="1" s="1"/>
  <c r="Y648" i="1"/>
  <c r="AA648" i="1" s="1"/>
  <c r="Y650" i="1"/>
  <c r="AA650" i="1" s="1"/>
  <c r="Y651" i="1"/>
  <c r="AA651" i="1" s="1"/>
  <c r="Y652" i="1"/>
  <c r="AA652" i="1" s="1"/>
  <c r="Y653" i="1"/>
  <c r="AA653" i="1" s="1"/>
  <c r="Y654" i="1"/>
  <c r="AA654" i="1" s="1"/>
  <c r="Y655" i="1"/>
  <c r="AA655" i="1" s="1"/>
  <c r="Y656" i="1"/>
  <c r="AA656" i="1" s="1"/>
  <c r="Y657" i="1"/>
  <c r="AA657" i="1" s="1"/>
  <c r="Y658" i="1"/>
  <c r="AA658" i="1" s="1"/>
  <c r="Y659" i="1"/>
  <c r="AA659" i="1" s="1"/>
  <c r="Y660" i="1"/>
  <c r="AA660" i="1" s="1"/>
  <c r="Y661" i="1"/>
  <c r="AA661" i="1" s="1"/>
  <c r="Y662" i="1"/>
  <c r="AA662" i="1" s="1"/>
  <c r="Y663" i="1"/>
  <c r="AA663" i="1" s="1"/>
  <c r="Y664" i="1"/>
  <c r="AA664" i="1" s="1"/>
  <c r="Y665" i="1"/>
  <c r="AA665" i="1" s="1"/>
  <c r="Y666" i="1"/>
  <c r="AA666" i="1" s="1"/>
  <c r="Y667" i="1"/>
  <c r="AA667" i="1" s="1"/>
  <c r="Y668" i="1"/>
  <c r="AA668" i="1" s="1"/>
  <c r="Y669" i="1"/>
  <c r="AA669" i="1" s="1"/>
  <c r="Y670" i="1"/>
  <c r="AA670" i="1" s="1"/>
  <c r="Y671" i="1"/>
  <c r="AA671" i="1" s="1"/>
  <c r="Y672" i="1"/>
  <c r="AA672" i="1" s="1"/>
  <c r="Y673" i="1"/>
  <c r="AA673" i="1" s="1"/>
  <c r="Y674" i="1"/>
  <c r="AA674" i="1" s="1"/>
  <c r="Y675" i="1"/>
  <c r="AA675" i="1" s="1"/>
  <c r="Y676" i="1"/>
  <c r="AA676" i="1" s="1"/>
  <c r="Y677" i="1"/>
  <c r="AA677" i="1" s="1"/>
  <c r="Y678" i="1"/>
  <c r="AA678" i="1" s="1"/>
  <c r="Y679" i="1"/>
  <c r="AA679" i="1" s="1"/>
  <c r="Y680" i="1"/>
  <c r="AA680" i="1" s="1"/>
  <c r="Y681" i="1"/>
  <c r="AA681" i="1" s="1"/>
  <c r="Y682" i="1"/>
  <c r="AA682" i="1" s="1"/>
  <c r="Y683" i="1"/>
  <c r="AA683" i="1" s="1"/>
  <c r="Y684" i="1"/>
  <c r="AA684" i="1" s="1"/>
  <c r="Y685" i="1"/>
  <c r="AA685" i="1" s="1"/>
  <c r="Y686" i="1"/>
  <c r="AA686" i="1" s="1"/>
  <c r="Y687" i="1"/>
  <c r="AA687" i="1" s="1"/>
  <c r="Y688" i="1"/>
  <c r="AA688" i="1" s="1"/>
  <c r="Y689" i="1"/>
  <c r="AA689" i="1" s="1"/>
  <c r="Y690" i="1"/>
  <c r="AA690" i="1" s="1"/>
  <c r="Y2" i="1"/>
  <c r="AA2" i="1" s="1"/>
  <c r="AA910" i="1" l="1"/>
  <c r="AA801" i="1"/>
  <c r="AA800" i="1"/>
  <c r="AA799" i="1"/>
  <c r="AA809" i="1"/>
  <c r="AA808" i="1"/>
  <c r="AA792" i="1"/>
  <c r="AA807" i="1"/>
  <c r="AA806" i="1"/>
  <c r="AD602" i="1"/>
  <c r="AD601" i="1"/>
  <c r="AD600" i="1"/>
  <c r="AD599" i="1"/>
  <c r="AD598" i="1"/>
  <c r="J682" i="1" l="1"/>
  <c r="P744" i="1"/>
  <c r="P722" i="1"/>
  <c r="R744" i="1" l="1"/>
  <c r="R722" i="1"/>
  <c r="P675" i="1" l="1"/>
  <c r="R675" i="1" s="1"/>
  <c r="P779" i="1"/>
  <c r="R779" i="1" s="1"/>
  <c r="AD746" i="1" l="1"/>
  <c r="AD745" i="1"/>
  <c r="AF745" i="1" s="1"/>
  <c r="AD744" i="1"/>
  <c r="AF744" i="1" s="1"/>
  <c r="AD729" i="1"/>
  <c r="AF729" i="1" s="1"/>
  <c r="AD722" i="1"/>
  <c r="AF722" i="1" s="1"/>
  <c r="AD721" i="1"/>
  <c r="AF721" i="1" s="1"/>
  <c r="AD720" i="1"/>
  <c r="AF720" i="1" s="1"/>
  <c r="V745" i="1"/>
  <c r="X745" i="1" s="1"/>
  <c r="V744" i="1"/>
  <c r="V729" i="1"/>
  <c r="V722" i="1"/>
  <c r="V721" i="1"/>
  <c r="V720" i="1"/>
  <c r="S745" i="1"/>
  <c r="S744" i="1"/>
  <c r="S729" i="1"/>
  <c r="S722" i="1"/>
  <c r="S721" i="1"/>
  <c r="S720" i="1"/>
  <c r="S719" i="1"/>
  <c r="M758" i="1"/>
  <c r="O758" i="1" s="1"/>
  <c r="M753" i="1"/>
  <c r="O753" i="1" s="1"/>
  <c r="M747" i="1"/>
  <c r="O747" i="1" s="1"/>
  <c r="M746" i="1"/>
  <c r="O746" i="1" s="1"/>
  <c r="M745" i="1"/>
  <c r="O745" i="1" s="1"/>
  <c r="M744" i="1"/>
  <c r="O744" i="1" s="1"/>
  <c r="M729" i="1"/>
  <c r="O729" i="1" s="1"/>
  <c r="M722" i="1"/>
  <c r="O722" i="1" s="1"/>
  <c r="M721" i="1"/>
  <c r="J744" i="1"/>
  <c r="L744" i="1" s="1"/>
  <c r="J722" i="1"/>
  <c r="L722" i="1" s="1"/>
  <c r="X722" i="1" l="1"/>
  <c r="X744" i="1"/>
  <c r="X729" i="1"/>
  <c r="X721" i="1"/>
  <c r="X720" i="1"/>
  <c r="U722" i="1"/>
  <c r="U744" i="1"/>
  <c r="S748" i="1"/>
  <c r="U748" i="1" s="1"/>
  <c r="AD779" i="1"/>
  <c r="AF779" i="1" s="1"/>
  <c r="V779" i="1"/>
  <c r="X779" i="1" s="1"/>
  <c r="S779" i="1"/>
  <c r="U779" i="1" s="1"/>
  <c r="M779" i="1"/>
  <c r="O779" i="1" s="1"/>
  <c r="J779" i="1"/>
  <c r="AD675" i="1"/>
  <c r="AF675" i="1" s="1"/>
  <c r="V675" i="1"/>
  <c r="X675" i="1" s="1"/>
  <c r="S675" i="1"/>
  <c r="U675" i="1" s="1"/>
  <c r="M675" i="1"/>
  <c r="O675" i="1" s="1"/>
  <c r="J677" i="1"/>
  <c r="L677" i="1" s="1"/>
  <c r="J676" i="1"/>
  <c r="L676" i="1" s="1"/>
  <c r="J675" i="1"/>
  <c r="J648" i="1"/>
  <c r="L648" i="1" s="1"/>
  <c r="M648" i="1"/>
  <c r="O648" i="1" s="1"/>
  <c r="P648" i="1"/>
  <c r="R648" i="1" s="1"/>
  <c r="S648" i="1"/>
  <c r="U648" i="1" s="1"/>
  <c r="V648" i="1"/>
  <c r="X648" i="1" s="1"/>
  <c r="AD648" i="1"/>
  <c r="AF648" i="1" s="1"/>
  <c r="J805" i="1"/>
  <c r="L805" i="1" s="1"/>
  <c r="V516" i="1"/>
  <c r="X516" i="1" s="1"/>
  <c r="V514" i="1"/>
  <c r="X514" i="1" s="1"/>
  <c r="S645" i="1"/>
  <c r="U645" i="1" s="1"/>
  <c r="S417" i="1"/>
  <c r="U417" i="1" s="1"/>
  <c r="V480" i="1"/>
  <c r="X480" i="1" s="1"/>
  <c r="AD1268" i="1"/>
  <c r="AF1268" i="1" s="1"/>
  <c r="AD1267" i="1"/>
  <c r="AF1267" i="1" s="1"/>
  <c r="AD1266" i="1"/>
  <c r="AF1266" i="1" s="1"/>
  <c r="AD1265" i="1"/>
  <c r="AF1265" i="1" s="1"/>
  <c r="AD1264" i="1"/>
  <c r="AF1264" i="1" s="1"/>
  <c r="AD1263" i="1"/>
  <c r="AF1263" i="1" s="1"/>
  <c r="AD1262" i="1"/>
  <c r="AF1262" i="1" s="1"/>
  <c r="AD1261" i="1"/>
  <c r="AF1261" i="1" s="1"/>
  <c r="AD1260" i="1"/>
  <c r="AF1260" i="1" s="1"/>
  <c r="AD1259" i="1"/>
  <c r="AF1259" i="1" s="1"/>
  <c r="AD1258" i="1"/>
  <c r="AF1258" i="1" s="1"/>
  <c r="AD1257" i="1"/>
  <c r="AF1257" i="1" s="1"/>
  <c r="AD1256" i="1"/>
  <c r="AF1256" i="1" s="1"/>
  <c r="AD1255" i="1"/>
  <c r="AF1255" i="1" s="1"/>
  <c r="AD1174" i="1"/>
  <c r="AF1174" i="1" s="1"/>
  <c r="AD1254" i="1"/>
  <c r="AF1254" i="1" s="1"/>
  <c r="AD1253" i="1"/>
  <c r="AF1253" i="1" s="1"/>
  <c r="AD1252" i="1"/>
  <c r="AF1252" i="1" s="1"/>
  <c r="AD1251" i="1"/>
  <c r="AF1251" i="1" s="1"/>
  <c r="AD1250" i="1"/>
  <c r="AF1250" i="1" s="1"/>
  <c r="AD1249" i="1"/>
  <c r="AF1249" i="1" s="1"/>
  <c r="AD1248" i="1"/>
  <c r="AF1248" i="1" s="1"/>
  <c r="AD1247" i="1"/>
  <c r="AF1247" i="1" s="1"/>
  <c r="AD1246" i="1"/>
  <c r="AF1246" i="1" s="1"/>
  <c r="AD1245" i="1"/>
  <c r="AF1245" i="1" s="1"/>
  <c r="AD1244" i="1"/>
  <c r="AF1244" i="1" s="1"/>
  <c r="AD1243" i="1"/>
  <c r="AF1243" i="1" s="1"/>
  <c r="AD1242" i="1"/>
  <c r="AF1242" i="1" s="1"/>
  <c r="AD1241" i="1"/>
  <c r="AF1241" i="1" s="1"/>
  <c r="AD1240" i="1"/>
  <c r="AF1240" i="1" s="1"/>
  <c r="AD1239" i="1"/>
  <c r="AF1239" i="1" s="1"/>
  <c r="AD1238" i="1"/>
  <c r="AF1238" i="1" s="1"/>
  <c r="AD1237" i="1"/>
  <c r="AF1237" i="1" s="1"/>
  <c r="AD1236" i="1"/>
  <c r="AF1236" i="1" s="1"/>
  <c r="AD1235" i="1"/>
  <c r="AF1235" i="1" s="1"/>
  <c r="AD1234" i="1"/>
  <c r="AF1234" i="1" s="1"/>
  <c r="AD1233" i="1"/>
  <c r="AF1233" i="1" s="1"/>
  <c r="AD1232" i="1"/>
  <c r="AF1232" i="1" s="1"/>
  <c r="AD1231" i="1"/>
  <c r="AF1231" i="1" s="1"/>
  <c r="AD1230" i="1"/>
  <c r="AF1230" i="1" s="1"/>
  <c r="AD1229" i="1"/>
  <c r="AF1229" i="1" s="1"/>
  <c r="AD1228" i="1"/>
  <c r="AF1228" i="1" s="1"/>
  <c r="AD1227" i="1"/>
  <c r="AF1227" i="1" s="1"/>
  <c r="AD1226" i="1"/>
  <c r="AF1226" i="1" s="1"/>
  <c r="AD1225" i="1"/>
  <c r="AF1225" i="1" s="1"/>
  <c r="AD1224" i="1"/>
  <c r="AF1224" i="1" s="1"/>
  <c r="AD1223" i="1"/>
  <c r="AF1223" i="1" s="1"/>
  <c r="AD1222" i="1"/>
  <c r="AF1222" i="1" s="1"/>
  <c r="AD1221" i="1"/>
  <c r="AF1221" i="1" s="1"/>
  <c r="AD1220" i="1"/>
  <c r="AF1220" i="1" s="1"/>
  <c r="AD1219" i="1"/>
  <c r="AF1219" i="1" s="1"/>
  <c r="AD1218" i="1"/>
  <c r="AF1218" i="1" s="1"/>
  <c r="AD1217" i="1"/>
  <c r="AF1217" i="1" s="1"/>
  <c r="AD1216" i="1"/>
  <c r="AF1216" i="1" s="1"/>
  <c r="AD1215" i="1"/>
  <c r="AF1215" i="1" s="1"/>
  <c r="AD1214" i="1"/>
  <c r="AF1214" i="1" s="1"/>
  <c r="AD1213" i="1"/>
  <c r="AF1213" i="1" s="1"/>
  <c r="AD1212" i="1"/>
  <c r="AF1212" i="1" s="1"/>
  <c r="AD1211" i="1"/>
  <c r="AF1211" i="1" s="1"/>
  <c r="AD1210" i="1"/>
  <c r="AF1210" i="1" s="1"/>
  <c r="AD1209" i="1"/>
  <c r="AF1209" i="1" s="1"/>
  <c r="AD1208" i="1"/>
  <c r="AF1208" i="1" s="1"/>
  <c r="AD1207" i="1"/>
  <c r="AF1207" i="1" s="1"/>
  <c r="AD1206" i="1"/>
  <c r="AF1206" i="1" s="1"/>
  <c r="AD1205" i="1"/>
  <c r="AF1205" i="1" s="1"/>
  <c r="AD1204" i="1"/>
  <c r="AF1204" i="1" s="1"/>
  <c r="AD1203" i="1"/>
  <c r="AF1203" i="1" s="1"/>
  <c r="AD1202" i="1"/>
  <c r="AF1202" i="1" s="1"/>
  <c r="AD1201" i="1"/>
  <c r="AF1201" i="1" s="1"/>
  <c r="AD1200" i="1"/>
  <c r="AF1200" i="1" s="1"/>
  <c r="AD1199" i="1"/>
  <c r="AF1199" i="1" s="1"/>
  <c r="AD1198" i="1"/>
  <c r="AF1198" i="1" s="1"/>
  <c r="AD1197" i="1"/>
  <c r="AF1197" i="1" s="1"/>
  <c r="AD1196" i="1"/>
  <c r="AF1196" i="1" s="1"/>
  <c r="AD1195" i="1"/>
  <c r="AF1195" i="1" s="1"/>
  <c r="AD1194" i="1"/>
  <c r="AF1194" i="1" s="1"/>
  <c r="AD1193" i="1"/>
  <c r="AF1193" i="1" s="1"/>
  <c r="AD1192" i="1"/>
  <c r="AF1192" i="1" s="1"/>
  <c r="AD1191" i="1"/>
  <c r="AF1191" i="1" s="1"/>
  <c r="AD1190" i="1"/>
  <c r="AF1190" i="1" s="1"/>
  <c r="AD1189" i="1"/>
  <c r="AF1189" i="1" s="1"/>
  <c r="AD1188" i="1"/>
  <c r="AF1188" i="1" s="1"/>
  <c r="AD1187" i="1"/>
  <c r="AF1187" i="1" s="1"/>
  <c r="AD1186" i="1"/>
  <c r="AF1186" i="1" s="1"/>
  <c r="AD1185" i="1"/>
  <c r="AF1185" i="1" s="1"/>
  <c r="AD1184" i="1"/>
  <c r="AF1184" i="1" s="1"/>
  <c r="AD1183" i="1"/>
  <c r="AF1183" i="1" s="1"/>
  <c r="AD1269" i="1"/>
  <c r="AF1269" i="1" s="1"/>
  <c r="AD1182" i="1"/>
  <c r="AF1182" i="1" s="1"/>
  <c r="AD1181" i="1"/>
  <c r="AF1181" i="1" s="1"/>
  <c r="AD1180" i="1"/>
  <c r="AF1180" i="1" s="1"/>
  <c r="AD1179" i="1"/>
  <c r="AF1179" i="1" s="1"/>
  <c r="AD1178" i="1"/>
  <c r="AF1178" i="1" s="1"/>
  <c r="AD1177" i="1"/>
  <c r="AF1177" i="1" s="1"/>
  <c r="AD1176" i="1"/>
  <c r="AF1176" i="1" s="1"/>
  <c r="AD1175" i="1"/>
  <c r="AF1175" i="1" s="1"/>
  <c r="AD1173" i="1"/>
  <c r="AF1173" i="1" s="1"/>
  <c r="AD1172" i="1"/>
  <c r="AF1172" i="1" s="1"/>
  <c r="AD1171" i="1"/>
  <c r="AF1171" i="1" s="1"/>
  <c r="AD1170" i="1"/>
  <c r="AF1170" i="1" s="1"/>
  <c r="AD1169" i="1"/>
  <c r="AF1169" i="1" s="1"/>
  <c r="AD1168" i="1"/>
  <c r="AF1168" i="1" s="1"/>
  <c r="AD1167" i="1"/>
  <c r="AF1167" i="1" s="1"/>
  <c r="AD1166" i="1"/>
  <c r="AF1166" i="1" s="1"/>
  <c r="AD1165" i="1"/>
  <c r="AF1165" i="1" s="1"/>
  <c r="AD1161" i="1"/>
  <c r="AF1161" i="1" s="1"/>
  <c r="AD1160" i="1"/>
  <c r="AF1160" i="1" s="1"/>
  <c r="AD1159" i="1"/>
  <c r="AF1159" i="1" s="1"/>
  <c r="AD1158" i="1"/>
  <c r="AF1158" i="1" s="1"/>
  <c r="AD1157" i="1"/>
  <c r="AF1157" i="1" s="1"/>
  <c r="AD1156" i="1"/>
  <c r="AF1156" i="1" s="1"/>
  <c r="AD1155" i="1"/>
  <c r="AF1155" i="1" s="1"/>
  <c r="AD1154" i="1"/>
  <c r="AF1154" i="1" s="1"/>
  <c r="AD1153" i="1"/>
  <c r="AF1153" i="1" s="1"/>
  <c r="AD1152" i="1"/>
  <c r="AF1152" i="1" s="1"/>
  <c r="AD1150" i="1"/>
  <c r="AF1150" i="1" s="1"/>
  <c r="AD1149" i="1"/>
  <c r="AF1149" i="1" s="1"/>
  <c r="AD1148" i="1"/>
  <c r="AF1148" i="1" s="1"/>
  <c r="AD1147" i="1"/>
  <c r="AF1147" i="1" s="1"/>
  <c r="AD1146" i="1"/>
  <c r="AF1146" i="1" s="1"/>
  <c r="AD1145" i="1"/>
  <c r="AF1145" i="1" s="1"/>
  <c r="AD1144" i="1"/>
  <c r="AF1144" i="1" s="1"/>
  <c r="AD1143" i="1"/>
  <c r="AF1143" i="1" s="1"/>
  <c r="AD1142" i="1"/>
  <c r="AF1142" i="1" s="1"/>
  <c r="AD1141" i="1"/>
  <c r="AF1141" i="1" s="1"/>
  <c r="AD1140" i="1"/>
  <c r="AF1140" i="1" s="1"/>
  <c r="AD1139" i="1"/>
  <c r="AF1139" i="1" s="1"/>
  <c r="AD1138" i="1"/>
  <c r="AF1138" i="1" s="1"/>
  <c r="AD1137" i="1"/>
  <c r="AF1137" i="1" s="1"/>
  <c r="AD1136" i="1"/>
  <c r="AF1136" i="1" s="1"/>
  <c r="AD1135" i="1"/>
  <c r="AF1135" i="1" s="1"/>
  <c r="AD1133" i="1"/>
  <c r="AF1133" i="1" s="1"/>
  <c r="AD1132" i="1"/>
  <c r="AF1132" i="1" s="1"/>
  <c r="AD1131" i="1"/>
  <c r="AF1131" i="1" s="1"/>
  <c r="AD1130" i="1"/>
  <c r="AF1130" i="1" s="1"/>
  <c r="AD1129" i="1"/>
  <c r="AF1129" i="1" s="1"/>
  <c r="AD1128" i="1"/>
  <c r="AF1128" i="1" s="1"/>
  <c r="AD1127" i="1"/>
  <c r="AF1127" i="1" s="1"/>
  <c r="AD1126" i="1"/>
  <c r="AF1126" i="1" s="1"/>
  <c r="AD1125" i="1"/>
  <c r="AF1125" i="1" s="1"/>
  <c r="AD1124" i="1"/>
  <c r="AF1124" i="1" s="1"/>
  <c r="AD1123" i="1"/>
  <c r="AF1123" i="1" s="1"/>
  <c r="AD1122" i="1"/>
  <c r="AF1122" i="1" s="1"/>
  <c r="AD1121" i="1"/>
  <c r="AF1121" i="1" s="1"/>
  <c r="AD1120" i="1"/>
  <c r="AF1120" i="1" s="1"/>
  <c r="AD1119" i="1"/>
  <c r="AF1119" i="1" s="1"/>
  <c r="AD1118" i="1"/>
  <c r="AF1118" i="1" s="1"/>
  <c r="AD1117" i="1"/>
  <c r="AF1117" i="1" s="1"/>
  <c r="AD1116" i="1"/>
  <c r="AF1116" i="1" s="1"/>
  <c r="AD1115" i="1"/>
  <c r="AF1115" i="1" s="1"/>
  <c r="AD1113" i="1"/>
  <c r="AF1113" i="1" s="1"/>
  <c r="AD1112" i="1"/>
  <c r="AF1112" i="1" s="1"/>
  <c r="AD1111" i="1"/>
  <c r="AF1111" i="1" s="1"/>
  <c r="AD1110" i="1"/>
  <c r="AF1110" i="1" s="1"/>
  <c r="AD1109" i="1"/>
  <c r="AF1109" i="1" s="1"/>
  <c r="AD1108" i="1"/>
  <c r="AF1108" i="1" s="1"/>
  <c r="AD1107" i="1"/>
  <c r="AF1107" i="1" s="1"/>
  <c r="AD1106" i="1"/>
  <c r="AF1106" i="1" s="1"/>
  <c r="AD1105" i="1"/>
  <c r="AF1105" i="1" s="1"/>
  <c r="AD1104" i="1"/>
  <c r="AF1104" i="1" s="1"/>
  <c r="AD1103" i="1"/>
  <c r="AF1103" i="1" s="1"/>
  <c r="AD1102" i="1"/>
  <c r="AF1102" i="1" s="1"/>
  <c r="AD1101" i="1"/>
  <c r="AF1101" i="1" s="1"/>
  <c r="AD1100" i="1"/>
  <c r="AF1100" i="1" s="1"/>
  <c r="AD1099" i="1"/>
  <c r="AF1099" i="1" s="1"/>
  <c r="AD1098" i="1"/>
  <c r="AF1098" i="1" s="1"/>
  <c r="AD1097" i="1"/>
  <c r="AF1097" i="1" s="1"/>
  <c r="AD1096" i="1"/>
  <c r="AF1096" i="1" s="1"/>
  <c r="AD1095" i="1"/>
  <c r="AF1095" i="1" s="1"/>
  <c r="AD1094" i="1"/>
  <c r="AF1094" i="1" s="1"/>
  <c r="AD1093" i="1"/>
  <c r="AF1093" i="1" s="1"/>
  <c r="AD1092" i="1"/>
  <c r="AF1092" i="1" s="1"/>
  <c r="AF1091" i="1"/>
  <c r="AD1090" i="1"/>
  <c r="AF1090" i="1" s="1"/>
  <c r="AD1089" i="1"/>
  <c r="AF1089" i="1" s="1"/>
  <c r="AD1088" i="1"/>
  <c r="AF1088" i="1" s="1"/>
  <c r="AD1087" i="1"/>
  <c r="AF1087" i="1" s="1"/>
  <c r="AD1086" i="1"/>
  <c r="AF1086" i="1" s="1"/>
  <c r="AD1085" i="1"/>
  <c r="AF1085" i="1" s="1"/>
  <c r="AD1084" i="1"/>
  <c r="AF1084" i="1" s="1"/>
  <c r="AD1083" i="1"/>
  <c r="AF1083" i="1" s="1"/>
  <c r="AD1082" i="1"/>
  <c r="AF1082" i="1" s="1"/>
  <c r="AD1081" i="1"/>
  <c r="AF1081" i="1" s="1"/>
  <c r="AD1080" i="1"/>
  <c r="AF1080" i="1" s="1"/>
  <c r="AD1079" i="1"/>
  <c r="AF1079" i="1" s="1"/>
  <c r="AD1078" i="1"/>
  <c r="AF1078" i="1" s="1"/>
  <c r="AD1077" i="1"/>
  <c r="AF1077" i="1" s="1"/>
  <c r="AD1076" i="1"/>
  <c r="AF1076" i="1" s="1"/>
  <c r="AD1075" i="1"/>
  <c r="AF1075" i="1" s="1"/>
  <c r="AD1074" i="1"/>
  <c r="AF1074" i="1" s="1"/>
  <c r="AD1073" i="1"/>
  <c r="AF1073" i="1" s="1"/>
  <c r="AD1072" i="1"/>
  <c r="AF1072" i="1" s="1"/>
  <c r="AD1071" i="1"/>
  <c r="AF1071" i="1" s="1"/>
  <c r="AD1067" i="1"/>
  <c r="AF1067" i="1" s="1"/>
  <c r="AD1066" i="1"/>
  <c r="AD1065" i="1"/>
  <c r="AF1065" i="1" s="1"/>
  <c r="AD1064" i="1"/>
  <c r="AF1064" i="1" s="1"/>
  <c r="AD1063" i="1"/>
  <c r="AF1063" i="1" s="1"/>
  <c r="AD1062" i="1"/>
  <c r="AF1062" i="1" s="1"/>
  <c r="AD1061" i="1"/>
  <c r="AF1061" i="1" s="1"/>
  <c r="AD1060" i="1"/>
  <c r="AF1060" i="1" s="1"/>
  <c r="AD1059" i="1"/>
  <c r="AF1059" i="1" s="1"/>
  <c r="AD1058" i="1"/>
  <c r="AF1058" i="1" s="1"/>
  <c r="AD1057" i="1"/>
  <c r="AF1057" i="1" s="1"/>
  <c r="AD1056" i="1"/>
  <c r="AF1056" i="1" s="1"/>
  <c r="AD1055" i="1"/>
  <c r="AF1055" i="1" s="1"/>
  <c r="AD1054" i="1"/>
  <c r="AF1054" i="1" s="1"/>
  <c r="AD1053" i="1"/>
  <c r="AF1053" i="1" s="1"/>
  <c r="AD1052" i="1"/>
  <c r="AF1052" i="1" s="1"/>
  <c r="AD1051" i="1"/>
  <c r="AF1051" i="1" s="1"/>
  <c r="AD1050" i="1"/>
  <c r="AF1050" i="1" s="1"/>
  <c r="AD1049" i="1"/>
  <c r="AF1049" i="1" s="1"/>
  <c r="AD1048" i="1"/>
  <c r="AF1048" i="1" s="1"/>
  <c r="AD1046" i="1"/>
  <c r="AF1046" i="1" s="1"/>
  <c r="AF1045" i="1"/>
  <c r="AD1044" i="1"/>
  <c r="AF1044" i="1" s="1"/>
  <c r="AD1043" i="1"/>
  <c r="AF1043" i="1" s="1"/>
  <c r="AD1042" i="1"/>
  <c r="AF1042" i="1" s="1"/>
  <c r="AD1041" i="1"/>
  <c r="AF1041" i="1" s="1"/>
  <c r="AD1040" i="1"/>
  <c r="AF1040" i="1" s="1"/>
  <c r="AD1037" i="1"/>
  <c r="AF1037" i="1" s="1"/>
  <c r="AD1036" i="1"/>
  <c r="AF1036" i="1" s="1"/>
  <c r="AD1035" i="1"/>
  <c r="AF1035" i="1" s="1"/>
  <c r="AD1034" i="1"/>
  <c r="AF1034" i="1" s="1"/>
  <c r="AD1033" i="1"/>
  <c r="AF1033" i="1" s="1"/>
  <c r="AD1032" i="1"/>
  <c r="AF1032" i="1" s="1"/>
  <c r="AD1031" i="1"/>
  <c r="AF1031" i="1" s="1"/>
  <c r="AD1030" i="1"/>
  <c r="AF1030" i="1" s="1"/>
  <c r="AD1029" i="1"/>
  <c r="AF1029" i="1" s="1"/>
  <c r="AD1028" i="1"/>
  <c r="AF1028" i="1" s="1"/>
  <c r="AD1027" i="1"/>
  <c r="AF1027" i="1" s="1"/>
  <c r="AD1026" i="1"/>
  <c r="AF1026" i="1" s="1"/>
  <c r="AD1021" i="1"/>
  <c r="AF1021" i="1" s="1"/>
  <c r="AD1020" i="1"/>
  <c r="AF1020" i="1" s="1"/>
  <c r="AD1019" i="1"/>
  <c r="AF1019" i="1" s="1"/>
  <c r="AD1018" i="1"/>
  <c r="AF1018" i="1" s="1"/>
  <c r="AD1017" i="1"/>
  <c r="AF1017" i="1" s="1"/>
  <c r="AF1016" i="1"/>
  <c r="AD1014" i="1"/>
  <c r="AF1014" i="1" s="1"/>
  <c r="AD1013" i="1"/>
  <c r="AF1013" i="1" s="1"/>
  <c r="AD1012" i="1"/>
  <c r="AF1012" i="1" s="1"/>
  <c r="AD1011" i="1"/>
  <c r="AF1011" i="1" s="1"/>
  <c r="AD1010" i="1"/>
  <c r="AF1010" i="1" s="1"/>
  <c r="AD1009" i="1"/>
  <c r="AF1009" i="1" s="1"/>
  <c r="AD1008" i="1"/>
  <c r="AF1008" i="1" s="1"/>
  <c r="AD1007" i="1"/>
  <c r="AF1007" i="1" s="1"/>
  <c r="AD1006" i="1"/>
  <c r="AF1006" i="1" s="1"/>
  <c r="AD1005" i="1"/>
  <c r="AF1005" i="1" s="1"/>
  <c r="AD1004" i="1"/>
  <c r="AF1004" i="1" s="1"/>
  <c r="AD1003" i="1"/>
  <c r="AF1003" i="1" s="1"/>
  <c r="AD1002" i="1"/>
  <c r="AF1002" i="1" s="1"/>
  <c r="AD1001" i="1"/>
  <c r="AF1001" i="1" s="1"/>
  <c r="AD1000" i="1"/>
  <c r="AF1000" i="1" s="1"/>
  <c r="AD999" i="1"/>
  <c r="AF999" i="1" s="1"/>
  <c r="AD998" i="1"/>
  <c r="AF998" i="1" s="1"/>
  <c r="AD997" i="1"/>
  <c r="AF997" i="1" s="1"/>
  <c r="AD996" i="1"/>
  <c r="AF996" i="1" s="1"/>
  <c r="AD995" i="1"/>
  <c r="AF995" i="1" s="1"/>
  <c r="AD994" i="1"/>
  <c r="AF994" i="1" s="1"/>
  <c r="AD991" i="1"/>
  <c r="AF991" i="1" s="1"/>
  <c r="AD990" i="1"/>
  <c r="AF990" i="1" s="1"/>
  <c r="AD989" i="1"/>
  <c r="AF989" i="1" s="1"/>
  <c r="AD988" i="1"/>
  <c r="AF988" i="1" s="1"/>
  <c r="AD987" i="1"/>
  <c r="AF987" i="1" s="1"/>
  <c r="AD986" i="1"/>
  <c r="AF986" i="1" s="1"/>
  <c r="AD985" i="1"/>
  <c r="AF985" i="1" s="1"/>
  <c r="AD984" i="1"/>
  <c r="AF984" i="1" s="1"/>
  <c r="AD983" i="1"/>
  <c r="AF983" i="1" s="1"/>
  <c r="AD982" i="1"/>
  <c r="AF982" i="1" s="1"/>
  <c r="AD981" i="1"/>
  <c r="AF981" i="1" s="1"/>
  <c r="AD980" i="1"/>
  <c r="AF980" i="1" s="1"/>
  <c r="AD979" i="1"/>
  <c r="AF979" i="1" s="1"/>
  <c r="AD976" i="1"/>
  <c r="AF976" i="1" s="1"/>
  <c r="AD975" i="1"/>
  <c r="AF975" i="1" s="1"/>
  <c r="AD974" i="1"/>
  <c r="AF974" i="1" s="1"/>
  <c r="AD973" i="1"/>
  <c r="AF973" i="1" s="1"/>
  <c r="AD972" i="1"/>
  <c r="AF972" i="1" s="1"/>
  <c r="AD971" i="1"/>
  <c r="AF971" i="1" s="1"/>
  <c r="AD970" i="1"/>
  <c r="AF970" i="1" s="1"/>
  <c r="AD969" i="1"/>
  <c r="AF969" i="1" s="1"/>
  <c r="AD968" i="1"/>
  <c r="AF968" i="1" s="1"/>
  <c r="AD967" i="1"/>
  <c r="AF967" i="1" s="1"/>
  <c r="AD966" i="1"/>
  <c r="AF966" i="1" s="1"/>
  <c r="AD965" i="1"/>
  <c r="AF965" i="1" s="1"/>
  <c r="AD964" i="1"/>
  <c r="AF964" i="1" s="1"/>
  <c r="AD963" i="1"/>
  <c r="AF963" i="1" s="1"/>
  <c r="AD962" i="1"/>
  <c r="AF962" i="1" s="1"/>
  <c r="AD960" i="1"/>
  <c r="AF960" i="1" s="1"/>
  <c r="AD959" i="1"/>
  <c r="AF959" i="1" s="1"/>
  <c r="AD958" i="1"/>
  <c r="AF958" i="1" s="1"/>
  <c r="AD957" i="1"/>
  <c r="AF957" i="1" s="1"/>
  <c r="AD956" i="1"/>
  <c r="AF956" i="1" s="1"/>
  <c r="AD955" i="1"/>
  <c r="AF955" i="1" s="1"/>
  <c r="AD954" i="1"/>
  <c r="AF954" i="1" s="1"/>
  <c r="AD953" i="1"/>
  <c r="AF953" i="1" s="1"/>
  <c r="AD952" i="1"/>
  <c r="AF952" i="1" s="1"/>
  <c r="AD951" i="1"/>
  <c r="AF951" i="1" s="1"/>
  <c r="AD950" i="1"/>
  <c r="AF950" i="1" s="1"/>
  <c r="AD949" i="1"/>
  <c r="AF949" i="1" s="1"/>
  <c r="AD948" i="1"/>
  <c r="AF948" i="1" s="1"/>
  <c r="AD947" i="1"/>
  <c r="AF947" i="1" s="1"/>
  <c r="AD946" i="1"/>
  <c r="AF946" i="1" s="1"/>
  <c r="AD945" i="1"/>
  <c r="AF945" i="1" s="1"/>
  <c r="AD943" i="1"/>
  <c r="AF943" i="1" s="1"/>
  <c r="AD942" i="1"/>
  <c r="AF942" i="1" s="1"/>
  <c r="AD941" i="1"/>
  <c r="AF941" i="1" s="1"/>
  <c r="AD940" i="1"/>
  <c r="AF940" i="1" s="1"/>
  <c r="AD939" i="1"/>
  <c r="AF939" i="1" s="1"/>
  <c r="AD938" i="1"/>
  <c r="AF938" i="1" s="1"/>
  <c r="AD937" i="1"/>
  <c r="AF937" i="1" s="1"/>
  <c r="AD936" i="1"/>
  <c r="AF936" i="1" s="1"/>
  <c r="AD935" i="1"/>
  <c r="AF935" i="1" s="1"/>
  <c r="AD934" i="1"/>
  <c r="AF934" i="1" s="1"/>
  <c r="AD933" i="1"/>
  <c r="AF933" i="1" s="1"/>
  <c r="AD932" i="1"/>
  <c r="AF932" i="1" s="1"/>
  <c r="AD931" i="1"/>
  <c r="AF931" i="1" s="1"/>
  <c r="AD930" i="1"/>
  <c r="AF930" i="1" s="1"/>
  <c r="AD929" i="1"/>
  <c r="AF929" i="1" s="1"/>
  <c r="AD928" i="1"/>
  <c r="AF928" i="1" s="1"/>
  <c r="AD927" i="1"/>
  <c r="AF927" i="1" s="1"/>
  <c r="AD926" i="1"/>
  <c r="AF926" i="1" s="1"/>
  <c r="AD925" i="1"/>
  <c r="AF925" i="1" s="1"/>
  <c r="AD924" i="1"/>
  <c r="AF924" i="1" s="1"/>
  <c r="AD923" i="1"/>
  <c r="AD922" i="1"/>
  <c r="AF922" i="1" s="1"/>
  <c r="AD921" i="1"/>
  <c r="AF921" i="1" s="1"/>
  <c r="AD920" i="1"/>
  <c r="AF920" i="1" s="1"/>
  <c r="AD919" i="1"/>
  <c r="AF919" i="1" s="1"/>
  <c r="AD918" i="1"/>
  <c r="AF918" i="1" s="1"/>
  <c r="AD917" i="1"/>
  <c r="AF917" i="1" s="1"/>
  <c r="AD916" i="1"/>
  <c r="AF916" i="1" s="1"/>
  <c r="AD915" i="1"/>
  <c r="AD914" i="1"/>
  <c r="AF914" i="1" s="1"/>
  <c r="AD913" i="1"/>
  <c r="AF913" i="1" s="1"/>
  <c r="AD912" i="1"/>
  <c r="AF912" i="1" s="1"/>
  <c r="AD911" i="1"/>
  <c r="AF911" i="1" s="1"/>
  <c r="AD910" i="1"/>
  <c r="AD909" i="1"/>
  <c r="AF909" i="1" s="1"/>
  <c r="AD908" i="1"/>
  <c r="AF908" i="1" s="1"/>
  <c r="AD907" i="1"/>
  <c r="AF907" i="1" s="1"/>
  <c r="AD906" i="1"/>
  <c r="AF906" i="1" s="1"/>
  <c r="AD905" i="1"/>
  <c r="AF905" i="1" s="1"/>
  <c r="AD904" i="1"/>
  <c r="AF904" i="1" s="1"/>
  <c r="AD903" i="1"/>
  <c r="AF903" i="1" s="1"/>
  <c r="AD902" i="1"/>
  <c r="AF902" i="1" s="1"/>
  <c r="AD901" i="1"/>
  <c r="AF901" i="1" s="1"/>
  <c r="AD900" i="1"/>
  <c r="AF900" i="1" s="1"/>
  <c r="AD899" i="1"/>
  <c r="AF899" i="1" s="1"/>
  <c r="AD898" i="1"/>
  <c r="AF898" i="1" s="1"/>
  <c r="AD897" i="1"/>
  <c r="AF897" i="1" s="1"/>
  <c r="AD896" i="1"/>
  <c r="AF896" i="1" s="1"/>
  <c r="AD895" i="1"/>
  <c r="AF895" i="1" s="1"/>
  <c r="AD894" i="1"/>
  <c r="AF894" i="1" s="1"/>
  <c r="AD893" i="1"/>
  <c r="AF893" i="1" s="1"/>
  <c r="AD892" i="1"/>
  <c r="AF892" i="1" s="1"/>
  <c r="AD891" i="1"/>
  <c r="AF891" i="1" s="1"/>
  <c r="AD890" i="1"/>
  <c r="AF890" i="1" s="1"/>
  <c r="AD889" i="1"/>
  <c r="AF889" i="1" s="1"/>
  <c r="AD888" i="1"/>
  <c r="AF888" i="1" s="1"/>
  <c r="AD887" i="1"/>
  <c r="AF887" i="1" s="1"/>
  <c r="AD886" i="1"/>
  <c r="AF886" i="1" s="1"/>
  <c r="AD885" i="1"/>
  <c r="AF885" i="1" s="1"/>
  <c r="AD884" i="1"/>
  <c r="AF884" i="1" s="1"/>
  <c r="AD883" i="1"/>
  <c r="AF883" i="1" s="1"/>
  <c r="AD882" i="1"/>
  <c r="AF882" i="1" s="1"/>
  <c r="AD881" i="1"/>
  <c r="AF881" i="1" s="1"/>
  <c r="AD880" i="1"/>
  <c r="AF880" i="1" s="1"/>
  <c r="AD879" i="1"/>
  <c r="AF879" i="1" s="1"/>
  <c r="AD878" i="1"/>
  <c r="AF878" i="1" s="1"/>
  <c r="AD877" i="1"/>
  <c r="AF877" i="1" s="1"/>
  <c r="AD876" i="1"/>
  <c r="AF876" i="1" s="1"/>
  <c r="AD875" i="1"/>
  <c r="AF875" i="1" s="1"/>
  <c r="AD874" i="1"/>
  <c r="AF874" i="1" s="1"/>
  <c r="AD873" i="1"/>
  <c r="AF873" i="1" s="1"/>
  <c r="AD872" i="1"/>
  <c r="AF872" i="1" s="1"/>
  <c r="AD871" i="1"/>
  <c r="AF871" i="1" s="1"/>
  <c r="AD870" i="1"/>
  <c r="AF870" i="1" s="1"/>
  <c r="AD869" i="1"/>
  <c r="AF869" i="1" s="1"/>
  <c r="AD868" i="1"/>
  <c r="AF868" i="1" s="1"/>
  <c r="AD867" i="1"/>
  <c r="AF867" i="1" s="1"/>
  <c r="AD866" i="1"/>
  <c r="AF866" i="1" s="1"/>
  <c r="AD865" i="1"/>
  <c r="AF865" i="1" s="1"/>
  <c r="AD864" i="1"/>
  <c r="AF864" i="1" s="1"/>
  <c r="AD863" i="1"/>
  <c r="AF863" i="1" s="1"/>
  <c r="AD862" i="1"/>
  <c r="AF862" i="1" s="1"/>
  <c r="AD861" i="1"/>
  <c r="AF861" i="1" s="1"/>
  <c r="AD859" i="1"/>
  <c r="AF859" i="1" s="1"/>
  <c r="AD858" i="1"/>
  <c r="AF858" i="1" s="1"/>
  <c r="AD857" i="1"/>
  <c r="AF857" i="1" s="1"/>
  <c r="AD856" i="1"/>
  <c r="AF856" i="1" s="1"/>
  <c r="AD855" i="1"/>
  <c r="AF855" i="1" s="1"/>
  <c r="AD853" i="1"/>
  <c r="AF853" i="1" s="1"/>
  <c r="AD852" i="1"/>
  <c r="AF852" i="1" s="1"/>
  <c r="AD851" i="1"/>
  <c r="AF851" i="1" s="1"/>
  <c r="AD850" i="1"/>
  <c r="AF850" i="1" s="1"/>
  <c r="AD849" i="1"/>
  <c r="AF849" i="1" s="1"/>
  <c r="AD848" i="1"/>
  <c r="AF848" i="1" s="1"/>
  <c r="AD847" i="1"/>
  <c r="AF847" i="1" s="1"/>
  <c r="AD846" i="1"/>
  <c r="AF846" i="1" s="1"/>
  <c r="AD845" i="1"/>
  <c r="AF845" i="1" s="1"/>
  <c r="AD844" i="1"/>
  <c r="AF844" i="1" s="1"/>
  <c r="AD843" i="1"/>
  <c r="AF843" i="1" s="1"/>
  <c r="AD842" i="1"/>
  <c r="AF842" i="1" s="1"/>
  <c r="AD841" i="1"/>
  <c r="AF841" i="1" s="1"/>
  <c r="AD840" i="1"/>
  <c r="AF840" i="1" s="1"/>
  <c r="AD839" i="1"/>
  <c r="AF839" i="1" s="1"/>
  <c r="AD838" i="1"/>
  <c r="AF838" i="1" s="1"/>
  <c r="AD837" i="1"/>
  <c r="AF837" i="1" s="1"/>
  <c r="AD836" i="1"/>
  <c r="AF836" i="1" s="1"/>
  <c r="AD835" i="1"/>
  <c r="AF835" i="1" s="1"/>
  <c r="AD834" i="1"/>
  <c r="AF834" i="1" s="1"/>
  <c r="AD833" i="1"/>
  <c r="AF833" i="1" s="1"/>
  <c r="AD832" i="1"/>
  <c r="AF832" i="1" s="1"/>
  <c r="AD831" i="1"/>
  <c r="AF831" i="1" s="1"/>
  <c r="AD830" i="1"/>
  <c r="AF830" i="1" s="1"/>
  <c r="AD829" i="1"/>
  <c r="AF829" i="1" s="1"/>
  <c r="AD828" i="1"/>
  <c r="AF828" i="1" s="1"/>
  <c r="AD827" i="1"/>
  <c r="AF827" i="1" s="1"/>
  <c r="AD826" i="1"/>
  <c r="AF826" i="1" s="1"/>
  <c r="AD825" i="1"/>
  <c r="AF825" i="1" s="1"/>
  <c r="AD823" i="1"/>
  <c r="AF823" i="1" s="1"/>
  <c r="AD822" i="1"/>
  <c r="AF822" i="1" s="1"/>
  <c r="AD821" i="1"/>
  <c r="AF821" i="1" s="1"/>
  <c r="AD820" i="1"/>
  <c r="AF820" i="1" s="1"/>
  <c r="AD819" i="1"/>
  <c r="AF819" i="1" s="1"/>
  <c r="AD818" i="1"/>
  <c r="AF818" i="1" s="1"/>
  <c r="AD817" i="1"/>
  <c r="AF817" i="1" s="1"/>
  <c r="AD816" i="1"/>
  <c r="AF816" i="1" s="1"/>
  <c r="AD815" i="1"/>
  <c r="AF815" i="1" s="1"/>
  <c r="AD814" i="1"/>
  <c r="AF814" i="1" s="1"/>
  <c r="AD813" i="1"/>
  <c r="AF813" i="1" s="1"/>
  <c r="AD812" i="1"/>
  <c r="AF812" i="1" s="1"/>
  <c r="AD811" i="1"/>
  <c r="AF811" i="1" s="1"/>
  <c r="AD810" i="1"/>
  <c r="AF810" i="1" s="1"/>
  <c r="AD809" i="1"/>
  <c r="AF809" i="1" s="1"/>
  <c r="AD808" i="1"/>
  <c r="AF808" i="1" s="1"/>
  <c r="AD807" i="1"/>
  <c r="AF807" i="1" s="1"/>
  <c r="AD806" i="1"/>
  <c r="AF806" i="1" s="1"/>
  <c r="AD805" i="1"/>
  <c r="AF805" i="1" s="1"/>
  <c r="AD804" i="1"/>
  <c r="AF804" i="1" s="1"/>
  <c r="AD803" i="1"/>
  <c r="AF803" i="1" s="1"/>
  <c r="AD802" i="1"/>
  <c r="AF802" i="1" s="1"/>
  <c r="AD801" i="1"/>
  <c r="AD800" i="1"/>
  <c r="AD799" i="1"/>
  <c r="AD798" i="1"/>
  <c r="AF798" i="1" s="1"/>
  <c r="AD797" i="1"/>
  <c r="AF797" i="1" s="1"/>
  <c r="AD796" i="1"/>
  <c r="AF796" i="1" s="1"/>
  <c r="AD795" i="1"/>
  <c r="AF795" i="1" s="1"/>
  <c r="AD794" i="1"/>
  <c r="AF794" i="1" s="1"/>
  <c r="AF793" i="1"/>
  <c r="AD792" i="1"/>
  <c r="AD791" i="1"/>
  <c r="AF791" i="1" s="1"/>
  <c r="AD790" i="1"/>
  <c r="AF790" i="1" s="1"/>
  <c r="AD789" i="1"/>
  <c r="AF789" i="1" s="1"/>
  <c r="AD786" i="1"/>
  <c r="AF786" i="1" s="1"/>
  <c r="AD785" i="1"/>
  <c r="AF785" i="1" s="1"/>
  <c r="AD784" i="1"/>
  <c r="AF784" i="1" s="1"/>
  <c r="AD783" i="1"/>
  <c r="AF783" i="1" s="1"/>
  <c r="AD782" i="1"/>
  <c r="AF782" i="1" s="1"/>
  <c r="AF781" i="1"/>
  <c r="AD780" i="1"/>
  <c r="AF780" i="1" s="1"/>
  <c r="AD778" i="1"/>
  <c r="AF778" i="1" s="1"/>
  <c r="AD777" i="1"/>
  <c r="AF777" i="1" s="1"/>
  <c r="AD776" i="1"/>
  <c r="AF776" i="1" s="1"/>
  <c r="AD775" i="1"/>
  <c r="AF775" i="1" s="1"/>
  <c r="AD774" i="1"/>
  <c r="AF774" i="1" s="1"/>
  <c r="AD773" i="1"/>
  <c r="AF773" i="1" s="1"/>
  <c r="AD772" i="1"/>
  <c r="AF772" i="1" s="1"/>
  <c r="AD771" i="1"/>
  <c r="AF771" i="1" s="1"/>
  <c r="AD770" i="1"/>
  <c r="AF770" i="1" s="1"/>
  <c r="AD769" i="1"/>
  <c r="AF769" i="1" s="1"/>
  <c r="AD768" i="1"/>
  <c r="AF768" i="1" s="1"/>
  <c r="AD767" i="1"/>
  <c r="AF767" i="1" s="1"/>
  <c r="AD766" i="1"/>
  <c r="AF766" i="1" s="1"/>
  <c r="AD765" i="1"/>
  <c r="AF765" i="1" s="1"/>
  <c r="AD764" i="1"/>
  <c r="AF764" i="1" s="1"/>
  <c r="AD763" i="1"/>
  <c r="AF763" i="1" s="1"/>
  <c r="AD762" i="1"/>
  <c r="AF762" i="1" s="1"/>
  <c r="AD761" i="1"/>
  <c r="AF761" i="1" s="1"/>
  <c r="AD760" i="1"/>
  <c r="AF760" i="1" s="1"/>
  <c r="AD759" i="1"/>
  <c r="AF759" i="1" s="1"/>
  <c r="AD758" i="1"/>
  <c r="AF758" i="1" s="1"/>
  <c r="AD757" i="1"/>
  <c r="AF757" i="1" s="1"/>
  <c r="AD756" i="1"/>
  <c r="AF756" i="1" s="1"/>
  <c r="AD755" i="1"/>
  <c r="AF755" i="1" s="1"/>
  <c r="AD754" i="1"/>
  <c r="AF754" i="1" s="1"/>
  <c r="AD753" i="1"/>
  <c r="AF753" i="1" s="1"/>
  <c r="AD752" i="1"/>
  <c r="AF752" i="1" s="1"/>
  <c r="AD751" i="1"/>
  <c r="AF751" i="1" s="1"/>
  <c r="AD750" i="1"/>
  <c r="AF750" i="1" s="1"/>
  <c r="AD749" i="1"/>
  <c r="AF749" i="1" s="1"/>
  <c r="AD748" i="1"/>
  <c r="AF748" i="1" s="1"/>
  <c r="AD747" i="1"/>
  <c r="AF747" i="1" s="1"/>
  <c r="AF746" i="1"/>
  <c r="AD743" i="1"/>
  <c r="AF743" i="1" s="1"/>
  <c r="AD742" i="1"/>
  <c r="AF742" i="1" s="1"/>
  <c r="AD741" i="1"/>
  <c r="AF741" i="1" s="1"/>
  <c r="AD740" i="1"/>
  <c r="AF740" i="1" s="1"/>
  <c r="AD739" i="1"/>
  <c r="AF739" i="1" s="1"/>
  <c r="AD738" i="1"/>
  <c r="AF738" i="1" s="1"/>
  <c r="AD737" i="1"/>
  <c r="AF737" i="1" s="1"/>
  <c r="AD736" i="1"/>
  <c r="AF736" i="1" s="1"/>
  <c r="AD735" i="1"/>
  <c r="AF735" i="1" s="1"/>
  <c r="AD734" i="1"/>
  <c r="AF734" i="1" s="1"/>
  <c r="AD733" i="1"/>
  <c r="AF733" i="1" s="1"/>
  <c r="AD732" i="1"/>
  <c r="AF732" i="1" s="1"/>
  <c r="AD731" i="1"/>
  <c r="AF731" i="1" s="1"/>
  <c r="AD730" i="1"/>
  <c r="AF730" i="1" s="1"/>
  <c r="AD728" i="1"/>
  <c r="AF728" i="1" s="1"/>
  <c r="AD727" i="1"/>
  <c r="AF727" i="1" s="1"/>
  <c r="AD726" i="1"/>
  <c r="AF726" i="1" s="1"/>
  <c r="AD725" i="1"/>
  <c r="AF725" i="1" s="1"/>
  <c r="AD724" i="1"/>
  <c r="AF724" i="1" s="1"/>
  <c r="AD723" i="1"/>
  <c r="AF723" i="1" s="1"/>
  <c r="AD719" i="1"/>
  <c r="AF719" i="1" s="1"/>
  <c r="AD718" i="1"/>
  <c r="AF718" i="1" s="1"/>
  <c r="AD717" i="1"/>
  <c r="AF717" i="1" s="1"/>
  <c r="AD716" i="1"/>
  <c r="AF716" i="1" s="1"/>
  <c r="AD715" i="1"/>
  <c r="AF715" i="1" s="1"/>
  <c r="AD714" i="1"/>
  <c r="AF714" i="1" s="1"/>
  <c r="AD713" i="1"/>
  <c r="AF713" i="1" s="1"/>
  <c r="AD712" i="1"/>
  <c r="AF712" i="1" s="1"/>
  <c r="AD711" i="1"/>
  <c r="AF711" i="1" s="1"/>
  <c r="AD710" i="1"/>
  <c r="AF710" i="1" s="1"/>
  <c r="AD709" i="1"/>
  <c r="AF709" i="1" s="1"/>
  <c r="AD708" i="1"/>
  <c r="AF708" i="1" s="1"/>
  <c r="AD707" i="1"/>
  <c r="AF707" i="1" s="1"/>
  <c r="AD706" i="1"/>
  <c r="AF706" i="1" s="1"/>
  <c r="AD705" i="1"/>
  <c r="AF705" i="1" s="1"/>
  <c r="AD704" i="1"/>
  <c r="AF704" i="1" s="1"/>
  <c r="AD703" i="1"/>
  <c r="AF703" i="1" s="1"/>
  <c r="AD702" i="1"/>
  <c r="AF702" i="1" s="1"/>
  <c r="AD701" i="1"/>
  <c r="AF701" i="1" s="1"/>
  <c r="AD700" i="1"/>
  <c r="AF700" i="1" s="1"/>
  <c r="AD699" i="1"/>
  <c r="AF699" i="1" s="1"/>
  <c r="AD698" i="1"/>
  <c r="AF698" i="1" s="1"/>
  <c r="AD697" i="1"/>
  <c r="AF697" i="1" s="1"/>
  <c r="AD696" i="1"/>
  <c r="AF696" i="1" s="1"/>
  <c r="AD695" i="1"/>
  <c r="AF695" i="1" s="1"/>
  <c r="AD694" i="1"/>
  <c r="AF694" i="1" s="1"/>
  <c r="AD693" i="1"/>
  <c r="AF693" i="1" s="1"/>
  <c r="AD692" i="1"/>
  <c r="AF692" i="1" s="1"/>
  <c r="AD691" i="1"/>
  <c r="AF691" i="1" s="1"/>
  <c r="AD690" i="1"/>
  <c r="AF690" i="1" s="1"/>
  <c r="AD689" i="1"/>
  <c r="AF689" i="1" s="1"/>
  <c r="AD688" i="1"/>
  <c r="AF688" i="1" s="1"/>
  <c r="AD687" i="1"/>
  <c r="AF687" i="1" s="1"/>
  <c r="AD686" i="1"/>
  <c r="AF686" i="1" s="1"/>
  <c r="AD685" i="1"/>
  <c r="AF685" i="1" s="1"/>
  <c r="AD684" i="1"/>
  <c r="AF684" i="1" s="1"/>
  <c r="AD683" i="1"/>
  <c r="AF683" i="1" s="1"/>
  <c r="AD682" i="1"/>
  <c r="AF682" i="1" s="1"/>
  <c r="AD681" i="1"/>
  <c r="AF681" i="1" s="1"/>
  <c r="AD680" i="1"/>
  <c r="AF680" i="1" s="1"/>
  <c r="AD679" i="1"/>
  <c r="AF679" i="1" s="1"/>
  <c r="AD678" i="1"/>
  <c r="AF678" i="1" s="1"/>
  <c r="AD677" i="1"/>
  <c r="AF677" i="1" s="1"/>
  <c r="AD676" i="1"/>
  <c r="AF676" i="1" s="1"/>
  <c r="AD674" i="1"/>
  <c r="AF674" i="1" s="1"/>
  <c r="AD673" i="1"/>
  <c r="AF673" i="1" s="1"/>
  <c r="AD672" i="1"/>
  <c r="AF672" i="1" s="1"/>
  <c r="AD671" i="1"/>
  <c r="AF671" i="1" s="1"/>
  <c r="AD670" i="1"/>
  <c r="AF670" i="1" s="1"/>
  <c r="AD669" i="1"/>
  <c r="AF669" i="1" s="1"/>
  <c r="AD668" i="1"/>
  <c r="AF668" i="1" s="1"/>
  <c r="AD667" i="1"/>
  <c r="AF667" i="1" s="1"/>
  <c r="AD666" i="1"/>
  <c r="AF666" i="1" s="1"/>
  <c r="AD665" i="1"/>
  <c r="AF665" i="1" s="1"/>
  <c r="AD664" i="1"/>
  <c r="AF664" i="1" s="1"/>
  <c r="AD663" i="1"/>
  <c r="AD662" i="1"/>
  <c r="AF662" i="1" s="1"/>
  <c r="AD661" i="1"/>
  <c r="AF661" i="1" s="1"/>
  <c r="AD660" i="1"/>
  <c r="AF660" i="1" s="1"/>
  <c r="AD659" i="1"/>
  <c r="AF659" i="1" s="1"/>
  <c r="AD658" i="1"/>
  <c r="AF658" i="1" s="1"/>
  <c r="AD657" i="1"/>
  <c r="AF657" i="1" s="1"/>
  <c r="AD656" i="1"/>
  <c r="AF656" i="1" s="1"/>
  <c r="AD655" i="1"/>
  <c r="AF655" i="1" s="1"/>
  <c r="AD654" i="1"/>
  <c r="AF654" i="1" s="1"/>
  <c r="AD653" i="1"/>
  <c r="AF653" i="1" s="1"/>
  <c r="AD652" i="1"/>
  <c r="AF652" i="1" s="1"/>
  <c r="AD651" i="1"/>
  <c r="AF651" i="1" s="1"/>
  <c r="AD650" i="1"/>
  <c r="AF650" i="1" s="1"/>
  <c r="AD649" i="1"/>
  <c r="AF649" i="1" s="1"/>
  <c r="AD647" i="1"/>
  <c r="AF647" i="1" s="1"/>
  <c r="AD646" i="1"/>
  <c r="AF646" i="1" s="1"/>
  <c r="AD645" i="1"/>
  <c r="AF645" i="1" s="1"/>
  <c r="AD644" i="1"/>
  <c r="AF644" i="1" s="1"/>
  <c r="AD643" i="1"/>
  <c r="AF643" i="1" s="1"/>
  <c r="AD642" i="1"/>
  <c r="AF642" i="1" s="1"/>
  <c r="AD641" i="1"/>
  <c r="AF641" i="1" s="1"/>
  <c r="AD640" i="1"/>
  <c r="AF640" i="1" s="1"/>
  <c r="AD639" i="1"/>
  <c r="AF639" i="1" s="1"/>
  <c r="AD638" i="1"/>
  <c r="AF638" i="1" s="1"/>
  <c r="AD637" i="1"/>
  <c r="AF637" i="1" s="1"/>
  <c r="AD636" i="1"/>
  <c r="AF636" i="1" s="1"/>
  <c r="AD635" i="1"/>
  <c r="AF635" i="1" s="1"/>
  <c r="AD634" i="1"/>
  <c r="AF634" i="1" s="1"/>
  <c r="AD633" i="1"/>
  <c r="AF633" i="1" s="1"/>
  <c r="AD632" i="1"/>
  <c r="AF632" i="1" s="1"/>
  <c r="AD631" i="1"/>
  <c r="AF631" i="1" s="1"/>
  <c r="AD630" i="1"/>
  <c r="AF630" i="1" s="1"/>
  <c r="AD629" i="1"/>
  <c r="AF629" i="1" s="1"/>
  <c r="AD628" i="1"/>
  <c r="AF628" i="1" s="1"/>
  <c r="AD627" i="1"/>
  <c r="AF627" i="1" s="1"/>
  <c r="AD626" i="1"/>
  <c r="AF626" i="1" s="1"/>
  <c r="AD625" i="1"/>
  <c r="AF625" i="1" s="1"/>
  <c r="AD624" i="1"/>
  <c r="AF624" i="1" s="1"/>
  <c r="AD623" i="1"/>
  <c r="AF623" i="1" s="1"/>
  <c r="AD622" i="1"/>
  <c r="AF622" i="1" s="1"/>
  <c r="AD621" i="1"/>
  <c r="AF621" i="1" s="1"/>
  <c r="AD620" i="1"/>
  <c r="AF620" i="1" s="1"/>
  <c r="AD619" i="1"/>
  <c r="AF619" i="1" s="1"/>
  <c r="AD618" i="1"/>
  <c r="AF618" i="1" s="1"/>
  <c r="AD617" i="1"/>
  <c r="AF617" i="1" s="1"/>
  <c r="AD616" i="1"/>
  <c r="AF616" i="1" s="1"/>
  <c r="AD615" i="1"/>
  <c r="AF615" i="1" s="1"/>
  <c r="AD614" i="1"/>
  <c r="AF614" i="1" s="1"/>
  <c r="AD613" i="1"/>
  <c r="AF613" i="1" s="1"/>
  <c r="AD612" i="1"/>
  <c r="AF612" i="1" s="1"/>
  <c r="AD611" i="1"/>
  <c r="AF611" i="1" s="1"/>
  <c r="AD610" i="1"/>
  <c r="AF610" i="1" s="1"/>
  <c r="AD609" i="1"/>
  <c r="AF609" i="1" s="1"/>
  <c r="AD608" i="1"/>
  <c r="AF608" i="1" s="1"/>
  <c r="AD607" i="1"/>
  <c r="AF607" i="1" s="1"/>
  <c r="AD606" i="1"/>
  <c r="AF606" i="1" s="1"/>
  <c r="AD605" i="1"/>
  <c r="AF605" i="1" s="1"/>
  <c r="AD604" i="1"/>
  <c r="AF604" i="1" s="1"/>
  <c r="AD603" i="1"/>
  <c r="AF603" i="1" s="1"/>
  <c r="AF602" i="1"/>
  <c r="AF601" i="1"/>
  <c r="AF600" i="1"/>
  <c r="AF599" i="1"/>
  <c r="AF598" i="1"/>
  <c r="AD597" i="1"/>
  <c r="AF597" i="1" s="1"/>
  <c r="AD596" i="1"/>
  <c r="AF596" i="1" s="1"/>
  <c r="AD595" i="1"/>
  <c r="AF595" i="1" s="1"/>
  <c r="AD594" i="1"/>
  <c r="AF594" i="1" s="1"/>
  <c r="AD593" i="1"/>
  <c r="AF593" i="1" s="1"/>
  <c r="AD592" i="1"/>
  <c r="AF592" i="1" s="1"/>
  <c r="AD591" i="1"/>
  <c r="AF591" i="1" s="1"/>
  <c r="AD590" i="1"/>
  <c r="AF590" i="1" s="1"/>
  <c r="AD589" i="1"/>
  <c r="AF589" i="1" s="1"/>
  <c r="AD588" i="1"/>
  <c r="AF588" i="1" s="1"/>
  <c r="AD587" i="1"/>
  <c r="AF587" i="1" s="1"/>
  <c r="AD586" i="1"/>
  <c r="AF586" i="1" s="1"/>
  <c r="AD585" i="1"/>
  <c r="AF585" i="1" s="1"/>
  <c r="AD584" i="1"/>
  <c r="AF584" i="1" s="1"/>
  <c r="AD583" i="1"/>
  <c r="AF583" i="1" s="1"/>
  <c r="AD582" i="1"/>
  <c r="AF582" i="1" s="1"/>
  <c r="AD581" i="1"/>
  <c r="AF581" i="1" s="1"/>
  <c r="AD580" i="1"/>
  <c r="AF580" i="1" s="1"/>
  <c r="AD579" i="1"/>
  <c r="AF579" i="1" s="1"/>
  <c r="AD578" i="1"/>
  <c r="AF578" i="1" s="1"/>
  <c r="AD577" i="1"/>
  <c r="AF577" i="1" s="1"/>
  <c r="AD576" i="1"/>
  <c r="AF576" i="1" s="1"/>
  <c r="AD575" i="1"/>
  <c r="AF575" i="1" s="1"/>
  <c r="AD574" i="1"/>
  <c r="AF574" i="1" s="1"/>
  <c r="AD573" i="1"/>
  <c r="AF573" i="1" s="1"/>
  <c r="AD572" i="1"/>
  <c r="AF572" i="1" s="1"/>
  <c r="AD571" i="1"/>
  <c r="AF571" i="1" s="1"/>
  <c r="AD570" i="1"/>
  <c r="AF570" i="1" s="1"/>
  <c r="AD569" i="1"/>
  <c r="AF569" i="1" s="1"/>
  <c r="AD568" i="1"/>
  <c r="AF568" i="1" s="1"/>
  <c r="AD567" i="1"/>
  <c r="AF567" i="1" s="1"/>
  <c r="AD566" i="1"/>
  <c r="AF566" i="1" s="1"/>
  <c r="AD565" i="1"/>
  <c r="AF565" i="1" s="1"/>
  <c r="AD564" i="1"/>
  <c r="AF564" i="1" s="1"/>
  <c r="AD563" i="1"/>
  <c r="AF563" i="1" s="1"/>
  <c r="AD562" i="1"/>
  <c r="AF562" i="1" s="1"/>
  <c r="AD561" i="1"/>
  <c r="AF561" i="1" s="1"/>
  <c r="AD560" i="1"/>
  <c r="AF560" i="1" s="1"/>
  <c r="AD559" i="1"/>
  <c r="AF559" i="1" s="1"/>
  <c r="AD558" i="1"/>
  <c r="AF558" i="1" s="1"/>
  <c r="AD557" i="1"/>
  <c r="AF557" i="1" s="1"/>
  <c r="AD556" i="1"/>
  <c r="AF556" i="1" s="1"/>
  <c r="AD555" i="1"/>
  <c r="AF555" i="1" s="1"/>
  <c r="AD554" i="1"/>
  <c r="AF554" i="1" s="1"/>
  <c r="AD553" i="1"/>
  <c r="AF553" i="1" s="1"/>
  <c r="AD552" i="1"/>
  <c r="AF552" i="1" s="1"/>
  <c r="AD551" i="1"/>
  <c r="AF551" i="1" s="1"/>
  <c r="AD550" i="1"/>
  <c r="AF550" i="1" s="1"/>
  <c r="AD549" i="1"/>
  <c r="AF549" i="1" s="1"/>
  <c r="AD548" i="1"/>
  <c r="AF548" i="1" s="1"/>
  <c r="AD547" i="1"/>
  <c r="AF547" i="1" s="1"/>
  <c r="AD546" i="1"/>
  <c r="AF546" i="1" s="1"/>
  <c r="AD545" i="1"/>
  <c r="AF545" i="1" s="1"/>
  <c r="AD544" i="1"/>
  <c r="AF544" i="1" s="1"/>
  <c r="AD543" i="1"/>
  <c r="AF543" i="1" s="1"/>
  <c r="AD542" i="1"/>
  <c r="AF542" i="1" s="1"/>
  <c r="AD541" i="1"/>
  <c r="AF541" i="1" s="1"/>
  <c r="AD540" i="1"/>
  <c r="AF540" i="1" s="1"/>
  <c r="AD539" i="1"/>
  <c r="AF539" i="1" s="1"/>
  <c r="AD538" i="1"/>
  <c r="AF538" i="1" s="1"/>
  <c r="AD537" i="1"/>
  <c r="AF537" i="1" s="1"/>
  <c r="AD536" i="1"/>
  <c r="AF536" i="1" s="1"/>
  <c r="AD535" i="1"/>
  <c r="AF535" i="1" s="1"/>
  <c r="AD534" i="1"/>
  <c r="AF534" i="1" s="1"/>
  <c r="AD533" i="1"/>
  <c r="AF533" i="1" s="1"/>
  <c r="AD532" i="1"/>
  <c r="AF532" i="1" s="1"/>
  <c r="AD531" i="1"/>
  <c r="AF531" i="1" s="1"/>
  <c r="AD530" i="1"/>
  <c r="AF530" i="1" s="1"/>
  <c r="AD529" i="1"/>
  <c r="AF529" i="1" s="1"/>
  <c r="AD528" i="1"/>
  <c r="AF528" i="1" s="1"/>
  <c r="AD527" i="1"/>
  <c r="AF527" i="1" s="1"/>
  <c r="AD526" i="1"/>
  <c r="AF526" i="1" s="1"/>
  <c r="AD525" i="1"/>
  <c r="AF525" i="1" s="1"/>
  <c r="AD524" i="1"/>
  <c r="AF524" i="1" s="1"/>
  <c r="AD523" i="1"/>
  <c r="AF523" i="1" s="1"/>
  <c r="AD522" i="1"/>
  <c r="AF522" i="1" s="1"/>
  <c r="AD521" i="1"/>
  <c r="AF521" i="1" s="1"/>
  <c r="AD520" i="1"/>
  <c r="AF520" i="1" s="1"/>
  <c r="AD519" i="1"/>
  <c r="AF519" i="1" s="1"/>
  <c r="AD518" i="1"/>
  <c r="AF518" i="1" s="1"/>
  <c r="AD517" i="1"/>
  <c r="AF517" i="1" s="1"/>
  <c r="AD516" i="1"/>
  <c r="AF516" i="1" s="1"/>
  <c r="AD515" i="1"/>
  <c r="AF515" i="1" s="1"/>
  <c r="AD514" i="1"/>
  <c r="AF514" i="1" s="1"/>
  <c r="AD513" i="1"/>
  <c r="AF513" i="1" s="1"/>
  <c r="AD512" i="1"/>
  <c r="AF512" i="1" s="1"/>
  <c r="AD511" i="1"/>
  <c r="AF511" i="1" s="1"/>
  <c r="AD510" i="1"/>
  <c r="AF510" i="1" s="1"/>
  <c r="AD509" i="1"/>
  <c r="AF509" i="1" s="1"/>
  <c r="AD508" i="1"/>
  <c r="AF508" i="1" s="1"/>
  <c r="AD507" i="1"/>
  <c r="AF507" i="1" s="1"/>
  <c r="AD506" i="1"/>
  <c r="AF506" i="1" s="1"/>
  <c r="AD505" i="1"/>
  <c r="AF505" i="1" s="1"/>
  <c r="AD504" i="1"/>
  <c r="AF504" i="1" s="1"/>
  <c r="AD503" i="1"/>
  <c r="AF503" i="1" s="1"/>
  <c r="AD502" i="1"/>
  <c r="AF502" i="1" s="1"/>
  <c r="AD501" i="1"/>
  <c r="AF501" i="1" s="1"/>
  <c r="AD500" i="1"/>
  <c r="AF500" i="1" s="1"/>
  <c r="AD499" i="1"/>
  <c r="AF499" i="1" s="1"/>
  <c r="AD498" i="1"/>
  <c r="AF498" i="1" s="1"/>
  <c r="AD497" i="1"/>
  <c r="AF497" i="1" s="1"/>
  <c r="AD496" i="1"/>
  <c r="AF496" i="1" s="1"/>
  <c r="AD495" i="1"/>
  <c r="AF495" i="1" s="1"/>
  <c r="AD494" i="1"/>
  <c r="AF494" i="1" s="1"/>
  <c r="AD493" i="1"/>
  <c r="AF493" i="1" s="1"/>
  <c r="AD492" i="1"/>
  <c r="AF492" i="1" s="1"/>
  <c r="AD491" i="1"/>
  <c r="AF491" i="1" s="1"/>
  <c r="AD490" i="1"/>
  <c r="AF490" i="1" s="1"/>
  <c r="AD489" i="1"/>
  <c r="AF489" i="1" s="1"/>
  <c r="AD488" i="1"/>
  <c r="AF488" i="1" s="1"/>
  <c r="AD487" i="1"/>
  <c r="AF487" i="1" s="1"/>
  <c r="AD486" i="1"/>
  <c r="AF486" i="1" s="1"/>
  <c r="AD485" i="1"/>
  <c r="AF485" i="1" s="1"/>
  <c r="AD484" i="1"/>
  <c r="AF484" i="1" s="1"/>
  <c r="AD483" i="1"/>
  <c r="AF483" i="1" s="1"/>
  <c r="AD482" i="1"/>
  <c r="AF482" i="1" s="1"/>
  <c r="AD481" i="1"/>
  <c r="AF481" i="1" s="1"/>
  <c r="AD480" i="1"/>
  <c r="AF480" i="1" s="1"/>
  <c r="AD479" i="1"/>
  <c r="AF479" i="1" s="1"/>
  <c r="AD478" i="1"/>
  <c r="AF478" i="1" s="1"/>
  <c r="AD477" i="1"/>
  <c r="AF477" i="1" s="1"/>
  <c r="AD476" i="1"/>
  <c r="AF476" i="1" s="1"/>
  <c r="AD475" i="1"/>
  <c r="AF475" i="1" s="1"/>
  <c r="AD474" i="1"/>
  <c r="AF474" i="1" s="1"/>
  <c r="AD473" i="1"/>
  <c r="AF473" i="1" s="1"/>
  <c r="AD472" i="1"/>
  <c r="AF472" i="1" s="1"/>
  <c r="AD471" i="1"/>
  <c r="AF471" i="1" s="1"/>
  <c r="AD470" i="1"/>
  <c r="AF470" i="1" s="1"/>
  <c r="AD469" i="1"/>
  <c r="AF469" i="1" s="1"/>
  <c r="AD468" i="1"/>
  <c r="AF468" i="1" s="1"/>
  <c r="AD467" i="1"/>
  <c r="AF467" i="1" s="1"/>
  <c r="AD466" i="1"/>
  <c r="AF466" i="1" s="1"/>
  <c r="AD465" i="1"/>
  <c r="AF465" i="1" s="1"/>
  <c r="AD464" i="1"/>
  <c r="AF464" i="1" s="1"/>
  <c r="AD463" i="1"/>
  <c r="AF463" i="1" s="1"/>
  <c r="AD462" i="1"/>
  <c r="AF462" i="1" s="1"/>
  <c r="AD461" i="1"/>
  <c r="AF461" i="1" s="1"/>
  <c r="AD460" i="1"/>
  <c r="AF460" i="1" s="1"/>
  <c r="AD459" i="1"/>
  <c r="AF459" i="1" s="1"/>
  <c r="AD458" i="1"/>
  <c r="AF458" i="1" s="1"/>
  <c r="AD457" i="1"/>
  <c r="AF457" i="1" s="1"/>
  <c r="AD456" i="1"/>
  <c r="AF456" i="1" s="1"/>
  <c r="AD455" i="1"/>
  <c r="AF455" i="1" s="1"/>
  <c r="AD454" i="1"/>
  <c r="AF454" i="1" s="1"/>
  <c r="AD453" i="1"/>
  <c r="AF453" i="1" s="1"/>
  <c r="AD452" i="1"/>
  <c r="AF452" i="1" s="1"/>
  <c r="AD451" i="1"/>
  <c r="AF451" i="1" s="1"/>
  <c r="AD450" i="1"/>
  <c r="AF450" i="1" s="1"/>
  <c r="AD449" i="1"/>
  <c r="AF449" i="1" s="1"/>
  <c r="AD448" i="1"/>
  <c r="AF448" i="1" s="1"/>
  <c r="AD447" i="1"/>
  <c r="AF447" i="1" s="1"/>
  <c r="AD446" i="1"/>
  <c r="AF446" i="1" s="1"/>
  <c r="AD445" i="1"/>
  <c r="AF445" i="1" s="1"/>
  <c r="AD444" i="1"/>
  <c r="AF444" i="1" s="1"/>
  <c r="AD443" i="1"/>
  <c r="AF443" i="1" s="1"/>
  <c r="AD442" i="1"/>
  <c r="AF442" i="1" s="1"/>
  <c r="AD441" i="1"/>
  <c r="AF441" i="1" s="1"/>
  <c r="AD440" i="1"/>
  <c r="AF440" i="1" s="1"/>
  <c r="AD439" i="1"/>
  <c r="AF439" i="1" s="1"/>
  <c r="AD438" i="1"/>
  <c r="AF438" i="1" s="1"/>
  <c r="AD437" i="1"/>
  <c r="AF437" i="1" s="1"/>
  <c r="AD436" i="1"/>
  <c r="AF436" i="1" s="1"/>
  <c r="AD435" i="1"/>
  <c r="AF435" i="1" s="1"/>
  <c r="AD434" i="1"/>
  <c r="AF434" i="1" s="1"/>
  <c r="AD433" i="1"/>
  <c r="AF433" i="1" s="1"/>
  <c r="AD432" i="1"/>
  <c r="AF432" i="1" s="1"/>
  <c r="AD431" i="1"/>
  <c r="AF431" i="1" s="1"/>
  <c r="AD430" i="1"/>
  <c r="AF430" i="1" s="1"/>
  <c r="AD429" i="1"/>
  <c r="AF429" i="1" s="1"/>
  <c r="AD428" i="1"/>
  <c r="AF428" i="1" s="1"/>
  <c r="AD427" i="1"/>
  <c r="AF427" i="1" s="1"/>
  <c r="AD426" i="1"/>
  <c r="AF426" i="1" s="1"/>
  <c r="AD425" i="1"/>
  <c r="AF425" i="1" s="1"/>
  <c r="AD424" i="1"/>
  <c r="AF424" i="1" s="1"/>
  <c r="AD423" i="1"/>
  <c r="AF423" i="1" s="1"/>
  <c r="AD422" i="1"/>
  <c r="AF422" i="1" s="1"/>
  <c r="AD421" i="1"/>
  <c r="AF421" i="1" s="1"/>
  <c r="AD420" i="1"/>
  <c r="AF420" i="1" s="1"/>
  <c r="AD419" i="1"/>
  <c r="AF419" i="1" s="1"/>
  <c r="AD418" i="1"/>
  <c r="AF418" i="1" s="1"/>
  <c r="AD417" i="1"/>
  <c r="AF417" i="1" s="1"/>
  <c r="AD416" i="1"/>
  <c r="AF416" i="1" s="1"/>
  <c r="AD415" i="1"/>
  <c r="AF415" i="1" s="1"/>
  <c r="AD414" i="1"/>
  <c r="AF414" i="1" s="1"/>
  <c r="AD413" i="1"/>
  <c r="AF413" i="1" s="1"/>
  <c r="AD412" i="1"/>
  <c r="AF412" i="1" s="1"/>
  <c r="AD411" i="1"/>
  <c r="AF411" i="1" s="1"/>
  <c r="AD410" i="1"/>
  <c r="AF410" i="1" s="1"/>
  <c r="AD409" i="1"/>
  <c r="AF409" i="1" s="1"/>
  <c r="AD408" i="1"/>
  <c r="AF408" i="1" s="1"/>
  <c r="AD407" i="1"/>
  <c r="AF407" i="1" s="1"/>
  <c r="AD406" i="1"/>
  <c r="AF406" i="1" s="1"/>
  <c r="AD405" i="1"/>
  <c r="AF405" i="1" s="1"/>
  <c r="AD404" i="1"/>
  <c r="AF404" i="1" s="1"/>
  <c r="AD403" i="1"/>
  <c r="AF403" i="1" s="1"/>
  <c r="AD402" i="1"/>
  <c r="AF402" i="1" s="1"/>
  <c r="AD401" i="1"/>
  <c r="AF401" i="1" s="1"/>
  <c r="AD400" i="1"/>
  <c r="AF400" i="1" s="1"/>
  <c r="AD399" i="1"/>
  <c r="AF399" i="1" s="1"/>
  <c r="AD398" i="1"/>
  <c r="AF398" i="1" s="1"/>
  <c r="AD397" i="1"/>
  <c r="AF397" i="1" s="1"/>
  <c r="AD396" i="1"/>
  <c r="AF396" i="1" s="1"/>
  <c r="AD395" i="1"/>
  <c r="AF395" i="1" s="1"/>
  <c r="AD394" i="1"/>
  <c r="AF394" i="1" s="1"/>
  <c r="AD393" i="1"/>
  <c r="AF393" i="1" s="1"/>
  <c r="AD392" i="1"/>
  <c r="AF392" i="1" s="1"/>
  <c r="AD391" i="1"/>
  <c r="AF391" i="1" s="1"/>
  <c r="AD390" i="1"/>
  <c r="AF390" i="1" s="1"/>
  <c r="AD389" i="1"/>
  <c r="AF389" i="1" s="1"/>
  <c r="AD388" i="1"/>
  <c r="AF388" i="1" s="1"/>
  <c r="AD387" i="1"/>
  <c r="AF387" i="1" s="1"/>
  <c r="AD386" i="1"/>
  <c r="AF386" i="1" s="1"/>
  <c r="AD385" i="1"/>
  <c r="AF385" i="1" s="1"/>
  <c r="AD384" i="1"/>
  <c r="AF384" i="1" s="1"/>
  <c r="AD383" i="1"/>
  <c r="AF383" i="1" s="1"/>
  <c r="AD382" i="1"/>
  <c r="AF382" i="1" s="1"/>
  <c r="AD381" i="1"/>
  <c r="AF381" i="1" s="1"/>
  <c r="AD380" i="1"/>
  <c r="AF380" i="1" s="1"/>
  <c r="AD379" i="1"/>
  <c r="AF379" i="1" s="1"/>
  <c r="AD378" i="1"/>
  <c r="AF378" i="1" s="1"/>
  <c r="AD377" i="1"/>
  <c r="AF377" i="1" s="1"/>
  <c r="AD376" i="1"/>
  <c r="AF376" i="1" s="1"/>
  <c r="AD375" i="1"/>
  <c r="AF375" i="1" s="1"/>
  <c r="AD374" i="1"/>
  <c r="AF374" i="1" s="1"/>
  <c r="AD373" i="1"/>
  <c r="AF373" i="1" s="1"/>
  <c r="AD372" i="1"/>
  <c r="AF372" i="1" s="1"/>
  <c r="AD371" i="1"/>
  <c r="AF371" i="1" s="1"/>
  <c r="AD370" i="1"/>
  <c r="AF370" i="1" s="1"/>
  <c r="AD369" i="1"/>
  <c r="AF369" i="1" s="1"/>
  <c r="AD368" i="1"/>
  <c r="AF368" i="1" s="1"/>
  <c r="AD367" i="1"/>
  <c r="AF367" i="1" s="1"/>
  <c r="AD366" i="1"/>
  <c r="AF366" i="1" s="1"/>
  <c r="AD365" i="1"/>
  <c r="AF365" i="1" s="1"/>
  <c r="AD364" i="1"/>
  <c r="AF364" i="1" s="1"/>
  <c r="AD363" i="1"/>
  <c r="AF363" i="1" s="1"/>
  <c r="AD362" i="1"/>
  <c r="AF362" i="1" s="1"/>
  <c r="AD361" i="1"/>
  <c r="AF361" i="1" s="1"/>
  <c r="AD360" i="1"/>
  <c r="AF360" i="1" s="1"/>
  <c r="AD359" i="1"/>
  <c r="AF359" i="1" s="1"/>
  <c r="AD358" i="1"/>
  <c r="AF358" i="1" s="1"/>
  <c r="AD357" i="1"/>
  <c r="AF357" i="1" s="1"/>
  <c r="AD356" i="1"/>
  <c r="AF356" i="1" s="1"/>
  <c r="AD355" i="1"/>
  <c r="AF355" i="1" s="1"/>
  <c r="AD354" i="1"/>
  <c r="AF354" i="1" s="1"/>
  <c r="AD353" i="1"/>
  <c r="AF353" i="1" s="1"/>
  <c r="AD352" i="1"/>
  <c r="AF352" i="1" s="1"/>
  <c r="AD351" i="1"/>
  <c r="AF351" i="1" s="1"/>
  <c r="AD350" i="1"/>
  <c r="AF350" i="1" s="1"/>
  <c r="AD349" i="1"/>
  <c r="AF349" i="1" s="1"/>
  <c r="AD348" i="1"/>
  <c r="AF348" i="1" s="1"/>
  <c r="AD347" i="1"/>
  <c r="AF347" i="1" s="1"/>
  <c r="AD346" i="1"/>
  <c r="AF346" i="1" s="1"/>
  <c r="AD345" i="1"/>
  <c r="AF345" i="1" s="1"/>
  <c r="AD344" i="1"/>
  <c r="AF344" i="1" s="1"/>
  <c r="AD343" i="1"/>
  <c r="AF343" i="1" s="1"/>
  <c r="AD342" i="1"/>
  <c r="AF342" i="1" s="1"/>
  <c r="AD341" i="1"/>
  <c r="AF341" i="1" s="1"/>
  <c r="AD340" i="1"/>
  <c r="AF340" i="1" s="1"/>
  <c r="AD339" i="1"/>
  <c r="AF339" i="1" s="1"/>
  <c r="AD338" i="1"/>
  <c r="AF338" i="1" s="1"/>
  <c r="AD337" i="1"/>
  <c r="AF337" i="1" s="1"/>
  <c r="AD336" i="1"/>
  <c r="AF336" i="1" s="1"/>
  <c r="AD335" i="1"/>
  <c r="AF335" i="1" s="1"/>
  <c r="AD334" i="1"/>
  <c r="AF334" i="1" s="1"/>
  <c r="AD333" i="1"/>
  <c r="AF333" i="1" s="1"/>
  <c r="AD332" i="1"/>
  <c r="AF332" i="1" s="1"/>
  <c r="AD331" i="1"/>
  <c r="AF331" i="1" s="1"/>
  <c r="AD330" i="1"/>
  <c r="AF330" i="1" s="1"/>
  <c r="AD329" i="1"/>
  <c r="AF329" i="1" s="1"/>
  <c r="AD328" i="1"/>
  <c r="AF328" i="1" s="1"/>
  <c r="AD327" i="1"/>
  <c r="AF327" i="1" s="1"/>
  <c r="AD326" i="1"/>
  <c r="AF326" i="1" s="1"/>
  <c r="AD325" i="1"/>
  <c r="AF325" i="1" s="1"/>
  <c r="AD324" i="1"/>
  <c r="AF324" i="1" s="1"/>
  <c r="AD323" i="1"/>
  <c r="AF323" i="1" s="1"/>
  <c r="AD322" i="1"/>
  <c r="AF322" i="1" s="1"/>
  <c r="AD321" i="1"/>
  <c r="AF321" i="1" s="1"/>
  <c r="AD320" i="1"/>
  <c r="AF320" i="1" s="1"/>
  <c r="AD319" i="1"/>
  <c r="AF319" i="1" s="1"/>
  <c r="AD318" i="1"/>
  <c r="AF318" i="1" s="1"/>
  <c r="AD317" i="1"/>
  <c r="AF317" i="1" s="1"/>
  <c r="AD316" i="1"/>
  <c r="AF316" i="1" s="1"/>
  <c r="AD315" i="1"/>
  <c r="AF315" i="1" s="1"/>
  <c r="AD314" i="1"/>
  <c r="AF314" i="1" s="1"/>
  <c r="AD313" i="1"/>
  <c r="AF313" i="1" s="1"/>
  <c r="AD312" i="1"/>
  <c r="AF312" i="1" s="1"/>
  <c r="AD311" i="1"/>
  <c r="AF311" i="1" s="1"/>
  <c r="AD310" i="1"/>
  <c r="AF310" i="1" s="1"/>
  <c r="AD309" i="1"/>
  <c r="AF309" i="1" s="1"/>
  <c r="AD308" i="1"/>
  <c r="AF308" i="1" s="1"/>
  <c r="AD307" i="1"/>
  <c r="AF307" i="1" s="1"/>
  <c r="AD306" i="1"/>
  <c r="AF306" i="1" s="1"/>
  <c r="AD305" i="1"/>
  <c r="AF305" i="1" s="1"/>
  <c r="AD304" i="1"/>
  <c r="AF304" i="1" s="1"/>
  <c r="AD303" i="1"/>
  <c r="AF303" i="1" s="1"/>
  <c r="AD302" i="1"/>
  <c r="AF302" i="1" s="1"/>
  <c r="AD301" i="1"/>
  <c r="AF301" i="1" s="1"/>
  <c r="AD300" i="1"/>
  <c r="AF300" i="1" s="1"/>
  <c r="AD299" i="1"/>
  <c r="AF299" i="1" s="1"/>
  <c r="AD298" i="1"/>
  <c r="AF298" i="1" s="1"/>
  <c r="AD297" i="1"/>
  <c r="AF297" i="1" s="1"/>
  <c r="AD296" i="1"/>
  <c r="AF296" i="1" s="1"/>
  <c r="AD295" i="1"/>
  <c r="AF295" i="1" s="1"/>
  <c r="AD294" i="1"/>
  <c r="AF294" i="1" s="1"/>
  <c r="AD293" i="1"/>
  <c r="AF293" i="1" s="1"/>
  <c r="AD292" i="1"/>
  <c r="AF292" i="1" s="1"/>
  <c r="AD291" i="1"/>
  <c r="AF291" i="1" s="1"/>
  <c r="AD290" i="1"/>
  <c r="AF290" i="1" s="1"/>
  <c r="AD289" i="1"/>
  <c r="AF289" i="1" s="1"/>
  <c r="AD288" i="1"/>
  <c r="AF288" i="1" s="1"/>
  <c r="AD287" i="1"/>
  <c r="AF287" i="1" s="1"/>
  <c r="AD286" i="1"/>
  <c r="AF286" i="1" s="1"/>
  <c r="AD285" i="1"/>
  <c r="AF285" i="1" s="1"/>
  <c r="AD284" i="1"/>
  <c r="AF284" i="1" s="1"/>
  <c r="AD283" i="1"/>
  <c r="AF283" i="1" s="1"/>
  <c r="AD282" i="1"/>
  <c r="AF282" i="1" s="1"/>
  <c r="AD281" i="1"/>
  <c r="AF281" i="1" s="1"/>
  <c r="AD280" i="1"/>
  <c r="AF280" i="1" s="1"/>
  <c r="AD279" i="1"/>
  <c r="AF279" i="1" s="1"/>
  <c r="AD278" i="1"/>
  <c r="AF278" i="1" s="1"/>
  <c r="AD277" i="1"/>
  <c r="AF277" i="1" s="1"/>
  <c r="AD276" i="1"/>
  <c r="AF276" i="1" s="1"/>
  <c r="AD275" i="1"/>
  <c r="AF275" i="1" s="1"/>
  <c r="AD274" i="1"/>
  <c r="AF274" i="1" s="1"/>
  <c r="AD273" i="1"/>
  <c r="AF273" i="1" s="1"/>
  <c r="AD272" i="1"/>
  <c r="AF272" i="1" s="1"/>
  <c r="AD271" i="1"/>
  <c r="AF271" i="1" s="1"/>
  <c r="AD270" i="1"/>
  <c r="AF270" i="1" s="1"/>
  <c r="AD269" i="1"/>
  <c r="AF269" i="1" s="1"/>
  <c r="AD268" i="1"/>
  <c r="AF268" i="1" s="1"/>
  <c r="AD267" i="1"/>
  <c r="AF267" i="1" s="1"/>
  <c r="AD266" i="1"/>
  <c r="AF266" i="1" s="1"/>
  <c r="AD265" i="1"/>
  <c r="AF265" i="1" s="1"/>
  <c r="AD264" i="1"/>
  <c r="AF264" i="1" s="1"/>
  <c r="AD263" i="1"/>
  <c r="AF263" i="1" s="1"/>
  <c r="AD262" i="1"/>
  <c r="AF262" i="1" s="1"/>
  <c r="AD261" i="1"/>
  <c r="AF261" i="1" s="1"/>
  <c r="AD260" i="1"/>
  <c r="AF260" i="1" s="1"/>
  <c r="AD259" i="1"/>
  <c r="AF259" i="1" s="1"/>
  <c r="AD258" i="1"/>
  <c r="AF258" i="1" s="1"/>
  <c r="AD257" i="1"/>
  <c r="AF257" i="1" s="1"/>
  <c r="AD256" i="1"/>
  <c r="AF256" i="1" s="1"/>
  <c r="AD255" i="1"/>
  <c r="AF255" i="1" s="1"/>
  <c r="AD254" i="1"/>
  <c r="AF254" i="1" s="1"/>
  <c r="AD253" i="1"/>
  <c r="AF253" i="1" s="1"/>
  <c r="AD252" i="1"/>
  <c r="AF252" i="1" s="1"/>
  <c r="AD251" i="1"/>
  <c r="AF251" i="1" s="1"/>
  <c r="AD250" i="1"/>
  <c r="AF250" i="1" s="1"/>
  <c r="AD249" i="1"/>
  <c r="AF249" i="1" s="1"/>
  <c r="AD248" i="1"/>
  <c r="AF248" i="1" s="1"/>
  <c r="AD247" i="1"/>
  <c r="AF247" i="1" s="1"/>
  <c r="AD246" i="1"/>
  <c r="AF246" i="1" s="1"/>
  <c r="AD245" i="1"/>
  <c r="AF245" i="1" s="1"/>
  <c r="AD244" i="1"/>
  <c r="AF244" i="1" s="1"/>
  <c r="AD243" i="1"/>
  <c r="AF243" i="1" s="1"/>
  <c r="AD242" i="1"/>
  <c r="AF242" i="1" s="1"/>
  <c r="AD241" i="1"/>
  <c r="AF241" i="1" s="1"/>
  <c r="AD240" i="1"/>
  <c r="AF240" i="1" s="1"/>
  <c r="AD239" i="1"/>
  <c r="AF239" i="1" s="1"/>
  <c r="AD238" i="1"/>
  <c r="AF238" i="1" s="1"/>
  <c r="AD237" i="1"/>
  <c r="AF237" i="1" s="1"/>
  <c r="AD236" i="1"/>
  <c r="AF236" i="1" s="1"/>
  <c r="AD235" i="1"/>
  <c r="AF235" i="1" s="1"/>
  <c r="AD234" i="1"/>
  <c r="AF234" i="1" s="1"/>
  <c r="AD233" i="1"/>
  <c r="AF233" i="1" s="1"/>
  <c r="AD232" i="1"/>
  <c r="AF232" i="1" s="1"/>
  <c r="AD231" i="1"/>
  <c r="AF231" i="1" s="1"/>
  <c r="AD230" i="1"/>
  <c r="AF230" i="1" s="1"/>
  <c r="AD229" i="1"/>
  <c r="AF229" i="1" s="1"/>
  <c r="AD228" i="1"/>
  <c r="AF228" i="1" s="1"/>
  <c r="AD227" i="1"/>
  <c r="AF227" i="1" s="1"/>
  <c r="AD226" i="1"/>
  <c r="AF226" i="1" s="1"/>
  <c r="AD225" i="1"/>
  <c r="AF225" i="1" s="1"/>
  <c r="AD224" i="1"/>
  <c r="AF224" i="1" s="1"/>
  <c r="AD223" i="1"/>
  <c r="AF223" i="1" s="1"/>
  <c r="AD222" i="1"/>
  <c r="AF222" i="1" s="1"/>
  <c r="AD221" i="1"/>
  <c r="AF221" i="1" s="1"/>
  <c r="AD220" i="1"/>
  <c r="AF220" i="1" s="1"/>
  <c r="AD219" i="1"/>
  <c r="AF219" i="1" s="1"/>
  <c r="AD218" i="1"/>
  <c r="AF218" i="1" s="1"/>
  <c r="AD217" i="1"/>
  <c r="AF217" i="1" s="1"/>
  <c r="AD216" i="1"/>
  <c r="AF216" i="1" s="1"/>
  <c r="AD215" i="1"/>
  <c r="AF215" i="1" s="1"/>
  <c r="AD214" i="1"/>
  <c r="AF214" i="1" s="1"/>
  <c r="AD213" i="1"/>
  <c r="AF213" i="1" s="1"/>
  <c r="AD212" i="1"/>
  <c r="AF212" i="1" s="1"/>
  <c r="AD211" i="1"/>
  <c r="AF211" i="1" s="1"/>
  <c r="AD210" i="1"/>
  <c r="AF210" i="1" s="1"/>
  <c r="AD209" i="1"/>
  <c r="AF209" i="1" s="1"/>
  <c r="AD208" i="1"/>
  <c r="AF208" i="1" s="1"/>
  <c r="AD207" i="1"/>
  <c r="AF207" i="1" s="1"/>
  <c r="AD206" i="1"/>
  <c r="AF206" i="1" s="1"/>
  <c r="AD205" i="1"/>
  <c r="AF205" i="1" s="1"/>
  <c r="AD204" i="1"/>
  <c r="AF204" i="1" s="1"/>
  <c r="AD203" i="1"/>
  <c r="AF203" i="1" s="1"/>
  <c r="AD202" i="1"/>
  <c r="AF202" i="1" s="1"/>
  <c r="AD201" i="1"/>
  <c r="AF201" i="1" s="1"/>
  <c r="AD200" i="1"/>
  <c r="AF200" i="1" s="1"/>
  <c r="AD199" i="1"/>
  <c r="AF199" i="1" s="1"/>
  <c r="AD198" i="1"/>
  <c r="AF198" i="1" s="1"/>
  <c r="AD197" i="1"/>
  <c r="AF197" i="1" s="1"/>
  <c r="AD196" i="1"/>
  <c r="AF196" i="1" s="1"/>
  <c r="AD195" i="1"/>
  <c r="AF195" i="1" s="1"/>
  <c r="AD194" i="1"/>
  <c r="AF194" i="1" s="1"/>
  <c r="AD193" i="1"/>
  <c r="AF193" i="1" s="1"/>
  <c r="AD192" i="1"/>
  <c r="AF192" i="1" s="1"/>
  <c r="AD191" i="1"/>
  <c r="AF191" i="1" s="1"/>
  <c r="AD190" i="1"/>
  <c r="AF190" i="1" s="1"/>
  <c r="AD189" i="1"/>
  <c r="AF189" i="1" s="1"/>
  <c r="AD188" i="1"/>
  <c r="AF188" i="1" s="1"/>
  <c r="AD187" i="1"/>
  <c r="AF187" i="1" s="1"/>
  <c r="AD186" i="1"/>
  <c r="AF186" i="1" s="1"/>
  <c r="AD185" i="1"/>
  <c r="AF185" i="1" s="1"/>
  <c r="AD184" i="1"/>
  <c r="AF184" i="1" s="1"/>
  <c r="AD183" i="1"/>
  <c r="AF183" i="1" s="1"/>
  <c r="AD182" i="1"/>
  <c r="AF182" i="1" s="1"/>
  <c r="AD181" i="1"/>
  <c r="AF181" i="1" s="1"/>
  <c r="AD180" i="1"/>
  <c r="AF180" i="1" s="1"/>
  <c r="AD179" i="1"/>
  <c r="AF179" i="1" s="1"/>
  <c r="AD178" i="1"/>
  <c r="AF178" i="1" s="1"/>
  <c r="AD177" i="1"/>
  <c r="AF177" i="1" s="1"/>
  <c r="AD176" i="1"/>
  <c r="AF176" i="1" s="1"/>
  <c r="AD175" i="1"/>
  <c r="AF175" i="1" s="1"/>
  <c r="AD174" i="1"/>
  <c r="AF174" i="1" s="1"/>
  <c r="AD173" i="1"/>
  <c r="AF173" i="1" s="1"/>
  <c r="AD172" i="1"/>
  <c r="AF172" i="1" s="1"/>
  <c r="AD171" i="1"/>
  <c r="AF171" i="1" s="1"/>
  <c r="AD170" i="1"/>
  <c r="AF170" i="1" s="1"/>
  <c r="AD169" i="1"/>
  <c r="AF169" i="1" s="1"/>
  <c r="AD168" i="1"/>
  <c r="AF168" i="1" s="1"/>
  <c r="AD167" i="1"/>
  <c r="AF167" i="1" s="1"/>
  <c r="AD166" i="1"/>
  <c r="AF166" i="1" s="1"/>
  <c r="AD165" i="1"/>
  <c r="AF165" i="1" s="1"/>
  <c r="AD164" i="1"/>
  <c r="AF164" i="1" s="1"/>
  <c r="AD163" i="1"/>
  <c r="AF163" i="1" s="1"/>
  <c r="AD162" i="1"/>
  <c r="AF162" i="1" s="1"/>
  <c r="AD161" i="1"/>
  <c r="AF161" i="1" s="1"/>
  <c r="AD160" i="1"/>
  <c r="AF160" i="1" s="1"/>
  <c r="AD159" i="1"/>
  <c r="AF159" i="1" s="1"/>
  <c r="AD158" i="1"/>
  <c r="AF158" i="1" s="1"/>
  <c r="AD157" i="1"/>
  <c r="AF157" i="1" s="1"/>
  <c r="AD156" i="1"/>
  <c r="AF156" i="1" s="1"/>
  <c r="AD155" i="1"/>
  <c r="AF155" i="1" s="1"/>
  <c r="AD154" i="1"/>
  <c r="AF154" i="1" s="1"/>
  <c r="AD153" i="1"/>
  <c r="AF153" i="1" s="1"/>
  <c r="AD152" i="1"/>
  <c r="AF152" i="1" s="1"/>
  <c r="AD151" i="1"/>
  <c r="AF151" i="1" s="1"/>
  <c r="AD150" i="1"/>
  <c r="AF150" i="1" s="1"/>
  <c r="AD149" i="1"/>
  <c r="AF149" i="1" s="1"/>
  <c r="AD148" i="1"/>
  <c r="AF148" i="1" s="1"/>
  <c r="AD147" i="1"/>
  <c r="AF147" i="1" s="1"/>
  <c r="AD146" i="1"/>
  <c r="AF146" i="1" s="1"/>
  <c r="AD145" i="1"/>
  <c r="AF145" i="1" s="1"/>
  <c r="AD144" i="1"/>
  <c r="AF144" i="1" s="1"/>
  <c r="AD143" i="1"/>
  <c r="AF143" i="1" s="1"/>
  <c r="AD142" i="1"/>
  <c r="AF142" i="1" s="1"/>
  <c r="AD141" i="1"/>
  <c r="AF141" i="1" s="1"/>
  <c r="AD140" i="1"/>
  <c r="AF140" i="1" s="1"/>
  <c r="AD139" i="1"/>
  <c r="AF139" i="1" s="1"/>
  <c r="AD138" i="1"/>
  <c r="AF138" i="1" s="1"/>
  <c r="AD137" i="1"/>
  <c r="AF137" i="1" s="1"/>
  <c r="AD136" i="1"/>
  <c r="AF136" i="1" s="1"/>
  <c r="AD135" i="1"/>
  <c r="AF135" i="1" s="1"/>
  <c r="AD134" i="1"/>
  <c r="AF134" i="1" s="1"/>
  <c r="AD133" i="1"/>
  <c r="AF133" i="1" s="1"/>
  <c r="AD132" i="1"/>
  <c r="AF132" i="1" s="1"/>
  <c r="AD131" i="1"/>
  <c r="AF131" i="1" s="1"/>
  <c r="AD130" i="1"/>
  <c r="AF130" i="1" s="1"/>
  <c r="AD129" i="1"/>
  <c r="AF129" i="1" s="1"/>
  <c r="AD128" i="1"/>
  <c r="AF128" i="1" s="1"/>
  <c r="AD127" i="1"/>
  <c r="AF127" i="1" s="1"/>
  <c r="AD126" i="1"/>
  <c r="AF126" i="1" s="1"/>
  <c r="AD125" i="1"/>
  <c r="AF125" i="1" s="1"/>
  <c r="AD124" i="1"/>
  <c r="AF124" i="1" s="1"/>
  <c r="AD123" i="1"/>
  <c r="AF123" i="1" s="1"/>
  <c r="AD122" i="1"/>
  <c r="AF122" i="1" s="1"/>
  <c r="AD121" i="1"/>
  <c r="AF121" i="1" s="1"/>
  <c r="AD120" i="1"/>
  <c r="AF120" i="1" s="1"/>
  <c r="AD119" i="1"/>
  <c r="AF119" i="1" s="1"/>
  <c r="AD118" i="1"/>
  <c r="AF118" i="1" s="1"/>
  <c r="AD117" i="1"/>
  <c r="AF117" i="1" s="1"/>
  <c r="AD116" i="1"/>
  <c r="AF116" i="1" s="1"/>
  <c r="AD115" i="1"/>
  <c r="AF115" i="1" s="1"/>
  <c r="AD114" i="1"/>
  <c r="AF114" i="1" s="1"/>
  <c r="AD113" i="1"/>
  <c r="AF113" i="1" s="1"/>
  <c r="AD112" i="1"/>
  <c r="AF112" i="1" s="1"/>
  <c r="AD111" i="1"/>
  <c r="AF111" i="1" s="1"/>
  <c r="AD110" i="1"/>
  <c r="AF110" i="1" s="1"/>
  <c r="AD109" i="1"/>
  <c r="AF109" i="1" s="1"/>
  <c r="AD108" i="1"/>
  <c r="AF108" i="1" s="1"/>
  <c r="AD107" i="1"/>
  <c r="AF107" i="1" s="1"/>
  <c r="AD106" i="1"/>
  <c r="AF106" i="1" s="1"/>
  <c r="AD105" i="1"/>
  <c r="AF105" i="1" s="1"/>
  <c r="AD104" i="1"/>
  <c r="AF104" i="1" s="1"/>
  <c r="AD103" i="1"/>
  <c r="AF103" i="1" s="1"/>
  <c r="AD102" i="1"/>
  <c r="AF102" i="1" s="1"/>
  <c r="AD101" i="1"/>
  <c r="AF101" i="1" s="1"/>
  <c r="AD100" i="1"/>
  <c r="AF100" i="1" s="1"/>
  <c r="AD99" i="1"/>
  <c r="AF99" i="1" s="1"/>
  <c r="AD98" i="1"/>
  <c r="AF98" i="1" s="1"/>
  <c r="AD97" i="1"/>
  <c r="AF97" i="1" s="1"/>
  <c r="AD96" i="1"/>
  <c r="AF96" i="1" s="1"/>
  <c r="AD95" i="1"/>
  <c r="AF95" i="1" s="1"/>
  <c r="AD94" i="1"/>
  <c r="AF94" i="1" s="1"/>
  <c r="AD93" i="1"/>
  <c r="AF93" i="1" s="1"/>
  <c r="AD92" i="1"/>
  <c r="AF92" i="1" s="1"/>
  <c r="AD91" i="1"/>
  <c r="AF91" i="1" s="1"/>
  <c r="AD90" i="1"/>
  <c r="AF90" i="1" s="1"/>
  <c r="AD89" i="1"/>
  <c r="AF89" i="1" s="1"/>
  <c r="AD88" i="1"/>
  <c r="AF88" i="1" s="1"/>
  <c r="AD87" i="1"/>
  <c r="AF87" i="1" s="1"/>
  <c r="AD86" i="1"/>
  <c r="AF86" i="1" s="1"/>
  <c r="AD85" i="1"/>
  <c r="AF85" i="1" s="1"/>
  <c r="AD84" i="1"/>
  <c r="AF84" i="1" s="1"/>
  <c r="AD83" i="1"/>
  <c r="AF83" i="1" s="1"/>
  <c r="AD82" i="1"/>
  <c r="AF82" i="1" s="1"/>
  <c r="AD81" i="1"/>
  <c r="AF81" i="1" s="1"/>
  <c r="AD80" i="1"/>
  <c r="AF80" i="1" s="1"/>
  <c r="AD79" i="1"/>
  <c r="AF79" i="1" s="1"/>
  <c r="AD78" i="1"/>
  <c r="AF78" i="1" s="1"/>
  <c r="AD77" i="1"/>
  <c r="AF77" i="1" s="1"/>
  <c r="AD76" i="1"/>
  <c r="AF76" i="1" s="1"/>
  <c r="AD75" i="1"/>
  <c r="AF75" i="1" s="1"/>
  <c r="AD74" i="1"/>
  <c r="AF74" i="1" s="1"/>
  <c r="AD73" i="1"/>
  <c r="AF73" i="1" s="1"/>
  <c r="AD72" i="1"/>
  <c r="AF72" i="1" s="1"/>
  <c r="AD71" i="1"/>
  <c r="AF71" i="1" s="1"/>
  <c r="AD70" i="1"/>
  <c r="AF70" i="1" s="1"/>
  <c r="AD69" i="1"/>
  <c r="AF69" i="1" s="1"/>
  <c r="AD68" i="1"/>
  <c r="AF68" i="1" s="1"/>
  <c r="AD67" i="1"/>
  <c r="AF67" i="1" s="1"/>
  <c r="AD66" i="1"/>
  <c r="AF66" i="1" s="1"/>
  <c r="AD65" i="1"/>
  <c r="AF65" i="1" s="1"/>
  <c r="AD64" i="1"/>
  <c r="AF64" i="1" s="1"/>
  <c r="AD63" i="1"/>
  <c r="AF63" i="1" s="1"/>
  <c r="AD62" i="1"/>
  <c r="AF62" i="1" s="1"/>
  <c r="AD61" i="1"/>
  <c r="AF61" i="1" s="1"/>
  <c r="AD60" i="1"/>
  <c r="AF60" i="1" s="1"/>
  <c r="AD59" i="1"/>
  <c r="AF59" i="1" s="1"/>
  <c r="AD58" i="1"/>
  <c r="AF58" i="1" s="1"/>
  <c r="AD57" i="1"/>
  <c r="AF57" i="1" s="1"/>
  <c r="AD56" i="1"/>
  <c r="AF56" i="1" s="1"/>
  <c r="AD55" i="1"/>
  <c r="AF55" i="1" s="1"/>
  <c r="AD54" i="1"/>
  <c r="AF54" i="1" s="1"/>
  <c r="AD53" i="1"/>
  <c r="AF53" i="1" s="1"/>
  <c r="AD52" i="1"/>
  <c r="AF52" i="1" s="1"/>
  <c r="AD51" i="1"/>
  <c r="AF51" i="1" s="1"/>
  <c r="AD50" i="1"/>
  <c r="AF50" i="1" s="1"/>
  <c r="AD49" i="1"/>
  <c r="AF49" i="1" s="1"/>
  <c r="AD48" i="1"/>
  <c r="AF48" i="1" s="1"/>
  <c r="AD47" i="1"/>
  <c r="AF47" i="1" s="1"/>
  <c r="AD46" i="1"/>
  <c r="AF46" i="1" s="1"/>
  <c r="AD45" i="1"/>
  <c r="AF45" i="1" s="1"/>
  <c r="AD44" i="1"/>
  <c r="AF44" i="1" s="1"/>
  <c r="AD43" i="1"/>
  <c r="AF43" i="1" s="1"/>
  <c r="AD42" i="1"/>
  <c r="AF42" i="1" s="1"/>
  <c r="AD41" i="1"/>
  <c r="AF41" i="1" s="1"/>
  <c r="AD40" i="1"/>
  <c r="AF40" i="1" s="1"/>
  <c r="AD39" i="1"/>
  <c r="AF39" i="1" s="1"/>
  <c r="AD38" i="1"/>
  <c r="AF38" i="1" s="1"/>
  <c r="AD37" i="1"/>
  <c r="AF37" i="1" s="1"/>
  <c r="AD36" i="1"/>
  <c r="AF36" i="1" s="1"/>
  <c r="AD35" i="1"/>
  <c r="AF35" i="1" s="1"/>
  <c r="AD34" i="1"/>
  <c r="AF34" i="1" s="1"/>
  <c r="AD33" i="1"/>
  <c r="AF33" i="1" s="1"/>
  <c r="AD32" i="1"/>
  <c r="AF32" i="1" s="1"/>
  <c r="AD31" i="1"/>
  <c r="AF31" i="1" s="1"/>
  <c r="AD30" i="1"/>
  <c r="AF30" i="1" s="1"/>
  <c r="AD29" i="1"/>
  <c r="AF29" i="1" s="1"/>
  <c r="AD28" i="1"/>
  <c r="AF28" i="1" s="1"/>
  <c r="AD27" i="1"/>
  <c r="AF27" i="1" s="1"/>
  <c r="AD26" i="1"/>
  <c r="AF26" i="1" s="1"/>
  <c r="AD25" i="1"/>
  <c r="AF25" i="1" s="1"/>
  <c r="AD24" i="1"/>
  <c r="AF24" i="1" s="1"/>
  <c r="AD23" i="1"/>
  <c r="AF23" i="1" s="1"/>
  <c r="AD22" i="1"/>
  <c r="AF22" i="1" s="1"/>
  <c r="AD21" i="1"/>
  <c r="AF21" i="1" s="1"/>
  <c r="AD20" i="1"/>
  <c r="AF20" i="1" s="1"/>
  <c r="AD19" i="1"/>
  <c r="AF19" i="1" s="1"/>
  <c r="AD18" i="1"/>
  <c r="AF18" i="1" s="1"/>
  <c r="AD17" i="1"/>
  <c r="AF17" i="1" s="1"/>
  <c r="AD16" i="1"/>
  <c r="AF16" i="1" s="1"/>
  <c r="AD15" i="1"/>
  <c r="AF15" i="1" s="1"/>
  <c r="AD14" i="1"/>
  <c r="AF14" i="1" s="1"/>
  <c r="AD13" i="1"/>
  <c r="AF13" i="1" s="1"/>
  <c r="AD12" i="1"/>
  <c r="AF12" i="1" s="1"/>
  <c r="AD11" i="1"/>
  <c r="AF11" i="1" s="1"/>
  <c r="AD10" i="1"/>
  <c r="AF10" i="1" s="1"/>
  <c r="AD9" i="1"/>
  <c r="AF9" i="1" s="1"/>
  <c r="AD8" i="1"/>
  <c r="AF8" i="1" s="1"/>
  <c r="AD7" i="1"/>
  <c r="AF7" i="1" s="1"/>
  <c r="AD6" i="1"/>
  <c r="AF6" i="1" s="1"/>
  <c r="AD5" i="1"/>
  <c r="AF5" i="1" s="1"/>
  <c r="AD4" i="1"/>
  <c r="AF4" i="1" s="1"/>
  <c r="AD3" i="1"/>
  <c r="AF3" i="1" s="1"/>
  <c r="V1268" i="1"/>
  <c r="X1268" i="1" s="1"/>
  <c r="V1267" i="1"/>
  <c r="X1267" i="1" s="1"/>
  <c r="V1266" i="1"/>
  <c r="X1266" i="1" s="1"/>
  <c r="V1265" i="1"/>
  <c r="X1265" i="1" s="1"/>
  <c r="V1264" i="1"/>
  <c r="X1264" i="1" s="1"/>
  <c r="V1263" i="1"/>
  <c r="X1263" i="1" s="1"/>
  <c r="V1262" i="1"/>
  <c r="X1262" i="1" s="1"/>
  <c r="V1261" i="1"/>
  <c r="X1261" i="1" s="1"/>
  <c r="V1260" i="1"/>
  <c r="X1260" i="1" s="1"/>
  <c r="V1259" i="1"/>
  <c r="X1259" i="1" s="1"/>
  <c r="V1258" i="1"/>
  <c r="X1258" i="1" s="1"/>
  <c r="V1257" i="1"/>
  <c r="X1257" i="1" s="1"/>
  <c r="V1256" i="1"/>
  <c r="X1256" i="1" s="1"/>
  <c r="V1255" i="1"/>
  <c r="X1255" i="1" s="1"/>
  <c r="V1174" i="1"/>
  <c r="X1174" i="1" s="1"/>
  <c r="V1254" i="1"/>
  <c r="X1254" i="1" s="1"/>
  <c r="V1253" i="1"/>
  <c r="X1253" i="1" s="1"/>
  <c r="V1252" i="1"/>
  <c r="X1252" i="1" s="1"/>
  <c r="V1251" i="1"/>
  <c r="X1251" i="1" s="1"/>
  <c r="V1250" i="1"/>
  <c r="X1250" i="1" s="1"/>
  <c r="V1249" i="1"/>
  <c r="X1249" i="1" s="1"/>
  <c r="V1248" i="1"/>
  <c r="X1248" i="1" s="1"/>
  <c r="V1247" i="1"/>
  <c r="X1247" i="1" s="1"/>
  <c r="V1246" i="1"/>
  <c r="X1246" i="1" s="1"/>
  <c r="V1245" i="1"/>
  <c r="X1245" i="1" s="1"/>
  <c r="V1244" i="1"/>
  <c r="X1244" i="1" s="1"/>
  <c r="V1243" i="1"/>
  <c r="X1243" i="1" s="1"/>
  <c r="V1242" i="1"/>
  <c r="X1242" i="1" s="1"/>
  <c r="V1241" i="1"/>
  <c r="X1241" i="1" s="1"/>
  <c r="V1240" i="1"/>
  <c r="X1240" i="1" s="1"/>
  <c r="V1239" i="1"/>
  <c r="X1239" i="1" s="1"/>
  <c r="V1238" i="1"/>
  <c r="X1238" i="1" s="1"/>
  <c r="V1237" i="1"/>
  <c r="X1237" i="1" s="1"/>
  <c r="V1236" i="1"/>
  <c r="X1236" i="1" s="1"/>
  <c r="V1235" i="1"/>
  <c r="X1235" i="1" s="1"/>
  <c r="V1234" i="1"/>
  <c r="X1234" i="1" s="1"/>
  <c r="V1233" i="1"/>
  <c r="X1233" i="1" s="1"/>
  <c r="V1232" i="1"/>
  <c r="X1232" i="1" s="1"/>
  <c r="V1231" i="1"/>
  <c r="X1231" i="1" s="1"/>
  <c r="V1230" i="1"/>
  <c r="X1230" i="1" s="1"/>
  <c r="V1229" i="1"/>
  <c r="X1229" i="1" s="1"/>
  <c r="V1228" i="1"/>
  <c r="X1228" i="1" s="1"/>
  <c r="V1227" i="1"/>
  <c r="X1227" i="1" s="1"/>
  <c r="V1226" i="1"/>
  <c r="X1226" i="1" s="1"/>
  <c r="V1225" i="1"/>
  <c r="X1225" i="1" s="1"/>
  <c r="V1224" i="1"/>
  <c r="X1224" i="1" s="1"/>
  <c r="V1223" i="1"/>
  <c r="X1223" i="1" s="1"/>
  <c r="V1222" i="1"/>
  <c r="X1222" i="1" s="1"/>
  <c r="V1221" i="1"/>
  <c r="X1221" i="1" s="1"/>
  <c r="V1220" i="1"/>
  <c r="X1220" i="1" s="1"/>
  <c r="V1219" i="1"/>
  <c r="X1219" i="1" s="1"/>
  <c r="V1218" i="1"/>
  <c r="X1218" i="1" s="1"/>
  <c r="V1217" i="1"/>
  <c r="X1217" i="1" s="1"/>
  <c r="V1216" i="1"/>
  <c r="X1216" i="1" s="1"/>
  <c r="V1215" i="1"/>
  <c r="X1215" i="1" s="1"/>
  <c r="V1214" i="1"/>
  <c r="X1214" i="1" s="1"/>
  <c r="V1213" i="1"/>
  <c r="X1213" i="1" s="1"/>
  <c r="V1212" i="1"/>
  <c r="X1212" i="1" s="1"/>
  <c r="V1211" i="1"/>
  <c r="X1211" i="1" s="1"/>
  <c r="V1210" i="1"/>
  <c r="X1210" i="1" s="1"/>
  <c r="V1209" i="1"/>
  <c r="X1209" i="1" s="1"/>
  <c r="V1208" i="1"/>
  <c r="X1208" i="1" s="1"/>
  <c r="V1207" i="1"/>
  <c r="X1207" i="1" s="1"/>
  <c r="V1206" i="1"/>
  <c r="X1206" i="1" s="1"/>
  <c r="V1205" i="1"/>
  <c r="X1205" i="1" s="1"/>
  <c r="V1204" i="1"/>
  <c r="X1204" i="1" s="1"/>
  <c r="V1203" i="1"/>
  <c r="X1203" i="1" s="1"/>
  <c r="V1202" i="1"/>
  <c r="X1202" i="1" s="1"/>
  <c r="V1201" i="1"/>
  <c r="X1201" i="1" s="1"/>
  <c r="V1200" i="1"/>
  <c r="X1200" i="1" s="1"/>
  <c r="V1199" i="1"/>
  <c r="X1199" i="1" s="1"/>
  <c r="V1198" i="1"/>
  <c r="X1198" i="1" s="1"/>
  <c r="V1197" i="1"/>
  <c r="X1197" i="1" s="1"/>
  <c r="V1196" i="1"/>
  <c r="X1196" i="1" s="1"/>
  <c r="V1195" i="1"/>
  <c r="X1195" i="1" s="1"/>
  <c r="V1194" i="1"/>
  <c r="X1194" i="1" s="1"/>
  <c r="V1193" i="1"/>
  <c r="X1193" i="1" s="1"/>
  <c r="V1192" i="1"/>
  <c r="X1192" i="1" s="1"/>
  <c r="V1191" i="1"/>
  <c r="X1191" i="1" s="1"/>
  <c r="V1190" i="1"/>
  <c r="X1190" i="1" s="1"/>
  <c r="V1189" i="1"/>
  <c r="X1189" i="1" s="1"/>
  <c r="V1188" i="1"/>
  <c r="X1188" i="1" s="1"/>
  <c r="V1187" i="1"/>
  <c r="X1187" i="1" s="1"/>
  <c r="V1186" i="1"/>
  <c r="X1186" i="1" s="1"/>
  <c r="V1185" i="1"/>
  <c r="X1185" i="1" s="1"/>
  <c r="V1184" i="1"/>
  <c r="X1184" i="1" s="1"/>
  <c r="V1183" i="1"/>
  <c r="X1183" i="1" s="1"/>
  <c r="V1269" i="1"/>
  <c r="X1269" i="1" s="1"/>
  <c r="V1182" i="1"/>
  <c r="X1182" i="1" s="1"/>
  <c r="V1181" i="1"/>
  <c r="X1181" i="1" s="1"/>
  <c r="V1180" i="1"/>
  <c r="X1180" i="1" s="1"/>
  <c r="V1179" i="1"/>
  <c r="X1179" i="1" s="1"/>
  <c r="V1178" i="1"/>
  <c r="X1178" i="1" s="1"/>
  <c r="V1177" i="1"/>
  <c r="X1177" i="1" s="1"/>
  <c r="V1176" i="1"/>
  <c r="X1176" i="1" s="1"/>
  <c r="V1175" i="1"/>
  <c r="X1175" i="1" s="1"/>
  <c r="V1173" i="1"/>
  <c r="X1173" i="1" s="1"/>
  <c r="V1172" i="1"/>
  <c r="X1172" i="1" s="1"/>
  <c r="V1171" i="1"/>
  <c r="X1171" i="1" s="1"/>
  <c r="V1170" i="1"/>
  <c r="X1170" i="1" s="1"/>
  <c r="V1169" i="1"/>
  <c r="X1169" i="1" s="1"/>
  <c r="V1168" i="1"/>
  <c r="X1168" i="1" s="1"/>
  <c r="V1167" i="1"/>
  <c r="X1167" i="1" s="1"/>
  <c r="V1166" i="1"/>
  <c r="X1166" i="1" s="1"/>
  <c r="V1165" i="1"/>
  <c r="X1165" i="1" s="1"/>
  <c r="V1161" i="1"/>
  <c r="X1161" i="1" s="1"/>
  <c r="V1160" i="1"/>
  <c r="X1160" i="1" s="1"/>
  <c r="V1159" i="1"/>
  <c r="X1159" i="1" s="1"/>
  <c r="V1158" i="1"/>
  <c r="X1158" i="1" s="1"/>
  <c r="V1157" i="1"/>
  <c r="X1157" i="1" s="1"/>
  <c r="V1156" i="1"/>
  <c r="X1156" i="1" s="1"/>
  <c r="V1155" i="1"/>
  <c r="X1155" i="1" s="1"/>
  <c r="V1154" i="1"/>
  <c r="X1154" i="1" s="1"/>
  <c r="V1153" i="1"/>
  <c r="X1153" i="1" s="1"/>
  <c r="V1152" i="1"/>
  <c r="X1152" i="1" s="1"/>
  <c r="V1150" i="1"/>
  <c r="X1150" i="1" s="1"/>
  <c r="V1149" i="1"/>
  <c r="X1149" i="1" s="1"/>
  <c r="V1148" i="1"/>
  <c r="X1148" i="1" s="1"/>
  <c r="V1147" i="1"/>
  <c r="X1147" i="1" s="1"/>
  <c r="V1146" i="1"/>
  <c r="X1146" i="1" s="1"/>
  <c r="V1145" i="1"/>
  <c r="X1145" i="1" s="1"/>
  <c r="V1144" i="1"/>
  <c r="X1144" i="1" s="1"/>
  <c r="V1143" i="1"/>
  <c r="X1143" i="1" s="1"/>
  <c r="V1142" i="1"/>
  <c r="X1142" i="1" s="1"/>
  <c r="V1141" i="1"/>
  <c r="X1141" i="1" s="1"/>
  <c r="V1140" i="1"/>
  <c r="X1140" i="1" s="1"/>
  <c r="V1139" i="1"/>
  <c r="X1139" i="1" s="1"/>
  <c r="V1138" i="1"/>
  <c r="X1138" i="1" s="1"/>
  <c r="V1137" i="1"/>
  <c r="X1137" i="1" s="1"/>
  <c r="V1136" i="1"/>
  <c r="X1136" i="1" s="1"/>
  <c r="V1135" i="1"/>
  <c r="X1135" i="1" s="1"/>
  <c r="V1133" i="1"/>
  <c r="X1133" i="1" s="1"/>
  <c r="V1132" i="1"/>
  <c r="X1132" i="1" s="1"/>
  <c r="V1131" i="1"/>
  <c r="X1131" i="1" s="1"/>
  <c r="V1130" i="1"/>
  <c r="X1130" i="1" s="1"/>
  <c r="V1129" i="1"/>
  <c r="X1129" i="1" s="1"/>
  <c r="V1128" i="1"/>
  <c r="X1128" i="1" s="1"/>
  <c r="V1127" i="1"/>
  <c r="X1127" i="1" s="1"/>
  <c r="V1126" i="1"/>
  <c r="X1126" i="1" s="1"/>
  <c r="V1125" i="1"/>
  <c r="X1125" i="1" s="1"/>
  <c r="V1124" i="1"/>
  <c r="X1124" i="1" s="1"/>
  <c r="V1123" i="1"/>
  <c r="X1123" i="1" s="1"/>
  <c r="V1122" i="1"/>
  <c r="X1122" i="1" s="1"/>
  <c r="V1121" i="1"/>
  <c r="X1121" i="1" s="1"/>
  <c r="V1120" i="1"/>
  <c r="X1120" i="1" s="1"/>
  <c r="V1119" i="1"/>
  <c r="X1119" i="1" s="1"/>
  <c r="V1118" i="1"/>
  <c r="X1118" i="1" s="1"/>
  <c r="V1117" i="1"/>
  <c r="X1117" i="1" s="1"/>
  <c r="V1116" i="1"/>
  <c r="X1116" i="1" s="1"/>
  <c r="V1115" i="1"/>
  <c r="X1115" i="1" s="1"/>
  <c r="V1113" i="1"/>
  <c r="X1113" i="1" s="1"/>
  <c r="V1112" i="1"/>
  <c r="X1112" i="1" s="1"/>
  <c r="V1111" i="1"/>
  <c r="X1111" i="1" s="1"/>
  <c r="V1110" i="1"/>
  <c r="X1110" i="1" s="1"/>
  <c r="V1109" i="1"/>
  <c r="X1109" i="1" s="1"/>
  <c r="V1108" i="1"/>
  <c r="X1108" i="1" s="1"/>
  <c r="V1107" i="1"/>
  <c r="X1107" i="1" s="1"/>
  <c r="V1106" i="1"/>
  <c r="X1106" i="1" s="1"/>
  <c r="V1105" i="1"/>
  <c r="X1105" i="1" s="1"/>
  <c r="V1104" i="1"/>
  <c r="X1104" i="1" s="1"/>
  <c r="V1103" i="1"/>
  <c r="X1103" i="1" s="1"/>
  <c r="V1102" i="1"/>
  <c r="X1102" i="1" s="1"/>
  <c r="V1101" i="1"/>
  <c r="X1101" i="1" s="1"/>
  <c r="V1100" i="1"/>
  <c r="X1100" i="1" s="1"/>
  <c r="V1099" i="1"/>
  <c r="X1099" i="1" s="1"/>
  <c r="V1098" i="1"/>
  <c r="X1098" i="1" s="1"/>
  <c r="V1097" i="1"/>
  <c r="X1097" i="1" s="1"/>
  <c r="V1096" i="1"/>
  <c r="X1096" i="1" s="1"/>
  <c r="V1095" i="1"/>
  <c r="X1095" i="1" s="1"/>
  <c r="V1094" i="1"/>
  <c r="X1094" i="1" s="1"/>
  <c r="V1093" i="1"/>
  <c r="X1093" i="1" s="1"/>
  <c r="V1092" i="1"/>
  <c r="X1092" i="1" s="1"/>
  <c r="V1091" i="1"/>
  <c r="X1091" i="1" s="1"/>
  <c r="V1090" i="1"/>
  <c r="X1090" i="1" s="1"/>
  <c r="V1089" i="1"/>
  <c r="X1089" i="1" s="1"/>
  <c r="V1088" i="1"/>
  <c r="X1088" i="1" s="1"/>
  <c r="V1087" i="1"/>
  <c r="X1087" i="1" s="1"/>
  <c r="V1086" i="1"/>
  <c r="X1086" i="1" s="1"/>
  <c r="V1085" i="1"/>
  <c r="X1085" i="1" s="1"/>
  <c r="V1084" i="1"/>
  <c r="X1084" i="1" s="1"/>
  <c r="V1083" i="1"/>
  <c r="X1083" i="1" s="1"/>
  <c r="V1082" i="1"/>
  <c r="X1082" i="1" s="1"/>
  <c r="V1081" i="1"/>
  <c r="X1081" i="1" s="1"/>
  <c r="V1080" i="1"/>
  <c r="X1080" i="1" s="1"/>
  <c r="V1079" i="1"/>
  <c r="X1079" i="1" s="1"/>
  <c r="V1078" i="1"/>
  <c r="X1078" i="1" s="1"/>
  <c r="V1077" i="1"/>
  <c r="X1077" i="1" s="1"/>
  <c r="V1076" i="1"/>
  <c r="X1076" i="1" s="1"/>
  <c r="V1075" i="1"/>
  <c r="X1075" i="1" s="1"/>
  <c r="V1074" i="1"/>
  <c r="X1074" i="1" s="1"/>
  <c r="V1073" i="1"/>
  <c r="X1073" i="1" s="1"/>
  <c r="V1072" i="1"/>
  <c r="X1072" i="1" s="1"/>
  <c r="V1071" i="1"/>
  <c r="X1071" i="1" s="1"/>
  <c r="V1067" i="1"/>
  <c r="X1067" i="1" s="1"/>
  <c r="V1066" i="1"/>
  <c r="X1066" i="1" s="1"/>
  <c r="V1065" i="1"/>
  <c r="X1065" i="1" s="1"/>
  <c r="V1064" i="1"/>
  <c r="X1064" i="1" s="1"/>
  <c r="V1063" i="1"/>
  <c r="X1063" i="1" s="1"/>
  <c r="V1062" i="1"/>
  <c r="X1062" i="1" s="1"/>
  <c r="V1061" i="1"/>
  <c r="X1061" i="1" s="1"/>
  <c r="V1060" i="1"/>
  <c r="X1060" i="1" s="1"/>
  <c r="V1059" i="1"/>
  <c r="X1059" i="1" s="1"/>
  <c r="V1058" i="1"/>
  <c r="X1058" i="1" s="1"/>
  <c r="V1057" i="1"/>
  <c r="X1057" i="1" s="1"/>
  <c r="V1056" i="1"/>
  <c r="X1056" i="1" s="1"/>
  <c r="V1055" i="1"/>
  <c r="X1055" i="1" s="1"/>
  <c r="V1054" i="1"/>
  <c r="X1054" i="1" s="1"/>
  <c r="V1053" i="1"/>
  <c r="X1053" i="1" s="1"/>
  <c r="V1052" i="1"/>
  <c r="X1052" i="1" s="1"/>
  <c r="V1051" i="1"/>
  <c r="X1051" i="1" s="1"/>
  <c r="V1050" i="1"/>
  <c r="X1050" i="1" s="1"/>
  <c r="V1049" i="1"/>
  <c r="X1049" i="1" s="1"/>
  <c r="V1048" i="1"/>
  <c r="X1048" i="1" s="1"/>
  <c r="X1046" i="1"/>
  <c r="V1045" i="1"/>
  <c r="X1045" i="1" s="1"/>
  <c r="V1044" i="1"/>
  <c r="X1044" i="1" s="1"/>
  <c r="V1043" i="1"/>
  <c r="X1043" i="1" s="1"/>
  <c r="V1042" i="1"/>
  <c r="X1042" i="1" s="1"/>
  <c r="V1041" i="1"/>
  <c r="X1041" i="1" s="1"/>
  <c r="V1040" i="1"/>
  <c r="X1040" i="1" s="1"/>
  <c r="X1037" i="1"/>
  <c r="X1036" i="1"/>
  <c r="V1035" i="1"/>
  <c r="X1035" i="1" s="1"/>
  <c r="X1034" i="1"/>
  <c r="V1033" i="1"/>
  <c r="X1033" i="1" s="1"/>
  <c r="V1032" i="1"/>
  <c r="X1032" i="1" s="1"/>
  <c r="V1031" i="1"/>
  <c r="X1031" i="1" s="1"/>
  <c r="V1030" i="1"/>
  <c r="X1030" i="1" s="1"/>
  <c r="V1029" i="1"/>
  <c r="X1029" i="1" s="1"/>
  <c r="V1028" i="1"/>
  <c r="X1028" i="1" s="1"/>
  <c r="V1027" i="1"/>
  <c r="X1027" i="1" s="1"/>
  <c r="V1026" i="1"/>
  <c r="X1026" i="1" s="1"/>
  <c r="V1025" i="1"/>
  <c r="X1025" i="1" s="1"/>
  <c r="V1024" i="1"/>
  <c r="X1024" i="1" s="1"/>
  <c r="V1022" i="1"/>
  <c r="X1022" i="1" s="1"/>
  <c r="V1021" i="1"/>
  <c r="X1021" i="1" s="1"/>
  <c r="V1020" i="1"/>
  <c r="X1020" i="1" s="1"/>
  <c r="V1019" i="1"/>
  <c r="X1019" i="1" s="1"/>
  <c r="V1018" i="1"/>
  <c r="X1018" i="1" s="1"/>
  <c r="V1017" i="1"/>
  <c r="X1017" i="1" s="1"/>
  <c r="V1016" i="1"/>
  <c r="X1016" i="1" s="1"/>
  <c r="V1014" i="1"/>
  <c r="X1014" i="1" s="1"/>
  <c r="V1013" i="1"/>
  <c r="X1013" i="1" s="1"/>
  <c r="V1012" i="1"/>
  <c r="X1012" i="1" s="1"/>
  <c r="V1011" i="1"/>
  <c r="V1010" i="1"/>
  <c r="V1009" i="1"/>
  <c r="X1009" i="1" s="1"/>
  <c r="V1008" i="1"/>
  <c r="X1008" i="1" s="1"/>
  <c r="V1007" i="1"/>
  <c r="V1006" i="1"/>
  <c r="V1005" i="1"/>
  <c r="V1004" i="1"/>
  <c r="V1003" i="1"/>
  <c r="X1003" i="1" s="1"/>
  <c r="V1002" i="1"/>
  <c r="X1002" i="1" s="1"/>
  <c r="V1001" i="1"/>
  <c r="X1001" i="1" s="1"/>
  <c r="V1000" i="1"/>
  <c r="X1000" i="1" s="1"/>
  <c r="V999" i="1"/>
  <c r="V998" i="1"/>
  <c r="V997" i="1"/>
  <c r="V996" i="1"/>
  <c r="V995" i="1"/>
  <c r="V994" i="1"/>
  <c r="V991" i="1"/>
  <c r="X991" i="1" s="1"/>
  <c r="V990" i="1"/>
  <c r="X990" i="1" s="1"/>
  <c r="V989" i="1"/>
  <c r="X989" i="1" s="1"/>
  <c r="V988" i="1"/>
  <c r="V987" i="1"/>
  <c r="X987" i="1" s="1"/>
  <c r="V986" i="1"/>
  <c r="X986" i="1" s="1"/>
  <c r="V985" i="1"/>
  <c r="X985" i="1" s="1"/>
  <c r="V984" i="1"/>
  <c r="X984" i="1" s="1"/>
  <c r="V983" i="1"/>
  <c r="V982" i="1"/>
  <c r="V981" i="1"/>
  <c r="V980" i="1"/>
  <c r="V979" i="1"/>
  <c r="V976" i="1"/>
  <c r="X976" i="1" s="1"/>
  <c r="V975" i="1"/>
  <c r="X975" i="1" s="1"/>
  <c r="V974" i="1"/>
  <c r="X974" i="1" s="1"/>
  <c r="V973" i="1"/>
  <c r="V972" i="1"/>
  <c r="V971" i="1"/>
  <c r="X971" i="1" s="1"/>
  <c r="V970" i="1"/>
  <c r="X970" i="1" s="1"/>
  <c r="V969" i="1"/>
  <c r="X969" i="1" s="1"/>
  <c r="V968" i="1"/>
  <c r="X968" i="1" s="1"/>
  <c r="V967" i="1"/>
  <c r="X967" i="1" s="1"/>
  <c r="V966" i="1"/>
  <c r="V965" i="1"/>
  <c r="X965" i="1" s="1"/>
  <c r="V964" i="1"/>
  <c r="V963" i="1"/>
  <c r="V962" i="1"/>
  <c r="V960" i="1"/>
  <c r="X960" i="1" s="1"/>
  <c r="V959" i="1"/>
  <c r="X959" i="1" s="1"/>
  <c r="V958" i="1"/>
  <c r="X958" i="1" s="1"/>
  <c r="V957" i="1"/>
  <c r="X957" i="1" s="1"/>
  <c r="V956" i="1"/>
  <c r="X956" i="1" s="1"/>
  <c r="V955" i="1"/>
  <c r="X955" i="1" s="1"/>
  <c r="V954" i="1"/>
  <c r="X954" i="1" s="1"/>
  <c r="V953" i="1"/>
  <c r="X953" i="1" s="1"/>
  <c r="V952" i="1"/>
  <c r="X952" i="1" s="1"/>
  <c r="V951" i="1"/>
  <c r="X951" i="1" s="1"/>
  <c r="V950" i="1"/>
  <c r="X950" i="1" s="1"/>
  <c r="V949" i="1"/>
  <c r="X949" i="1" s="1"/>
  <c r="V948" i="1"/>
  <c r="X948" i="1" s="1"/>
  <c r="V947" i="1"/>
  <c r="X947" i="1" s="1"/>
  <c r="V946" i="1"/>
  <c r="X946" i="1" s="1"/>
  <c r="V945" i="1"/>
  <c r="X945" i="1" s="1"/>
  <c r="V943" i="1"/>
  <c r="V942" i="1"/>
  <c r="X942" i="1" s="1"/>
  <c r="V941" i="1"/>
  <c r="X941" i="1" s="1"/>
  <c r="V940" i="1"/>
  <c r="X940" i="1" s="1"/>
  <c r="V939" i="1"/>
  <c r="X939" i="1" s="1"/>
  <c r="V938" i="1"/>
  <c r="V937" i="1"/>
  <c r="X937" i="1" s="1"/>
  <c r="V936" i="1"/>
  <c r="X936" i="1" s="1"/>
  <c r="V935" i="1"/>
  <c r="X935" i="1" s="1"/>
  <c r="V934" i="1"/>
  <c r="V933" i="1"/>
  <c r="V932" i="1"/>
  <c r="V931" i="1"/>
  <c r="X931" i="1" s="1"/>
  <c r="V930" i="1"/>
  <c r="X930" i="1" s="1"/>
  <c r="V929" i="1"/>
  <c r="X929" i="1" s="1"/>
  <c r="V928" i="1"/>
  <c r="X928" i="1" s="1"/>
  <c r="V927" i="1"/>
  <c r="X927" i="1" s="1"/>
  <c r="V926" i="1"/>
  <c r="X926" i="1" s="1"/>
  <c r="V925" i="1"/>
  <c r="X925" i="1" s="1"/>
  <c r="V924" i="1"/>
  <c r="X924" i="1" s="1"/>
  <c r="V923" i="1"/>
  <c r="V922" i="1"/>
  <c r="X922" i="1" s="1"/>
  <c r="V921" i="1"/>
  <c r="X921" i="1" s="1"/>
  <c r="V920" i="1"/>
  <c r="X920" i="1" s="1"/>
  <c r="V919" i="1"/>
  <c r="X919" i="1" s="1"/>
  <c r="V918" i="1"/>
  <c r="X918" i="1" s="1"/>
  <c r="V917" i="1"/>
  <c r="X917" i="1" s="1"/>
  <c r="V916" i="1"/>
  <c r="X916" i="1" s="1"/>
  <c r="V915" i="1"/>
  <c r="V914" i="1"/>
  <c r="X914" i="1" s="1"/>
  <c r="V913" i="1"/>
  <c r="X913" i="1" s="1"/>
  <c r="V912" i="1"/>
  <c r="X912" i="1" s="1"/>
  <c r="V911" i="1"/>
  <c r="X911" i="1" s="1"/>
  <c r="V910" i="1"/>
  <c r="V909" i="1"/>
  <c r="X909" i="1" s="1"/>
  <c r="V908" i="1"/>
  <c r="X908" i="1" s="1"/>
  <c r="V907" i="1"/>
  <c r="X907" i="1" s="1"/>
  <c r="V906" i="1"/>
  <c r="X906" i="1" s="1"/>
  <c r="V905" i="1"/>
  <c r="X905" i="1" s="1"/>
  <c r="V904" i="1"/>
  <c r="X904" i="1" s="1"/>
  <c r="V903" i="1"/>
  <c r="X903" i="1" s="1"/>
  <c r="V902" i="1"/>
  <c r="X902" i="1" s="1"/>
  <c r="V901" i="1"/>
  <c r="X901" i="1" s="1"/>
  <c r="V900" i="1"/>
  <c r="X900" i="1" s="1"/>
  <c r="V899" i="1"/>
  <c r="X899" i="1" s="1"/>
  <c r="V898" i="1"/>
  <c r="X898" i="1" s="1"/>
  <c r="V897" i="1"/>
  <c r="X897" i="1" s="1"/>
  <c r="V896" i="1"/>
  <c r="X896" i="1" s="1"/>
  <c r="V895" i="1"/>
  <c r="X895" i="1" s="1"/>
  <c r="V894" i="1"/>
  <c r="X894" i="1" s="1"/>
  <c r="V893" i="1"/>
  <c r="X893" i="1" s="1"/>
  <c r="V892" i="1"/>
  <c r="X892" i="1" s="1"/>
  <c r="V891" i="1"/>
  <c r="X891" i="1" s="1"/>
  <c r="V890" i="1"/>
  <c r="X890" i="1" s="1"/>
  <c r="V889" i="1"/>
  <c r="X889" i="1" s="1"/>
  <c r="V888" i="1"/>
  <c r="X888" i="1" s="1"/>
  <c r="V887" i="1"/>
  <c r="X887" i="1" s="1"/>
  <c r="V886" i="1"/>
  <c r="X886" i="1" s="1"/>
  <c r="V885" i="1"/>
  <c r="X885" i="1" s="1"/>
  <c r="V884" i="1"/>
  <c r="X884" i="1" s="1"/>
  <c r="V883" i="1"/>
  <c r="X883" i="1" s="1"/>
  <c r="V882" i="1"/>
  <c r="X882" i="1" s="1"/>
  <c r="V881" i="1"/>
  <c r="X881" i="1" s="1"/>
  <c r="V880" i="1"/>
  <c r="X880" i="1" s="1"/>
  <c r="V879" i="1"/>
  <c r="X879" i="1" s="1"/>
  <c r="V878" i="1"/>
  <c r="X878" i="1" s="1"/>
  <c r="V877" i="1"/>
  <c r="X877" i="1" s="1"/>
  <c r="V876" i="1"/>
  <c r="X876" i="1" s="1"/>
  <c r="V875" i="1"/>
  <c r="X875" i="1" s="1"/>
  <c r="V874" i="1"/>
  <c r="X874" i="1" s="1"/>
  <c r="V873" i="1"/>
  <c r="X873" i="1" s="1"/>
  <c r="V872" i="1"/>
  <c r="X872" i="1" s="1"/>
  <c r="V871" i="1"/>
  <c r="X871" i="1" s="1"/>
  <c r="V870" i="1"/>
  <c r="X870" i="1" s="1"/>
  <c r="V869" i="1"/>
  <c r="X869" i="1" s="1"/>
  <c r="V868" i="1"/>
  <c r="X868" i="1" s="1"/>
  <c r="V867" i="1"/>
  <c r="X867" i="1" s="1"/>
  <c r="V866" i="1"/>
  <c r="X866" i="1" s="1"/>
  <c r="V865" i="1"/>
  <c r="X865" i="1" s="1"/>
  <c r="V864" i="1"/>
  <c r="X864" i="1" s="1"/>
  <c r="V863" i="1"/>
  <c r="X863" i="1" s="1"/>
  <c r="V862" i="1"/>
  <c r="V861" i="1"/>
  <c r="V859" i="1"/>
  <c r="X859" i="1" s="1"/>
  <c r="V858" i="1"/>
  <c r="X858" i="1" s="1"/>
  <c r="V857" i="1"/>
  <c r="V856" i="1"/>
  <c r="V855" i="1"/>
  <c r="V853" i="1"/>
  <c r="X853" i="1" s="1"/>
  <c r="V852" i="1"/>
  <c r="X852" i="1" s="1"/>
  <c r="V851" i="1"/>
  <c r="V850" i="1"/>
  <c r="V849" i="1"/>
  <c r="X849" i="1" s="1"/>
  <c r="V848" i="1"/>
  <c r="X848" i="1" s="1"/>
  <c r="V847" i="1"/>
  <c r="X847" i="1" s="1"/>
  <c r="V846" i="1"/>
  <c r="X846" i="1" s="1"/>
  <c r="V845" i="1"/>
  <c r="V844" i="1"/>
  <c r="V843" i="1"/>
  <c r="X843" i="1" s="1"/>
  <c r="V842" i="1"/>
  <c r="X842" i="1" s="1"/>
  <c r="V841" i="1"/>
  <c r="X841" i="1" s="1"/>
  <c r="V840" i="1"/>
  <c r="X840" i="1" s="1"/>
  <c r="V839" i="1"/>
  <c r="X839" i="1" s="1"/>
  <c r="V838" i="1"/>
  <c r="X838" i="1" s="1"/>
  <c r="V837" i="1"/>
  <c r="X837" i="1" s="1"/>
  <c r="V836" i="1"/>
  <c r="V835" i="1"/>
  <c r="X835" i="1" s="1"/>
  <c r="V834" i="1"/>
  <c r="X834" i="1" s="1"/>
  <c r="V833" i="1"/>
  <c r="X833" i="1" s="1"/>
  <c r="V832" i="1"/>
  <c r="X832" i="1" s="1"/>
  <c r="V831" i="1"/>
  <c r="X831" i="1" s="1"/>
  <c r="V830" i="1"/>
  <c r="X830" i="1" s="1"/>
  <c r="V829" i="1"/>
  <c r="X829" i="1" s="1"/>
  <c r="V828" i="1"/>
  <c r="X828" i="1" s="1"/>
  <c r="V827" i="1"/>
  <c r="X827" i="1" s="1"/>
  <c r="V826" i="1"/>
  <c r="X826" i="1" s="1"/>
  <c r="V825" i="1"/>
  <c r="V823" i="1"/>
  <c r="X823" i="1" s="1"/>
  <c r="V822" i="1"/>
  <c r="X822" i="1" s="1"/>
  <c r="V821" i="1"/>
  <c r="X821" i="1" s="1"/>
  <c r="V820" i="1"/>
  <c r="X820" i="1" s="1"/>
  <c r="V819" i="1"/>
  <c r="X819" i="1" s="1"/>
  <c r="V818" i="1"/>
  <c r="X818" i="1" s="1"/>
  <c r="V817" i="1"/>
  <c r="X817" i="1" s="1"/>
  <c r="V816" i="1"/>
  <c r="X816" i="1" s="1"/>
  <c r="V815" i="1"/>
  <c r="X815" i="1" s="1"/>
  <c r="V814" i="1"/>
  <c r="X814" i="1" s="1"/>
  <c r="V813" i="1"/>
  <c r="V812" i="1"/>
  <c r="X812" i="1" s="1"/>
  <c r="V811" i="1"/>
  <c r="X811" i="1" s="1"/>
  <c r="V810" i="1"/>
  <c r="X810" i="1" s="1"/>
  <c r="V809" i="1"/>
  <c r="V808" i="1"/>
  <c r="V807" i="1"/>
  <c r="V806" i="1"/>
  <c r="V805" i="1"/>
  <c r="X805" i="1" s="1"/>
  <c r="V804" i="1"/>
  <c r="X804" i="1" s="1"/>
  <c r="V803" i="1"/>
  <c r="X803" i="1" s="1"/>
  <c r="V802" i="1"/>
  <c r="X802" i="1" s="1"/>
  <c r="V801" i="1"/>
  <c r="V800" i="1"/>
  <c r="V799" i="1"/>
  <c r="V798" i="1"/>
  <c r="X798" i="1" s="1"/>
  <c r="V797" i="1"/>
  <c r="X797" i="1" s="1"/>
  <c r="V796" i="1"/>
  <c r="X796" i="1" s="1"/>
  <c r="V795" i="1"/>
  <c r="X795" i="1" s="1"/>
  <c r="V794" i="1"/>
  <c r="X794" i="1" s="1"/>
  <c r="V793" i="1"/>
  <c r="X793" i="1" s="1"/>
  <c r="V792" i="1"/>
  <c r="V791" i="1"/>
  <c r="X791" i="1" s="1"/>
  <c r="V790" i="1"/>
  <c r="X790" i="1" s="1"/>
  <c r="V789" i="1"/>
  <c r="V786" i="1"/>
  <c r="X786" i="1" s="1"/>
  <c r="V785" i="1"/>
  <c r="X785" i="1" s="1"/>
  <c r="V784" i="1"/>
  <c r="V783" i="1"/>
  <c r="V782" i="1"/>
  <c r="V781" i="1"/>
  <c r="X781" i="1" s="1"/>
  <c r="V780" i="1"/>
  <c r="X780" i="1" s="1"/>
  <c r="V778" i="1"/>
  <c r="X778" i="1" s="1"/>
  <c r="V777" i="1"/>
  <c r="X777" i="1" s="1"/>
  <c r="V776" i="1"/>
  <c r="X776" i="1" s="1"/>
  <c r="V775" i="1"/>
  <c r="X775" i="1" s="1"/>
  <c r="V774" i="1"/>
  <c r="X774" i="1" s="1"/>
  <c r="V773" i="1"/>
  <c r="X773" i="1" s="1"/>
  <c r="V772" i="1"/>
  <c r="X772" i="1" s="1"/>
  <c r="V771" i="1"/>
  <c r="X771" i="1" s="1"/>
  <c r="V770" i="1"/>
  <c r="X770" i="1" s="1"/>
  <c r="V769" i="1"/>
  <c r="X769" i="1" s="1"/>
  <c r="V768" i="1"/>
  <c r="X768" i="1" s="1"/>
  <c r="V767" i="1"/>
  <c r="X767" i="1" s="1"/>
  <c r="V766" i="1"/>
  <c r="X766" i="1" s="1"/>
  <c r="V765" i="1"/>
  <c r="X765" i="1" s="1"/>
  <c r="V764" i="1"/>
  <c r="X764" i="1" s="1"/>
  <c r="V763" i="1"/>
  <c r="X763" i="1" s="1"/>
  <c r="V762" i="1"/>
  <c r="X762" i="1" s="1"/>
  <c r="V761" i="1"/>
  <c r="X761" i="1" s="1"/>
  <c r="V760" i="1"/>
  <c r="X760" i="1" s="1"/>
  <c r="V759" i="1"/>
  <c r="X759" i="1" s="1"/>
  <c r="V758" i="1"/>
  <c r="X758" i="1" s="1"/>
  <c r="V757" i="1"/>
  <c r="X757" i="1" s="1"/>
  <c r="V756" i="1"/>
  <c r="X756" i="1" s="1"/>
  <c r="V755" i="1"/>
  <c r="X755" i="1" s="1"/>
  <c r="V754" i="1"/>
  <c r="X754" i="1" s="1"/>
  <c r="V753" i="1"/>
  <c r="X753" i="1" s="1"/>
  <c r="V752" i="1"/>
  <c r="X752" i="1" s="1"/>
  <c r="V751" i="1"/>
  <c r="X751" i="1" s="1"/>
  <c r="V750" i="1"/>
  <c r="X750" i="1" s="1"/>
  <c r="V749" i="1"/>
  <c r="X749" i="1" s="1"/>
  <c r="V748" i="1"/>
  <c r="X748" i="1" s="1"/>
  <c r="V747" i="1"/>
  <c r="X747" i="1" s="1"/>
  <c r="V746" i="1"/>
  <c r="X746" i="1" s="1"/>
  <c r="V743" i="1"/>
  <c r="X743" i="1" s="1"/>
  <c r="V742" i="1"/>
  <c r="X742" i="1" s="1"/>
  <c r="V741" i="1"/>
  <c r="X741" i="1" s="1"/>
  <c r="V740" i="1"/>
  <c r="X740" i="1" s="1"/>
  <c r="V739" i="1"/>
  <c r="X739" i="1" s="1"/>
  <c r="V738" i="1"/>
  <c r="X738" i="1" s="1"/>
  <c r="V737" i="1"/>
  <c r="X737" i="1" s="1"/>
  <c r="V736" i="1"/>
  <c r="X736" i="1" s="1"/>
  <c r="V735" i="1"/>
  <c r="X735" i="1" s="1"/>
  <c r="V734" i="1"/>
  <c r="X734" i="1" s="1"/>
  <c r="V733" i="1"/>
  <c r="X733" i="1" s="1"/>
  <c r="V732" i="1"/>
  <c r="X732" i="1" s="1"/>
  <c r="V731" i="1"/>
  <c r="X731" i="1" s="1"/>
  <c r="V730" i="1"/>
  <c r="X730" i="1" s="1"/>
  <c r="V728" i="1"/>
  <c r="X728" i="1" s="1"/>
  <c r="V727" i="1"/>
  <c r="X727" i="1" s="1"/>
  <c r="V726" i="1"/>
  <c r="X726" i="1" s="1"/>
  <c r="V725" i="1"/>
  <c r="X725" i="1" s="1"/>
  <c r="V724" i="1"/>
  <c r="X724" i="1" s="1"/>
  <c r="V723" i="1"/>
  <c r="X723" i="1" s="1"/>
  <c r="V719" i="1"/>
  <c r="V718" i="1"/>
  <c r="V717" i="1"/>
  <c r="V716" i="1"/>
  <c r="V715" i="1"/>
  <c r="X715" i="1" s="1"/>
  <c r="V714" i="1"/>
  <c r="V713" i="1"/>
  <c r="X713" i="1" s="1"/>
  <c r="V712" i="1"/>
  <c r="X712" i="1" s="1"/>
  <c r="V711" i="1"/>
  <c r="X711" i="1" s="1"/>
  <c r="V710" i="1"/>
  <c r="X710" i="1" s="1"/>
  <c r="V709" i="1"/>
  <c r="X709" i="1" s="1"/>
  <c r="V708" i="1"/>
  <c r="X708" i="1" s="1"/>
  <c r="V707" i="1"/>
  <c r="X707" i="1" s="1"/>
  <c r="V706" i="1"/>
  <c r="X706" i="1" s="1"/>
  <c r="V705" i="1"/>
  <c r="X705" i="1" s="1"/>
  <c r="V704" i="1"/>
  <c r="X704" i="1" s="1"/>
  <c r="V703" i="1"/>
  <c r="X703" i="1" s="1"/>
  <c r="V702" i="1"/>
  <c r="X702" i="1" s="1"/>
  <c r="V701" i="1"/>
  <c r="X701" i="1" s="1"/>
  <c r="V700" i="1"/>
  <c r="X700" i="1" s="1"/>
  <c r="V699" i="1"/>
  <c r="X699" i="1" s="1"/>
  <c r="V698" i="1"/>
  <c r="V697" i="1"/>
  <c r="X697" i="1" s="1"/>
  <c r="V696" i="1"/>
  <c r="V695" i="1"/>
  <c r="V694" i="1"/>
  <c r="X694" i="1" s="1"/>
  <c r="V693" i="1"/>
  <c r="X693" i="1" s="1"/>
  <c r="V692" i="1"/>
  <c r="X692" i="1" s="1"/>
  <c r="V691" i="1"/>
  <c r="X691" i="1" s="1"/>
  <c r="V690" i="1"/>
  <c r="X690" i="1" s="1"/>
  <c r="V689" i="1"/>
  <c r="X689" i="1" s="1"/>
  <c r="V688" i="1"/>
  <c r="X688" i="1" s="1"/>
  <c r="V687" i="1"/>
  <c r="X687" i="1" s="1"/>
  <c r="V686" i="1"/>
  <c r="X686" i="1" s="1"/>
  <c r="V685" i="1"/>
  <c r="X685" i="1" s="1"/>
  <c r="V684" i="1"/>
  <c r="X684" i="1" s="1"/>
  <c r="V683" i="1"/>
  <c r="X683" i="1" s="1"/>
  <c r="V682" i="1"/>
  <c r="X682" i="1" s="1"/>
  <c r="V681" i="1"/>
  <c r="X681" i="1" s="1"/>
  <c r="V680" i="1"/>
  <c r="X680" i="1" s="1"/>
  <c r="V679" i="1"/>
  <c r="X679" i="1" s="1"/>
  <c r="V678" i="1"/>
  <c r="X678" i="1" s="1"/>
  <c r="V677" i="1"/>
  <c r="X677" i="1" s="1"/>
  <c r="V676" i="1"/>
  <c r="X676" i="1" s="1"/>
  <c r="V674" i="1"/>
  <c r="X674" i="1" s="1"/>
  <c r="V673" i="1"/>
  <c r="X673" i="1" s="1"/>
  <c r="V672" i="1"/>
  <c r="X672" i="1" s="1"/>
  <c r="V671" i="1"/>
  <c r="X671" i="1" s="1"/>
  <c r="V670" i="1"/>
  <c r="X670" i="1" s="1"/>
  <c r="V669" i="1"/>
  <c r="X669" i="1" s="1"/>
  <c r="V668" i="1"/>
  <c r="X668" i="1" s="1"/>
  <c r="V667" i="1"/>
  <c r="X667" i="1" s="1"/>
  <c r="V666" i="1"/>
  <c r="X666" i="1" s="1"/>
  <c r="V665" i="1"/>
  <c r="X665" i="1" s="1"/>
  <c r="V664" i="1"/>
  <c r="X664" i="1" s="1"/>
  <c r="V663" i="1"/>
  <c r="X663" i="1" s="1"/>
  <c r="V662" i="1"/>
  <c r="X662" i="1" s="1"/>
  <c r="V661" i="1"/>
  <c r="X661" i="1" s="1"/>
  <c r="V660" i="1"/>
  <c r="X660" i="1" s="1"/>
  <c r="V659" i="1"/>
  <c r="X659" i="1" s="1"/>
  <c r="V658" i="1"/>
  <c r="X658" i="1" s="1"/>
  <c r="V657" i="1"/>
  <c r="X657" i="1" s="1"/>
  <c r="V656" i="1"/>
  <c r="X656" i="1" s="1"/>
  <c r="V655" i="1"/>
  <c r="X655" i="1" s="1"/>
  <c r="V654" i="1"/>
  <c r="X654" i="1" s="1"/>
  <c r="V653" i="1"/>
  <c r="X653" i="1" s="1"/>
  <c r="V652" i="1"/>
  <c r="X652" i="1" s="1"/>
  <c r="V651" i="1"/>
  <c r="X651" i="1" s="1"/>
  <c r="V650" i="1"/>
  <c r="X650" i="1" s="1"/>
  <c r="V649" i="1"/>
  <c r="X649" i="1" s="1"/>
  <c r="V647" i="1"/>
  <c r="X647" i="1" s="1"/>
  <c r="V646" i="1"/>
  <c r="X646" i="1" s="1"/>
  <c r="V645" i="1"/>
  <c r="X645" i="1" s="1"/>
  <c r="V644" i="1"/>
  <c r="X644" i="1" s="1"/>
  <c r="V643" i="1"/>
  <c r="X643" i="1" s="1"/>
  <c r="V642" i="1"/>
  <c r="X642" i="1" s="1"/>
  <c r="V641" i="1"/>
  <c r="X641" i="1" s="1"/>
  <c r="V640" i="1"/>
  <c r="X640" i="1" s="1"/>
  <c r="V639" i="1"/>
  <c r="X639" i="1" s="1"/>
  <c r="V638" i="1"/>
  <c r="X638" i="1" s="1"/>
  <c r="V637" i="1"/>
  <c r="X637" i="1" s="1"/>
  <c r="V636" i="1"/>
  <c r="X636" i="1" s="1"/>
  <c r="V635" i="1"/>
  <c r="X635" i="1" s="1"/>
  <c r="V634" i="1"/>
  <c r="X634" i="1" s="1"/>
  <c r="V633" i="1"/>
  <c r="X633" i="1" s="1"/>
  <c r="V632" i="1"/>
  <c r="X632" i="1" s="1"/>
  <c r="V631" i="1"/>
  <c r="X631" i="1" s="1"/>
  <c r="V630" i="1"/>
  <c r="X630" i="1" s="1"/>
  <c r="V629" i="1"/>
  <c r="X629" i="1" s="1"/>
  <c r="V628" i="1"/>
  <c r="X628" i="1" s="1"/>
  <c r="V627" i="1"/>
  <c r="X627" i="1" s="1"/>
  <c r="V626" i="1"/>
  <c r="X626" i="1" s="1"/>
  <c r="V625" i="1"/>
  <c r="X625" i="1" s="1"/>
  <c r="V624" i="1"/>
  <c r="X624" i="1" s="1"/>
  <c r="V623" i="1"/>
  <c r="X623" i="1" s="1"/>
  <c r="V622" i="1"/>
  <c r="X622" i="1" s="1"/>
  <c r="V621" i="1"/>
  <c r="X621" i="1" s="1"/>
  <c r="V620" i="1"/>
  <c r="X620" i="1" s="1"/>
  <c r="V619" i="1"/>
  <c r="X619" i="1" s="1"/>
  <c r="V618" i="1"/>
  <c r="X618" i="1" s="1"/>
  <c r="V617" i="1"/>
  <c r="X617" i="1" s="1"/>
  <c r="V616" i="1"/>
  <c r="X616" i="1" s="1"/>
  <c r="V615" i="1"/>
  <c r="X615" i="1" s="1"/>
  <c r="V614" i="1"/>
  <c r="X614" i="1" s="1"/>
  <c r="V613" i="1"/>
  <c r="X613" i="1" s="1"/>
  <c r="V612" i="1"/>
  <c r="X612" i="1" s="1"/>
  <c r="V611" i="1"/>
  <c r="X611" i="1" s="1"/>
  <c r="V610" i="1"/>
  <c r="X610" i="1" s="1"/>
  <c r="V609" i="1"/>
  <c r="X609" i="1" s="1"/>
  <c r="V608" i="1"/>
  <c r="X608" i="1" s="1"/>
  <c r="V607" i="1"/>
  <c r="X607" i="1" s="1"/>
  <c r="V606" i="1"/>
  <c r="X606" i="1" s="1"/>
  <c r="V605" i="1"/>
  <c r="X605" i="1" s="1"/>
  <c r="V604" i="1"/>
  <c r="X604" i="1" s="1"/>
  <c r="V603" i="1"/>
  <c r="X603" i="1" s="1"/>
  <c r="V602" i="1"/>
  <c r="X602" i="1" s="1"/>
  <c r="V601" i="1"/>
  <c r="X601" i="1" s="1"/>
  <c r="V600" i="1"/>
  <c r="X600" i="1" s="1"/>
  <c r="V599" i="1"/>
  <c r="X599" i="1" s="1"/>
  <c r="V598" i="1"/>
  <c r="X598" i="1" s="1"/>
  <c r="V597" i="1"/>
  <c r="X597" i="1" s="1"/>
  <c r="V596" i="1"/>
  <c r="X596" i="1" s="1"/>
  <c r="V595" i="1"/>
  <c r="X595" i="1" s="1"/>
  <c r="V594" i="1"/>
  <c r="X594" i="1" s="1"/>
  <c r="V593" i="1"/>
  <c r="X593" i="1" s="1"/>
  <c r="V592" i="1"/>
  <c r="X592" i="1" s="1"/>
  <c r="V591" i="1"/>
  <c r="X591" i="1" s="1"/>
  <c r="V590" i="1"/>
  <c r="X590" i="1" s="1"/>
  <c r="V589" i="1"/>
  <c r="X589" i="1" s="1"/>
  <c r="V588" i="1"/>
  <c r="X588" i="1" s="1"/>
  <c r="V587" i="1"/>
  <c r="X587" i="1" s="1"/>
  <c r="V586" i="1"/>
  <c r="X586" i="1" s="1"/>
  <c r="V585" i="1"/>
  <c r="X585" i="1" s="1"/>
  <c r="V584" i="1"/>
  <c r="X584" i="1" s="1"/>
  <c r="V583" i="1"/>
  <c r="X583" i="1" s="1"/>
  <c r="V582" i="1"/>
  <c r="X582" i="1" s="1"/>
  <c r="V581" i="1"/>
  <c r="X581" i="1" s="1"/>
  <c r="V580" i="1"/>
  <c r="X580" i="1" s="1"/>
  <c r="V579" i="1"/>
  <c r="X579" i="1" s="1"/>
  <c r="V578" i="1"/>
  <c r="X578" i="1" s="1"/>
  <c r="V577" i="1"/>
  <c r="X577" i="1" s="1"/>
  <c r="V576" i="1"/>
  <c r="X576" i="1" s="1"/>
  <c r="V575" i="1"/>
  <c r="X575" i="1" s="1"/>
  <c r="V574" i="1"/>
  <c r="X574" i="1" s="1"/>
  <c r="V573" i="1"/>
  <c r="X573" i="1" s="1"/>
  <c r="V572" i="1"/>
  <c r="X572" i="1" s="1"/>
  <c r="V571" i="1"/>
  <c r="X571" i="1" s="1"/>
  <c r="V570" i="1"/>
  <c r="X570" i="1" s="1"/>
  <c r="V569" i="1"/>
  <c r="X569" i="1" s="1"/>
  <c r="V568" i="1"/>
  <c r="X568" i="1" s="1"/>
  <c r="V567" i="1"/>
  <c r="X567" i="1" s="1"/>
  <c r="V566" i="1"/>
  <c r="X566" i="1" s="1"/>
  <c r="V565" i="1"/>
  <c r="X565" i="1" s="1"/>
  <c r="V564" i="1"/>
  <c r="X564" i="1" s="1"/>
  <c r="V563" i="1"/>
  <c r="X563" i="1" s="1"/>
  <c r="V562" i="1"/>
  <c r="X562" i="1" s="1"/>
  <c r="V561" i="1"/>
  <c r="X561" i="1" s="1"/>
  <c r="V560" i="1"/>
  <c r="X560" i="1" s="1"/>
  <c r="V559" i="1"/>
  <c r="X559" i="1" s="1"/>
  <c r="V558" i="1"/>
  <c r="X558" i="1" s="1"/>
  <c r="V557" i="1"/>
  <c r="X557" i="1" s="1"/>
  <c r="V556" i="1"/>
  <c r="X556" i="1" s="1"/>
  <c r="V555" i="1"/>
  <c r="X555" i="1" s="1"/>
  <c r="V554" i="1"/>
  <c r="X554" i="1" s="1"/>
  <c r="V553" i="1"/>
  <c r="X553" i="1" s="1"/>
  <c r="V552" i="1"/>
  <c r="X552" i="1" s="1"/>
  <c r="V551" i="1"/>
  <c r="X551" i="1" s="1"/>
  <c r="V550" i="1"/>
  <c r="X550" i="1" s="1"/>
  <c r="V549" i="1"/>
  <c r="X549" i="1" s="1"/>
  <c r="V548" i="1"/>
  <c r="X548" i="1" s="1"/>
  <c r="V547" i="1"/>
  <c r="X547" i="1" s="1"/>
  <c r="V546" i="1"/>
  <c r="X546" i="1" s="1"/>
  <c r="V545" i="1"/>
  <c r="X545" i="1" s="1"/>
  <c r="V544" i="1"/>
  <c r="X544" i="1" s="1"/>
  <c r="V543" i="1"/>
  <c r="X543" i="1" s="1"/>
  <c r="V542" i="1"/>
  <c r="X542" i="1" s="1"/>
  <c r="V541" i="1"/>
  <c r="X541" i="1" s="1"/>
  <c r="V540" i="1"/>
  <c r="X540" i="1" s="1"/>
  <c r="V539" i="1"/>
  <c r="X539" i="1" s="1"/>
  <c r="V538" i="1"/>
  <c r="X538" i="1" s="1"/>
  <c r="V537" i="1"/>
  <c r="X537" i="1" s="1"/>
  <c r="V536" i="1"/>
  <c r="X536" i="1" s="1"/>
  <c r="V535" i="1"/>
  <c r="X535" i="1" s="1"/>
  <c r="V534" i="1"/>
  <c r="X534" i="1" s="1"/>
  <c r="V533" i="1"/>
  <c r="X533" i="1" s="1"/>
  <c r="V532" i="1"/>
  <c r="X532" i="1" s="1"/>
  <c r="V531" i="1"/>
  <c r="X531" i="1" s="1"/>
  <c r="V530" i="1"/>
  <c r="X530" i="1" s="1"/>
  <c r="V529" i="1"/>
  <c r="X529" i="1" s="1"/>
  <c r="V528" i="1"/>
  <c r="X528" i="1" s="1"/>
  <c r="V527" i="1"/>
  <c r="X527" i="1" s="1"/>
  <c r="V526" i="1"/>
  <c r="X526" i="1" s="1"/>
  <c r="V525" i="1"/>
  <c r="X525" i="1" s="1"/>
  <c r="V524" i="1"/>
  <c r="X524" i="1" s="1"/>
  <c r="V523" i="1"/>
  <c r="X523" i="1" s="1"/>
  <c r="V522" i="1"/>
  <c r="X522" i="1" s="1"/>
  <c r="V521" i="1"/>
  <c r="X521" i="1" s="1"/>
  <c r="V520" i="1"/>
  <c r="X520" i="1" s="1"/>
  <c r="V519" i="1"/>
  <c r="X519" i="1" s="1"/>
  <c r="V518" i="1"/>
  <c r="X518" i="1" s="1"/>
  <c r="V517" i="1"/>
  <c r="X517" i="1" s="1"/>
  <c r="V515" i="1"/>
  <c r="X515" i="1" s="1"/>
  <c r="V513" i="1"/>
  <c r="X513" i="1" s="1"/>
  <c r="V512" i="1"/>
  <c r="X512" i="1" s="1"/>
  <c r="V511" i="1"/>
  <c r="X511" i="1" s="1"/>
  <c r="V510" i="1"/>
  <c r="X510" i="1" s="1"/>
  <c r="V509" i="1"/>
  <c r="X509" i="1" s="1"/>
  <c r="V508" i="1"/>
  <c r="X508" i="1" s="1"/>
  <c r="V507" i="1"/>
  <c r="X507" i="1" s="1"/>
  <c r="V506" i="1"/>
  <c r="X506" i="1" s="1"/>
  <c r="V505" i="1"/>
  <c r="X505" i="1" s="1"/>
  <c r="V504" i="1"/>
  <c r="X504" i="1" s="1"/>
  <c r="V503" i="1"/>
  <c r="X503" i="1" s="1"/>
  <c r="V502" i="1"/>
  <c r="X502" i="1" s="1"/>
  <c r="V501" i="1"/>
  <c r="X501" i="1" s="1"/>
  <c r="V500" i="1"/>
  <c r="X500" i="1" s="1"/>
  <c r="V499" i="1"/>
  <c r="X499" i="1" s="1"/>
  <c r="V498" i="1"/>
  <c r="X498" i="1" s="1"/>
  <c r="V497" i="1"/>
  <c r="X497" i="1" s="1"/>
  <c r="V496" i="1"/>
  <c r="X496" i="1" s="1"/>
  <c r="V495" i="1"/>
  <c r="X495" i="1" s="1"/>
  <c r="V494" i="1"/>
  <c r="X494" i="1" s="1"/>
  <c r="V493" i="1"/>
  <c r="X493" i="1" s="1"/>
  <c r="V492" i="1"/>
  <c r="X492" i="1" s="1"/>
  <c r="V491" i="1"/>
  <c r="X491" i="1" s="1"/>
  <c r="V490" i="1"/>
  <c r="X490" i="1" s="1"/>
  <c r="V489" i="1"/>
  <c r="X489" i="1" s="1"/>
  <c r="V488" i="1"/>
  <c r="X488" i="1" s="1"/>
  <c r="V487" i="1"/>
  <c r="X487" i="1" s="1"/>
  <c r="V486" i="1"/>
  <c r="X486" i="1" s="1"/>
  <c r="V485" i="1"/>
  <c r="X485" i="1" s="1"/>
  <c r="V484" i="1"/>
  <c r="X484" i="1" s="1"/>
  <c r="V483" i="1"/>
  <c r="X483" i="1" s="1"/>
  <c r="V482" i="1"/>
  <c r="X482" i="1" s="1"/>
  <c r="V481" i="1"/>
  <c r="X481" i="1" s="1"/>
  <c r="V479" i="1"/>
  <c r="X479" i="1" s="1"/>
  <c r="V478" i="1"/>
  <c r="X478" i="1" s="1"/>
  <c r="V477" i="1"/>
  <c r="X477" i="1" s="1"/>
  <c r="V476" i="1"/>
  <c r="X476" i="1" s="1"/>
  <c r="V475" i="1"/>
  <c r="X475" i="1" s="1"/>
  <c r="V474" i="1"/>
  <c r="X474" i="1" s="1"/>
  <c r="V473" i="1"/>
  <c r="X473" i="1" s="1"/>
  <c r="V472" i="1"/>
  <c r="X472" i="1" s="1"/>
  <c r="V471" i="1"/>
  <c r="X471" i="1" s="1"/>
  <c r="V470" i="1"/>
  <c r="X470" i="1" s="1"/>
  <c r="V469" i="1"/>
  <c r="X469" i="1" s="1"/>
  <c r="V468" i="1"/>
  <c r="X468" i="1" s="1"/>
  <c r="V467" i="1"/>
  <c r="X467" i="1" s="1"/>
  <c r="V466" i="1"/>
  <c r="X466" i="1" s="1"/>
  <c r="V465" i="1"/>
  <c r="X465" i="1" s="1"/>
  <c r="V464" i="1"/>
  <c r="X464" i="1" s="1"/>
  <c r="V463" i="1"/>
  <c r="X463" i="1" s="1"/>
  <c r="V462" i="1"/>
  <c r="X462" i="1" s="1"/>
  <c r="V461" i="1"/>
  <c r="X461" i="1" s="1"/>
  <c r="V460" i="1"/>
  <c r="X460" i="1" s="1"/>
  <c r="V459" i="1"/>
  <c r="X459" i="1" s="1"/>
  <c r="V458" i="1"/>
  <c r="X458" i="1" s="1"/>
  <c r="V457" i="1"/>
  <c r="X457" i="1" s="1"/>
  <c r="V456" i="1"/>
  <c r="X456" i="1" s="1"/>
  <c r="V455" i="1"/>
  <c r="X455" i="1" s="1"/>
  <c r="V454" i="1"/>
  <c r="X454" i="1" s="1"/>
  <c r="V453" i="1"/>
  <c r="X453" i="1" s="1"/>
  <c r="V452" i="1"/>
  <c r="X452" i="1" s="1"/>
  <c r="V451" i="1"/>
  <c r="X451" i="1" s="1"/>
  <c r="V450" i="1"/>
  <c r="X450" i="1" s="1"/>
  <c r="V449" i="1"/>
  <c r="X449" i="1" s="1"/>
  <c r="V448" i="1"/>
  <c r="X448" i="1" s="1"/>
  <c r="V447" i="1"/>
  <c r="X447" i="1" s="1"/>
  <c r="V446" i="1"/>
  <c r="X446" i="1" s="1"/>
  <c r="V445" i="1"/>
  <c r="X445" i="1" s="1"/>
  <c r="V444" i="1"/>
  <c r="X444" i="1" s="1"/>
  <c r="V443" i="1"/>
  <c r="X443" i="1" s="1"/>
  <c r="V442" i="1"/>
  <c r="X442" i="1" s="1"/>
  <c r="V441" i="1"/>
  <c r="X441" i="1" s="1"/>
  <c r="V440" i="1"/>
  <c r="X440" i="1" s="1"/>
  <c r="V439" i="1"/>
  <c r="X439" i="1" s="1"/>
  <c r="V438" i="1"/>
  <c r="X438" i="1" s="1"/>
  <c r="V437" i="1"/>
  <c r="X437" i="1" s="1"/>
  <c r="V436" i="1"/>
  <c r="X436" i="1" s="1"/>
  <c r="V435" i="1"/>
  <c r="X435" i="1" s="1"/>
  <c r="V434" i="1"/>
  <c r="X434" i="1" s="1"/>
  <c r="V433" i="1"/>
  <c r="X433" i="1" s="1"/>
  <c r="V432" i="1"/>
  <c r="X432" i="1" s="1"/>
  <c r="V431" i="1"/>
  <c r="X431" i="1" s="1"/>
  <c r="V430" i="1"/>
  <c r="X430" i="1" s="1"/>
  <c r="V429" i="1"/>
  <c r="X429" i="1" s="1"/>
  <c r="V428" i="1"/>
  <c r="X428" i="1" s="1"/>
  <c r="V427" i="1"/>
  <c r="X427" i="1" s="1"/>
  <c r="V426" i="1"/>
  <c r="X426" i="1" s="1"/>
  <c r="V425" i="1"/>
  <c r="X425" i="1" s="1"/>
  <c r="V424" i="1"/>
  <c r="X424" i="1" s="1"/>
  <c r="V423" i="1"/>
  <c r="X423" i="1" s="1"/>
  <c r="V422" i="1"/>
  <c r="X422" i="1" s="1"/>
  <c r="V421" i="1"/>
  <c r="X421" i="1" s="1"/>
  <c r="V420" i="1"/>
  <c r="X420" i="1" s="1"/>
  <c r="V419" i="1"/>
  <c r="X419" i="1" s="1"/>
  <c r="V418" i="1"/>
  <c r="X418" i="1" s="1"/>
  <c r="V417" i="1"/>
  <c r="X417" i="1" s="1"/>
  <c r="V416" i="1"/>
  <c r="X416" i="1" s="1"/>
  <c r="V415" i="1"/>
  <c r="X415" i="1" s="1"/>
  <c r="V414" i="1"/>
  <c r="X414" i="1" s="1"/>
  <c r="V413" i="1"/>
  <c r="X413" i="1" s="1"/>
  <c r="V412" i="1"/>
  <c r="X412" i="1" s="1"/>
  <c r="V411" i="1"/>
  <c r="X411" i="1" s="1"/>
  <c r="V410" i="1"/>
  <c r="X410" i="1" s="1"/>
  <c r="V409" i="1"/>
  <c r="X409" i="1" s="1"/>
  <c r="V408" i="1"/>
  <c r="X408" i="1" s="1"/>
  <c r="V407" i="1"/>
  <c r="X407" i="1" s="1"/>
  <c r="V406" i="1"/>
  <c r="X406" i="1" s="1"/>
  <c r="V405" i="1"/>
  <c r="X405" i="1" s="1"/>
  <c r="V404" i="1"/>
  <c r="X404" i="1" s="1"/>
  <c r="V403" i="1"/>
  <c r="X403" i="1" s="1"/>
  <c r="V402" i="1"/>
  <c r="X402" i="1" s="1"/>
  <c r="V401" i="1"/>
  <c r="X401" i="1" s="1"/>
  <c r="V400" i="1"/>
  <c r="X400" i="1" s="1"/>
  <c r="V399" i="1"/>
  <c r="X399" i="1" s="1"/>
  <c r="V398" i="1"/>
  <c r="X398" i="1" s="1"/>
  <c r="V397" i="1"/>
  <c r="X397" i="1" s="1"/>
  <c r="V396" i="1"/>
  <c r="X396" i="1" s="1"/>
  <c r="V395" i="1"/>
  <c r="X395" i="1" s="1"/>
  <c r="V394" i="1"/>
  <c r="X394" i="1" s="1"/>
  <c r="V393" i="1"/>
  <c r="X393" i="1" s="1"/>
  <c r="V392" i="1"/>
  <c r="X392" i="1" s="1"/>
  <c r="V391" i="1"/>
  <c r="X391" i="1" s="1"/>
  <c r="V390" i="1"/>
  <c r="X390" i="1" s="1"/>
  <c r="V389" i="1"/>
  <c r="X389" i="1" s="1"/>
  <c r="V388" i="1"/>
  <c r="X388" i="1" s="1"/>
  <c r="V387" i="1"/>
  <c r="X387" i="1" s="1"/>
  <c r="V386" i="1"/>
  <c r="X386" i="1" s="1"/>
  <c r="V385" i="1"/>
  <c r="X385" i="1" s="1"/>
  <c r="V384" i="1"/>
  <c r="X384" i="1" s="1"/>
  <c r="V383" i="1"/>
  <c r="X383" i="1" s="1"/>
  <c r="V382" i="1"/>
  <c r="X382" i="1" s="1"/>
  <c r="V381" i="1"/>
  <c r="X381" i="1" s="1"/>
  <c r="V380" i="1"/>
  <c r="X380" i="1" s="1"/>
  <c r="V379" i="1"/>
  <c r="X379" i="1" s="1"/>
  <c r="V378" i="1"/>
  <c r="X378" i="1" s="1"/>
  <c r="V377" i="1"/>
  <c r="X377" i="1" s="1"/>
  <c r="V376" i="1"/>
  <c r="X376" i="1" s="1"/>
  <c r="V375" i="1"/>
  <c r="X375" i="1" s="1"/>
  <c r="V374" i="1"/>
  <c r="X374" i="1" s="1"/>
  <c r="V373" i="1"/>
  <c r="X373" i="1" s="1"/>
  <c r="V372" i="1"/>
  <c r="X372" i="1" s="1"/>
  <c r="V371" i="1"/>
  <c r="X371" i="1" s="1"/>
  <c r="V370" i="1"/>
  <c r="X370" i="1" s="1"/>
  <c r="V369" i="1"/>
  <c r="X369" i="1" s="1"/>
  <c r="V368" i="1"/>
  <c r="X368" i="1" s="1"/>
  <c r="V367" i="1"/>
  <c r="X367" i="1" s="1"/>
  <c r="V366" i="1"/>
  <c r="X366" i="1" s="1"/>
  <c r="V365" i="1"/>
  <c r="X365" i="1" s="1"/>
  <c r="V364" i="1"/>
  <c r="X364" i="1" s="1"/>
  <c r="V363" i="1"/>
  <c r="X363" i="1" s="1"/>
  <c r="V362" i="1"/>
  <c r="X362" i="1" s="1"/>
  <c r="V361" i="1"/>
  <c r="X361" i="1" s="1"/>
  <c r="V360" i="1"/>
  <c r="X360" i="1" s="1"/>
  <c r="V359" i="1"/>
  <c r="X359" i="1" s="1"/>
  <c r="V358" i="1"/>
  <c r="X358" i="1" s="1"/>
  <c r="V357" i="1"/>
  <c r="X357" i="1" s="1"/>
  <c r="V356" i="1"/>
  <c r="X356" i="1" s="1"/>
  <c r="V355" i="1"/>
  <c r="X355" i="1" s="1"/>
  <c r="V354" i="1"/>
  <c r="X354" i="1" s="1"/>
  <c r="V353" i="1"/>
  <c r="X353" i="1" s="1"/>
  <c r="V352" i="1"/>
  <c r="X352" i="1" s="1"/>
  <c r="V351" i="1"/>
  <c r="X351" i="1" s="1"/>
  <c r="V350" i="1"/>
  <c r="X350" i="1" s="1"/>
  <c r="V349" i="1"/>
  <c r="X349" i="1" s="1"/>
  <c r="V348" i="1"/>
  <c r="X348" i="1" s="1"/>
  <c r="V347" i="1"/>
  <c r="X347" i="1" s="1"/>
  <c r="V346" i="1"/>
  <c r="X346" i="1" s="1"/>
  <c r="V345" i="1"/>
  <c r="X345" i="1" s="1"/>
  <c r="V344" i="1"/>
  <c r="X344" i="1" s="1"/>
  <c r="V343" i="1"/>
  <c r="X343" i="1" s="1"/>
  <c r="V342" i="1"/>
  <c r="X342" i="1" s="1"/>
  <c r="V341" i="1"/>
  <c r="X341" i="1" s="1"/>
  <c r="V340" i="1"/>
  <c r="X340" i="1" s="1"/>
  <c r="V339" i="1"/>
  <c r="X339" i="1" s="1"/>
  <c r="V338" i="1"/>
  <c r="X338" i="1" s="1"/>
  <c r="V337" i="1"/>
  <c r="X337" i="1" s="1"/>
  <c r="V336" i="1"/>
  <c r="X336" i="1" s="1"/>
  <c r="V335" i="1"/>
  <c r="X335" i="1" s="1"/>
  <c r="V334" i="1"/>
  <c r="X334" i="1" s="1"/>
  <c r="V333" i="1"/>
  <c r="X333" i="1" s="1"/>
  <c r="V332" i="1"/>
  <c r="X332" i="1" s="1"/>
  <c r="V331" i="1"/>
  <c r="X331" i="1" s="1"/>
  <c r="V330" i="1"/>
  <c r="X330" i="1" s="1"/>
  <c r="V329" i="1"/>
  <c r="X329" i="1" s="1"/>
  <c r="V328" i="1"/>
  <c r="X328" i="1" s="1"/>
  <c r="V327" i="1"/>
  <c r="X327" i="1" s="1"/>
  <c r="V326" i="1"/>
  <c r="X326" i="1" s="1"/>
  <c r="V325" i="1"/>
  <c r="X325" i="1" s="1"/>
  <c r="V324" i="1"/>
  <c r="X324" i="1" s="1"/>
  <c r="V323" i="1"/>
  <c r="X323" i="1" s="1"/>
  <c r="V322" i="1"/>
  <c r="X322" i="1" s="1"/>
  <c r="V321" i="1"/>
  <c r="X321" i="1" s="1"/>
  <c r="V320" i="1"/>
  <c r="X320" i="1" s="1"/>
  <c r="V319" i="1"/>
  <c r="X319" i="1" s="1"/>
  <c r="V318" i="1"/>
  <c r="X318" i="1" s="1"/>
  <c r="V317" i="1"/>
  <c r="X317" i="1" s="1"/>
  <c r="V316" i="1"/>
  <c r="X316" i="1" s="1"/>
  <c r="V315" i="1"/>
  <c r="X315" i="1" s="1"/>
  <c r="V314" i="1"/>
  <c r="X314" i="1" s="1"/>
  <c r="V313" i="1"/>
  <c r="X313" i="1" s="1"/>
  <c r="V312" i="1"/>
  <c r="X312" i="1" s="1"/>
  <c r="V311" i="1"/>
  <c r="X311" i="1" s="1"/>
  <c r="V310" i="1"/>
  <c r="X310" i="1" s="1"/>
  <c r="V309" i="1"/>
  <c r="X309" i="1" s="1"/>
  <c r="V308" i="1"/>
  <c r="X308" i="1" s="1"/>
  <c r="V307" i="1"/>
  <c r="X307" i="1" s="1"/>
  <c r="V306" i="1"/>
  <c r="X306" i="1" s="1"/>
  <c r="V305" i="1"/>
  <c r="X305" i="1" s="1"/>
  <c r="V304" i="1"/>
  <c r="X304" i="1" s="1"/>
  <c r="V303" i="1"/>
  <c r="X303" i="1" s="1"/>
  <c r="V302" i="1"/>
  <c r="X302" i="1" s="1"/>
  <c r="V301" i="1"/>
  <c r="X301" i="1" s="1"/>
  <c r="V300" i="1"/>
  <c r="X300" i="1" s="1"/>
  <c r="V299" i="1"/>
  <c r="X299" i="1" s="1"/>
  <c r="V298" i="1"/>
  <c r="X298" i="1" s="1"/>
  <c r="V297" i="1"/>
  <c r="X297" i="1" s="1"/>
  <c r="V296" i="1"/>
  <c r="X296" i="1" s="1"/>
  <c r="V295" i="1"/>
  <c r="X295" i="1" s="1"/>
  <c r="V294" i="1"/>
  <c r="X294" i="1" s="1"/>
  <c r="V293" i="1"/>
  <c r="X293" i="1" s="1"/>
  <c r="V292" i="1"/>
  <c r="X292" i="1" s="1"/>
  <c r="V291" i="1"/>
  <c r="X291" i="1" s="1"/>
  <c r="V290" i="1"/>
  <c r="X290" i="1" s="1"/>
  <c r="V289" i="1"/>
  <c r="X289" i="1" s="1"/>
  <c r="V288" i="1"/>
  <c r="X288" i="1" s="1"/>
  <c r="V287" i="1"/>
  <c r="X287" i="1" s="1"/>
  <c r="V286" i="1"/>
  <c r="X286" i="1" s="1"/>
  <c r="V285" i="1"/>
  <c r="X285" i="1" s="1"/>
  <c r="V284" i="1"/>
  <c r="X284" i="1" s="1"/>
  <c r="V283" i="1"/>
  <c r="X283" i="1" s="1"/>
  <c r="V282" i="1"/>
  <c r="X282" i="1" s="1"/>
  <c r="V281" i="1"/>
  <c r="X281" i="1" s="1"/>
  <c r="V280" i="1"/>
  <c r="X280" i="1" s="1"/>
  <c r="V279" i="1"/>
  <c r="X279" i="1" s="1"/>
  <c r="V278" i="1"/>
  <c r="X278" i="1" s="1"/>
  <c r="V277" i="1"/>
  <c r="X277" i="1" s="1"/>
  <c r="V276" i="1"/>
  <c r="X276" i="1" s="1"/>
  <c r="V275" i="1"/>
  <c r="X275" i="1" s="1"/>
  <c r="V274" i="1"/>
  <c r="X274" i="1" s="1"/>
  <c r="V273" i="1"/>
  <c r="X273" i="1" s="1"/>
  <c r="V272" i="1"/>
  <c r="X272" i="1" s="1"/>
  <c r="V271" i="1"/>
  <c r="X271" i="1" s="1"/>
  <c r="V270" i="1"/>
  <c r="X270" i="1" s="1"/>
  <c r="V269" i="1"/>
  <c r="X269" i="1" s="1"/>
  <c r="V268" i="1"/>
  <c r="X268" i="1" s="1"/>
  <c r="V267" i="1"/>
  <c r="X267" i="1" s="1"/>
  <c r="V266" i="1"/>
  <c r="X266" i="1" s="1"/>
  <c r="V265" i="1"/>
  <c r="X265" i="1" s="1"/>
  <c r="V264" i="1"/>
  <c r="X264" i="1" s="1"/>
  <c r="V263" i="1"/>
  <c r="X263" i="1" s="1"/>
  <c r="V262" i="1"/>
  <c r="X262" i="1" s="1"/>
  <c r="V261" i="1"/>
  <c r="X261" i="1" s="1"/>
  <c r="V260" i="1"/>
  <c r="X260" i="1" s="1"/>
  <c r="V259" i="1"/>
  <c r="X259" i="1" s="1"/>
  <c r="V258" i="1"/>
  <c r="X258" i="1" s="1"/>
  <c r="V257" i="1"/>
  <c r="X257" i="1" s="1"/>
  <c r="V256" i="1"/>
  <c r="X256" i="1" s="1"/>
  <c r="V255" i="1"/>
  <c r="X255" i="1" s="1"/>
  <c r="V254" i="1"/>
  <c r="X254" i="1" s="1"/>
  <c r="V253" i="1"/>
  <c r="X253" i="1" s="1"/>
  <c r="V252" i="1"/>
  <c r="X252" i="1" s="1"/>
  <c r="V251" i="1"/>
  <c r="X251" i="1" s="1"/>
  <c r="V250" i="1"/>
  <c r="X250" i="1" s="1"/>
  <c r="V249" i="1"/>
  <c r="X249" i="1" s="1"/>
  <c r="V248" i="1"/>
  <c r="X248" i="1" s="1"/>
  <c r="V247" i="1"/>
  <c r="X247" i="1" s="1"/>
  <c r="V246" i="1"/>
  <c r="X246" i="1" s="1"/>
  <c r="V245" i="1"/>
  <c r="X245" i="1" s="1"/>
  <c r="V244" i="1"/>
  <c r="X244" i="1" s="1"/>
  <c r="V243" i="1"/>
  <c r="X243" i="1" s="1"/>
  <c r="V242" i="1"/>
  <c r="X242" i="1" s="1"/>
  <c r="V241" i="1"/>
  <c r="X241" i="1" s="1"/>
  <c r="V240" i="1"/>
  <c r="X240" i="1" s="1"/>
  <c r="V239" i="1"/>
  <c r="X239" i="1" s="1"/>
  <c r="V238" i="1"/>
  <c r="X238" i="1" s="1"/>
  <c r="V237" i="1"/>
  <c r="X237" i="1" s="1"/>
  <c r="V236" i="1"/>
  <c r="X236" i="1" s="1"/>
  <c r="V235" i="1"/>
  <c r="X235" i="1" s="1"/>
  <c r="V234" i="1"/>
  <c r="X234" i="1" s="1"/>
  <c r="V233" i="1"/>
  <c r="X233" i="1" s="1"/>
  <c r="V232" i="1"/>
  <c r="X232" i="1" s="1"/>
  <c r="V231" i="1"/>
  <c r="X231" i="1" s="1"/>
  <c r="V230" i="1"/>
  <c r="X230" i="1" s="1"/>
  <c r="V229" i="1"/>
  <c r="X229" i="1" s="1"/>
  <c r="V228" i="1"/>
  <c r="X228" i="1" s="1"/>
  <c r="V227" i="1"/>
  <c r="X227" i="1" s="1"/>
  <c r="V226" i="1"/>
  <c r="X226" i="1" s="1"/>
  <c r="V225" i="1"/>
  <c r="X225" i="1" s="1"/>
  <c r="V224" i="1"/>
  <c r="X224" i="1" s="1"/>
  <c r="V223" i="1"/>
  <c r="X223" i="1" s="1"/>
  <c r="V222" i="1"/>
  <c r="X222" i="1" s="1"/>
  <c r="V221" i="1"/>
  <c r="X221" i="1" s="1"/>
  <c r="V220" i="1"/>
  <c r="X220" i="1" s="1"/>
  <c r="V219" i="1"/>
  <c r="X219" i="1" s="1"/>
  <c r="V218" i="1"/>
  <c r="X218" i="1" s="1"/>
  <c r="V217" i="1"/>
  <c r="X217" i="1" s="1"/>
  <c r="V216" i="1"/>
  <c r="X216" i="1" s="1"/>
  <c r="V215" i="1"/>
  <c r="X215" i="1" s="1"/>
  <c r="V214" i="1"/>
  <c r="X214" i="1" s="1"/>
  <c r="V213" i="1"/>
  <c r="X213" i="1" s="1"/>
  <c r="V212" i="1"/>
  <c r="X212" i="1" s="1"/>
  <c r="V211" i="1"/>
  <c r="X211" i="1" s="1"/>
  <c r="V210" i="1"/>
  <c r="X210" i="1" s="1"/>
  <c r="V209" i="1"/>
  <c r="X209" i="1" s="1"/>
  <c r="V208" i="1"/>
  <c r="X208" i="1" s="1"/>
  <c r="V207" i="1"/>
  <c r="X207" i="1" s="1"/>
  <c r="V206" i="1"/>
  <c r="X206" i="1" s="1"/>
  <c r="V205" i="1"/>
  <c r="X205" i="1" s="1"/>
  <c r="V204" i="1"/>
  <c r="X204" i="1" s="1"/>
  <c r="V203" i="1"/>
  <c r="X203" i="1" s="1"/>
  <c r="V202" i="1"/>
  <c r="X202" i="1" s="1"/>
  <c r="V201" i="1"/>
  <c r="X201" i="1" s="1"/>
  <c r="V200" i="1"/>
  <c r="X200" i="1" s="1"/>
  <c r="V199" i="1"/>
  <c r="X199" i="1" s="1"/>
  <c r="V198" i="1"/>
  <c r="X198" i="1" s="1"/>
  <c r="V197" i="1"/>
  <c r="X197" i="1" s="1"/>
  <c r="V196" i="1"/>
  <c r="X196" i="1" s="1"/>
  <c r="V195" i="1"/>
  <c r="X195" i="1" s="1"/>
  <c r="V194" i="1"/>
  <c r="X194" i="1" s="1"/>
  <c r="V193" i="1"/>
  <c r="X193" i="1" s="1"/>
  <c r="V192" i="1"/>
  <c r="X192" i="1" s="1"/>
  <c r="V191" i="1"/>
  <c r="X191" i="1" s="1"/>
  <c r="V190" i="1"/>
  <c r="X190" i="1" s="1"/>
  <c r="V189" i="1"/>
  <c r="X189" i="1" s="1"/>
  <c r="V188" i="1"/>
  <c r="X188" i="1" s="1"/>
  <c r="V187" i="1"/>
  <c r="X187" i="1" s="1"/>
  <c r="V186" i="1"/>
  <c r="X186" i="1" s="1"/>
  <c r="V185" i="1"/>
  <c r="X185" i="1" s="1"/>
  <c r="V184" i="1"/>
  <c r="X184" i="1" s="1"/>
  <c r="V183" i="1"/>
  <c r="X183" i="1" s="1"/>
  <c r="V182" i="1"/>
  <c r="X182" i="1" s="1"/>
  <c r="V181" i="1"/>
  <c r="X181" i="1" s="1"/>
  <c r="V180" i="1"/>
  <c r="X180" i="1" s="1"/>
  <c r="V179" i="1"/>
  <c r="X179" i="1" s="1"/>
  <c r="V178" i="1"/>
  <c r="X178" i="1" s="1"/>
  <c r="V177" i="1"/>
  <c r="X177" i="1" s="1"/>
  <c r="V176" i="1"/>
  <c r="X176" i="1" s="1"/>
  <c r="V175" i="1"/>
  <c r="X175" i="1" s="1"/>
  <c r="V174" i="1"/>
  <c r="X174" i="1" s="1"/>
  <c r="V173" i="1"/>
  <c r="X173" i="1" s="1"/>
  <c r="V172" i="1"/>
  <c r="X172" i="1" s="1"/>
  <c r="V171" i="1"/>
  <c r="X171" i="1" s="1"/>
  <c r="V170" i="1"/>
  <c r="X170" i="1" s="1"/>
  <c r="V169" i="1"/>
  <c r="X169" i="1" s="1"/>
  <c r="V168" i="1"/>
  <c r="X168" i="1" s="1"/>
  <c r="V167" i="1"/>
  <c r="X167" i="1" s="1"/>
  <c r="V166" i="1"/>
  <c r="X166" i="1" s="1"/>
  <c r="V165" i="1"/>
  <c r="X165" i="1" s="1"/>
  <c r="V164" i="1"/>
  <c r="X164" i="1" s="1"/>
  <c r="V163" i="1"/>
  <c r="X163" i="1" s="1"/>
  <c r="V162" i="1"/>
  <c r="X162" i="1" s="1"/>
  <c r="V161" i="1"/>
  <c r="X161" i="1" s="1"/>
  <c r="V160" i="1"/>
  <c r="X160" i="1" s="1"/>
  <c r="V159" i="1"/>
  <c r="X159" i="1" s="1"/>
  <c r="V158" i="1"/>
  <c r="X158" i="1" s="1"/>
  <c r="V157" i="1"/>
  <c r="X157" i="1" s="1"/>
  <c r="V156" i="1"/>
  <c r="X156" i="1" s="1"/>
  <c r="V155" i="1"/>
  <c r="X155" i="1" s="1"/>
  <c r="V154" i="1"/>
  <c r="X154" i="1" s="1"/>
  <c r="V153" i="1"/>
  <c r="X153" i="1" s="1"/>
  <c r="V152" i="1"/>
  <c r="X152" i="1" s="1"/>
  <c r="V151" i="1"/>
  <c r="X151" i="1" s="1"/>
  <c r="V150" i="1"/>
  <c r="X150" i="1" s="1"/>
  <c r="V149" i="1"/>
  <c r="X149" i="1" s="1"/>
  <c r="V148" i="1"/>
  <c r="X148" i="1" s="1"/>
  <c r="V147" i="1"/>
  <c r="X147" i="1" s="1"/>
  <c r="V146" i="1"/>
  <c r="X146" i="1" s="1"/>
  <c r="V145" i="1"/>
  <c r="X145" i="1" s="1"/>
  <c r="V144" i="1"/>
  <c r="X144" i="1" s="1"/>
  <c r="V143" i="1"/>
  <c r="X143" i="1" s="1"/>
  <c r="V142" i="1"/>
  <c r="X142" i="1" s="1"/>
  <c r="V141" i="1"/>
  <c r="X141" i="1" s="1"/>
  <c r="V140" i="1"/>
  <c r="X140" i="1" s="1"/>
  <c r="V139" i="1"/>
  <c r="X139" i="1" s="1"/>
  <c r="V138" i="1"/>
  <c r="X138" i="1" s="1"/>
  <c r="V137" i="1"/>
  <c r="X137" i="1" s="1"/>
  <c r="V136" i="1"/>
  <c r="X136" i="1" s="1"/>
  <c r="V135" i="1"/>
  <c r="X135" i="1" s="1"/>
  <c r="V134" i="1"/>
  <c r="X134" i="1" s="1"/>
  <c r="V133" i="1"/>
  <c r="X133" i="1" s="1"/>
  <c r="V132" i="1"/>
  <c r="X132" i="1" s="1"/>
  <c r="V131" i="1"/>
  <c r="X131" i="1" s="1"/>
  <c r="V130" i="1"/>
  <c r="X130" i="1" s="1"/>
  <c r="V129" i="1"/>
  <c r="X129" i="1" s="1"/>
  <c r="V128" i="1"/>
  <c r="X128" i="1" s="1"/>
  <c r="V127" i="1"/>
  <c r="X127" i="1" s="1"/>
  <c r="V126" i="1"/>
  <c r="X126" i="1" s="1"/>
  <c r="V125" i="1"/>
  <c r="X125" i="1" s="1"/>
  <c r="V124" i="1"/>
  <c r="X124" i="1" s="1"/>
  <c r="V123" i="1"/>
  <c r="X123" i="1" s="1"/>
  <c r="V122" i="1"/>
  <c r="X122" i="1" s="1"/>
  <c r="V121" i="1"/>
  <c r="X121" i="1" s="1"/>
  <c r="V120" i="1"/>
  <c r="X120" i="1" s="1"/>
  <c r="V119" i="1"/>
  <c r="X119" i="1" s="1"/>
  <c r="V118" i="1"/>
  <c r="X118" i="1" s="1"/>
  <c r="V117" i="1"/>
  <c r="X117" i="1" s="1"/>
  <c r="V116" i="1"/>
  <c r="X116" i="1" s="1"/>
  <c r="V115" i="1"/>
  <c r="X115" i="1" s="1"/>
  <c r="V114" i="1"/>
  <c r="X114" i="1" s="1"/>
  <c r="V113" i="1"/>
  <c r="X113" i="1" s="1"/>
  <c r="V112" i="1"/>
  <c r="X112" i="1" s="1"/>
  <c r="V111" i="1"/>
  <c r="X111" i="1" s="1"/>
  <c r="V110" i="1"/>
  <c r="X110" i="1" s="1"/>
  <c r="V109" i="1"/>
  <c r="X109" i="1" s="1"/>
  <c r="V108" i="1"/>
  <c r="X108" i="1" s="1"/>
  <c r="V107" i="1"/>
  <c r="X107" i="1" s="1"/>
  <c r="V106" i="1"/>
  <c r="X106" i="1" s="1"/>
  <c r="V105" i="1"/>
  <c r="X105" i="1" s="1"/>
  <c r="V104" i="1"/>
  <c r="X104" i="1" s="1"/>
  <c r="V103" i="1"/>
  <c r="X103" i="1" s="1"/>
  <c r="V102" i="1"/>
  <c r="X102" i="1" s="1"/>
  <c r="V101" i="1"/>
  <c r="X101" i="1" s="1"/>
  <c r="V100" i="1"/>
  <c r="X100" i="1" s="1"/>
  <c r="V99" i="1"/>
  <c r="X99" i="1" s="1"/>
  <c r="V98" i="1"/>
  <c r="X98" i="1" s="1"/>
  <c r="V97" i="1"/>
  <c r="X97" i="1" s="1"/>
  <c r="V96" i="1"/>
  <c r="X96" i="1" s="1"/>
  <c r="V95" i="1"/>
  <c r="X95" i="1" s="1"/>
  <c r="V94" i="1"/>
  <c r="X94" i="1" s="1"/>
  <c r="V93" i="1"/>
  <c r="X93" i="1" s="1"/>
  <c r="V92" i="1"/>
  <c r="X92" i="1" s="1"/>
  <c r="V91" i="1"/>
  <c r="X91" i="1" s="1"/>
  <c r="V90" i="1"/>
  <c r="X90" i="1" s="1"/>
  <c r="V89" i="1"/>
  <c r="X89" i="1" s="1"/>
  <c r="V88" i="1"/>
  <c r="X88" i="1" s="1"/>
  <c r="V87" i="1"/>
  <c r="X87" i="1" s="1"/>
  <c r="V86" i="1"/>
  <c r="X86" i="1" s="1"/>
  <c r="V85" i="1"/>
  <c r="X85" i="1" s="1"/>
  <c r="V84" i="1"/>
  <c r="X84" i="1" s="1"/>
  <c r="V83" i="1"/>
  <c r="X83" i="1" s="1"/>
  <c r="V82" i="1"/>
  <c r="X82" i="1" s="1"/>
  <c r="V81" i="1"/>
  <c r="X81" i="1" s="1"/>
  <c r="V80" i="1"/>
  <c r="X80" i="1" s="1"/>
  <c r="V79" i="1"/>
  <c r="X79" i="1" s="1"/>
  <c r="V78" i="1"/>
  <c r="X78" i="1" s="1"/>
  <c r="V77" i="1"/>
  <c r="X77" i="1" s="1"/>
  <c r="V76" i="1"/>
  <c r="X76" i="1" s="1"/>
  <c r="V75" i="1"/>
  <c r="X75" i="1" s="1"/>
  <c r="V74" i="1"/>
  <c r="X74" i="1" s="1"/>
  <c r="V73" i="1"/>
  <c r="X73" i="1" s="1"/>
  <c r="V72" i="1"/>
  <c r="X72" i="1" s="1"/>
  <c r="V71" i="1"/>
  <c r="X71" i="1" s="1"/>
  <c r="V70" i="1"/>
  <c r="X70" i="1" s="1"/>
  <c r="V69" i="1"/>
  <c r="X69" i="1" s="1"/>
  <c r="V68" i="1"/>
  <c r="X68" i="1" s="1"/>
  <c r="V67" i="1"/>
  <c r="X67" i="1" s="1"/>
  <c r="V66" i="1"/>
  <c r="X66" i="1" s="1"/>
  <c r="V65" i="1"/>
  <c r="X65" i="1" s="1"/>
  <c r="V64" i="1"/>
  <c r="X64" i="1" s="1"/>
  <c r="V63" i="1"/>
  <c r="X63" i="1" s="1"/>
  <c r="V62" i="1"/>
  <c r="X62" i="1" s="1"/>
  <c r="V61" i="1"/>
  <c r="X61" i="1" s="1"/>
  <c r="V60" i="1"/>
  <c r="X60" i="1" s="1"/>
  <c r="V59" i="1"/>
  <c r="X59" i="1" s="1"/>
  <c r="V58" i="1"/>
  <c r="X58" i="1" s="1"/>
  <c r="V57" i="1"/>
  <c r="X57" i="1" s="1"/>
  <c r="V56" i="1"/>
  <c r="X56" i="1" s="1"/>
  <c r="V55" i="1"/>
  <c r="X55" i="1" s="1"/>
  <c r="V54" i="1"/>
  <c r="X54" i="1" s="1"/>
  <c r="V53" i="1"/>
  <c r="X53" i="1" s="1"/>
  <c r="V52" i="1"/>
  <c r="X52" i="1" s="1"/>
  <c r="V51" i="1"/>
  <c r="X51" i="1" s="1"/>
  <c r="V50" i="1"/>
  <c r="X50" i="1" s="1"/>
  <c r="V49" i="1"/>
  <c r="X49" i="1" s="1"/>
  <c r="V48" i="1"/>
  <c r="X48" i="1" s="1"/>
  <c r="V47" i="1"/>
  <c r="X47" i="1" s="1"/>
  <c r="V46" i="1"/>
  <c r="X46" i="1" s="1"/>
  <c r="V45" i="1"/>
  <c r="X45" i="1" s="1"/>
  <c r="V44" i="1"/>
  <c r="X44" i="1" s="1"/>
  <c r="V43" i="1"/>
  <c r="X43" i="1" s="1"/>
  <c r="V42" i="1"/>
  <c r="X42" i="1" s="1"/>
  <c r="V41" i="1"/>
  <c r="X41" i="1" s="1"/>
  <c r="V40" i="1"/>
  <c r="X40" i="1" s="1"/>
  <c r="V39" i="1"/>
  <c r="X39" i="1" s="1"/>
  <c r="V38" i="1"/>
  <c r="X38" i="1" s="1"/>
  <c r="V37" i="1"/>
  <c r="X37" i="1" s="1"/>
  <c r="V36" i="1"/>
  <c r="X36" i="1" s="1"/>
  <c r="V35" i="1"/>
  <c r="X35" i="1" s="1"/>
  <c r="V34" i="1"/>
  <c r="X34" i="1" s="1"/>
  <c r="V33" i="1"/>
  <c r="X33" i="1" s="1"/>
  <c r="V32" i="1"/>
  <c r="X32" i="1" s="1"/>
  <c r="V31" i="1"/>
  <c r="X31" i="1" s="1"/>
  <c r="V30" i="1"/>
  <c r="X30" i="1" s="1"/>
  <c r="V29" i="1"/>
  <c r="X29" i="1" s="1"/>
  <c r="V28" i="1"/>
  <c r="X28" i="1" s="1"/>
  <c r="V27" i="1"/>
  <c r="X27" i="1" s="1"/>
  <c r="V26" i="1"/>
  <c r="X26" i="1" s="1"/>
  <c r="V25" i="1"/>
  <c r="X25" i="1" s="1"/>
  <c r="V24" i="1"/>
  <c r="X24" i="1" s="1"/>
  <c r="V23" i="1"/>
  <c r="X23" i="1" s="1"/>
  <c r="V22" i="1"/>
  <c r="X22" i="1" s="1"/>
  <c r="V21" i="1"/>
  <c r="X21" i="1" s="1"/>
  <c r="V20" i="1"/>
  <c r="X20" i="1" s="1"/>
  <c r="V19" i="1"/>
  <c r="X19" i="1" s="1"/>
  <c r="V18" i="1"/>
  <c r="X18" i="1" s="1"/>
  <c r="V17" i="1"/>
  <c r="X17" i="1" s="1"/>
  <c r="V16" i="1"/>
  <c r="X16" i="1" s="1"/>
  <c r="V15" i="1"/>
  <c r="X15" i="1" s="1"/>
  <c r="V14" i="1"/>
  <c r="X14" i="1" s="1"/>
  <c r="V13" i="1"/>
  <c r="X13" i="1" s="1"/>
  <c r="V12" i="1"/>
  <c r="X12" i="1" s="1"/>
  <c r="V11" i="1"/>
  <c r="X11" i="1" s="1"/>
  <c r="X10" i="1"/>
  <c r="V9" i="1"/>
  <c r="X9" i="1" s="1"/>
  <c r="V8" i="1"/>
  <c r="X8" i="1" s="1"/>
  <c r="V7" i="1"/>
  <c r="X7" i="1" s="1"/>
  <c r="V6" i="1"/>
  <c r="X6" i="1" s="1"/>
  <c r="V5" i="1"/>
  <c r="X5" i="1" s="1"/>
  <c r="V4" i="1"/>
  <c r="X4" i="1" s="1"/>
  <c r="V3" i="1"/>
  <c r="X3" i="1" s="1"/>
  <c r="U260" i="1"/>
  <c r="U259" i="1"/>
  <c r="S1259" i="1"/>
  <c r="U1259" i="1" s="1"/>
  <c r="S1258" i="1"/>
  <c r="U1258" i="1" s="1"/>
  <c r="S1257" i="1"/>
  <c r="U1257" i="1" s="1"/>
  <c r="S1256" i="1"/>
  <c r="U1256" i="1" s="1"/>
  <c r="S1255" i="1"/>
  <c r="U1255" i="1" s="1"/>
  <c r="S1245" i="1"/>
  <c r="U1245" i="1" s="1"/>
  <c r="S1236" i="1"/>
  <c r="U1236" i="1" s="1"/>
  <c r="S1235" i="1"/>
  <c r="U1235" i="1" s="1"/>
  <c r="S1234" i="1"/>
  <c r="U1234" i="1" s="1"/>
  <c r="S1233" i="1"/>
  <c r="U1233" i="1" s="1"/>
  <c r="S1232" i="1"/>
  <c r="U1232" i="1" s="1"/>
  <c r="S1227" i="1"/>
  <c r="U1227" i="1" s="1"/>
  <c r="S1226" i="1"/>
  <c r="U1226" i="1" s="1"/>
  <c r="S1213" i="1"/>
  <c r="U1213" i="1" s="1"/>
  <c r="S1210" i="1"/>
  <c r="U1210" i="1" s="1"/>
  <c r="S1202" i="1"/>
  <c r="U1202" i="1" s="1"/>
  <c r="S1199" i="1"/>
  <c r="U1199" i="1" s="1"/>
  <c r="S1198" i="1"/>
  <c r="U1198" i="1" s="1"/>
  <c r="S1197" i="1"/>
  <c r="U1197" i="1" s="1"/>
  <c r="S1196" i="1"/>
  <c r="U1196" i="1" s="1"/>
  <c r="S1195" i="1"/>
  <c r="U1195" i="1" s="1"/>
  <c r="S1194" i="1"/>
  <c r="U1194" i="1" s="1"/>
  <c r="S1193" i="1"/>
  <c r="U1193" i="1" s="1"/>
  <c r="S1192" i="1"/>
  <c r="U1192" i="1" s="1"/>
  <c r="S1185" i="1"/>
  <c r="U1185" i="1" s="1"/>
  <c r="S1184" i="1"/>
  <c r="U1184" i="1" s="1"/>
  <c r="S1182" i="1"/>
  <c r="U1182" i="1" s="1"/>
  <c r="S1176" i="1"/>
  <c r="U1176" i="1" s="1"/>
  <c r="S1175" i="1"/>
  <c r="U1175" i="1" s="1"/>
  <c r="S1168" i="1"/>
  <c r="U1168" i="1" s="1"/>
  <c r="S1167" i="1"/>
  <c r="U1167" i="1" s="1"/>
  <c r="S1160" i="1"/>
  <c r="U1160" i="1" s="1"/>
  <c r="S1159" i="1"/>
  <c r="U1159" i="1" s="1"/>
  <c r="S1158" i="1"/>
  <c r="U1158" i="1" s="1"/>
  <c r="S1154" i="1"/>
  <c r="U1154" i="1" s="1"/>
  <c r="S1153" i="1"/>
  <c r="U1153" i="1" s="1"/>
  <c r="S1146" i="1"/>
  <c r="U1146" i="1" s="1"/>
  <c r="S1119" i="1"/>
  <c r="S1117" i="1"/>
  <c r="S1116" i="1"/>
  <c r="S1115" i="1"/>
  <c r="S1113" i="1"/>
  <c r="S1107" i="1"/>
  <c r="S1106" i="1"/>
  <c r="S1104" i="1"/>
  <c r="S1090" i="1"/>
  <c r="S1081" i="1"/>
  <c r="S1080" i="1"/>
  <c r="S1079" i="1"/>
  <c r="S1078" i="1"/>
  <c r="S1071" i="1"/>
  <c r="S1064" i="1"/>
  <c r="S1063" i="1"/>
  <c r="S1062" i="1"/>
  <c r="S1061" i="1"/>
  <c r="S1057" i="1"/>
  <c r="S1056" i="1"/>
  <c r="S1052" i="1"/>
  <c r="S1048" i="1"/>
  <c r="S1036" i="1"/>
  <c r="U1036" i="1" s="1"/>
  <c r="S1033" i="1"/>
  <c r="S1026" i="1"/>
  <c r="S1025" i="1"/>
  <c r="S1024" i="1"/>
  <c r="S1022" i="1"/>
  <c r="S1016" i="1"/>
  <c r="S1011" i="1"/>
  <c r="U1011" i="1" s="1"/>
  <c r="S1010" i="1"/>
  <c r="U1010" i="1" s="1"/>
  <c r="S1007" i="1"/>
  <c r="U1007" i="1" s="1"/>
  <c r="S1006" i="1"/>
  <c r="U1006" i="1" s="1"/>
  <c r="S1005" i="1"/>
  <c r="U1005" i="1" s="1"/>
  <c r="S1004" i="1"/>
  <c r="U1004" i="1" s="1"/>
  <c r="S999" i="1"/>
  <c r="S998" i="1"/>
  <c r="S997" i="1"/>
  <c r="S996" i="1"/>
  <c r="S995" i="1"/>
  <c r="S994" i="1"/>
  <c r="S988" i="1"/>
  <c r="S983" i="1"/>
  <c r="S982" i="1"/>
  <c r="S981" i="1"/>
  <c r="S980" i="1"/>
  <c r="S979" i="1"/>
  <c r="S973" i="1"/>
  <c r="S972" i="1"/>
  <c r="S966" i="1"/>
  <c r="S964" i="1"/>
  <c r="S963" i="1"/>
  <c r="S962" i="1"/>
  <c r="S943" i="1"/>
  <c r="S938" i="1"/>
  <c r="S934" i="1"/>
  <c r="S933" i="1"/>
  <c r="S932" i="1"/>
  <c r="S923" i="1"/>
  <c r="S915" i="1"/>
  <c r="S910" i="1"/>
  <c r="S862" i="1"/>
  <c r="S861" i="1"/>
  <c r="S857" i="1"/>
  <c r="S856" i="1"/>
  <c r="S855" i="1"/>
  <c r="S851" i="1"/>
  <c r="S850" i="1"/>
  <c r="S845" i="1"/>
  <c r="S844" i="1"/>
  <c r="S836" i="1"/>
  <c r="S825" i="1"/>
  <c r="S813" i="1"/>
  <c r="S809" i="1"/>
  <c r="S808" i="1"/>
  <c r="S807" i="1"/>
  <c r="S806" i="1"/>
  <c r="S801" i="1"/>
  <c r="S800" i="1"/>
  <c r="S799" i="1"/>
  <c r="S792" i="1"/>
  <c r="S789" i="1"/>
  <c r="S784" i="1"/>
  <c r="S783" i="1"/>
  <c r="S782" i="1"/>
  <c r="S767" i="1"/>
  <c r="S766" i="1"/>
  <c r="S765" i="1"/>
  <c r="S758" i="1"/>
  <c r="S753" i="1"/>
  <c r="S747" i="1"/>
  <c r="S746" i="1"/>
  <c r="U745" i="1"/>
  <c r="U729" i="1"/>
  <c r="U721" i="1"/>
  <c r="U720" i="1"/>
  <c r="U719" i="1"/>
  <c r="S718" i="1"/>
  <c r="S717" i="1"/>
  <c r="S716" i="1"/>
  <c r="S714" i="1"/>
  <c r="S698" i="1"/>
  <c r="S696" i="1"/>
  <c r="S695" i="1"/>
  <c r="S679" i="1"/>
  <c r="U679" i="1" s="1"/>
  <c r="S678" i="1"/>
  <c r="U678" i="1" s="1"/>
  <c r="S677" i="1"/>
  <c r="U677" i="1" s="1"/>
  <c r="S676" i="1"/>
  <c r="U676" i="1" s="1"/>
  <c r="S672" i="1"/>
  <c r="U672" i="1" s="1"/>
  <c r="S669" i="1"/>
  <c r="U669" i="1" s="1"/>
  <c r="S660" i="1"/>
  <c r="U660" i="1" s="1"/>
  <c r="S650" i="1"/>
  <c r="U650" i="1" s="1"/>
  <c r="S646" i="1"/>
  <c r="U646" i="1" s="1"/>
  <c r="S635" i="1"/>
  <c r="U635" i="1" s="1"/>
  <c r="S634" i="1"/>
  <c r="U634" i="1" s="1"/>
  <c r="S633" i="1"/>
  <c r="U633" i="1" s="1"/>
  <c r="S622" i="1"/>
  <c r="U622" i="1" s="1"/>
  <c r="S619" i="1"/>
  <c r="U619" i="1" s="1"/>
  <c r="S613" i="1"/>
  <c r="U613" i="1" s="1"/>
  <c r="S603" i="1"/>
  <c r="U603" i="1" s="1"/>
  <c r="S581" i="1"/>
  <c r="U581" i="1" s="1"/>
  <c r="S580" i="1"/>
  <c r="U580" i="1" s="1"/>
  <c r="S579" i="1"/>
  <c r="U579" i="1" s="1"/>
  <c r="S578" i="1"/>
  <c r="U578" i="1" s="1"/>
  <c r="S575" i="1"/>
  <c r="U575" i="1" s="1"/>
  <c r="S568" i="1"/>
  <c r="U568" i="1" s="1"/>
  <c r="S565" i="1"/>
  <c r="U565" i="1" s="1"/>
  <c r="S554" i="1"/>
  <c r="U554" i="1" s="1"/>
  <c r="S553" i="1"/>
  <c r="U553" i="1" s="1"/>
  <c r="S552" i="1"/>
  <c r="U552" i="1" s="1"/>
  <c r="S551" i="1"/>
  <c r="U551" i="1" s="1"/>
  <c r="S546" i="1"/>
  <c r="U546" i="1" s="1"/>
  <c r="S531" i="1"/>
  <c r="U531" i="1" s="1"/>
  <c r="S519" i="1"/>
  <c r="U519" i="1" s="1"/>
  <c r="S518" i="1"/>
  <c r="U518" i="1" s="1"/>
  <c r="S503" i="1"/>
  <c r="U503" i="1" s="1"/>
  <c r="S495" i="1"/>
  <c r="U495" i="1" s="1"/>
  <c r="S482" i="1"/>
  <c r="U482" i="1" s="1"/>
  <c r="S481" i="1"/>
  <c r="U481" i="1" s="1"/>
  <c r="S480" i="1"/>
  <c r="U480" i="1" s="1"/>
  <c r="S479" i="1"/>
  <c r="U479" i="1" s="1"/>
  <c r="S478" i="1"/>
  <c r="U478" i="1" s="1"/>
  <c r="S477" i="1"/>
  <c r="U477" i="1" s="1"/>
  <c r="S476" i="1"/>
  <c r="U476" i="1" s="1"/>
  <c r="S469" i="1"/>
  <c r="U469" i="1" s="1"/>
  <c r="S466" i="1"/>
  <c r="U466" i="1" s="1"/>
  <c r="S459" i="1"/>
  <c r="U459" i="1" s="1"/>
  <c r="S458" i="1"/>
  <c r="U458" i="1" s="1"/>
  <c r="S457" i="1"/>
  <c r="U457" i="1" s="1"/>
  <c r="S453" i="1"/>
  <c r="U453" i="1" s="1"/>
  <c r="S452" i="1"/>
  <c r="U452" i="1" s="1"/>
  <c r="S451" i="1"/>
  <c r="U451" i="1" s="1"/>
  <c r="S436" i="1"/>
  <c r="U436" i="1" s="1"/>
  <c r="S435" i="1"/>
  <c r="U435" i="1" s="1"/>
  <c r="S434" i="1"/>
  <c r="U434" i="1" s="1"/>
  <c r="S433" i="1"/>
  <c r="U433" i="1" s="1"/>
  <c r="S429" i="1"/>
  <c r="U429" i="1" s="1"/>
  <c r="S428" i="1"/>
  <c r="U428" i="1" s="1"/>
  <c r="S421" i="1"/>
  <c r="U421" i="1" s="1"/>
  <c r="S393" i="1"/>
  <c r="U393" i="1" s="1"/>
  <c r="S392" i="1"/>
  <c r="U392" i="1" s="1"/>
  <c r="S390" i="1"/>
  <c r="U390" i="1" s="1"/>
  <c r="S389" i="1"/>
  <c r="U389" i="1" s="1"/>
  <c r="S387" i="1"/>
  <c r="U387" i="1" s="1"/>
  <c r="S386" i="1"/>
  <c r="U386" i="1" s="1"/>
  <c r="S385" i="1"/>
  <c r="U385" i="1" s="1"/>
  <c r="S382" i="1"/>
  <c r="U382" i="1" s="1"/>
  <c r="S379" i="1"/>
  <c r="U379" i="1" s="1"/>
  <c r="S376" i="1"/>
  <c r="U376" i="1" s="1"/>
  <c r="S375" i="1"/>
  <c r="U375" i="1" s="1"/>
  <c r="S374" i="1"/>
  <c r="U374" i="1" s="1"/>
  <c r="S373" i="1"/>
  <c r="U373" i="1" s="1"/>
  <c r="S371" i="1"/>
  <c r="U371" i="1" s="1"/>
  <c r="S370" i="1"/>
  <c r="U370" i="1" s="1"/>
  <c r="P1259" i="1"/>
  <c r="R1259" i="1" s="1"/>
  <c r="P1258" i="1"/>
  <c r="R1258" i="1" s="1"/>
  <c r="P1257" i="1"/>
  <c r="R1257" i="1" s="1"/>
  <c r="P1256" i="1"/>
  <c r="R1256" i="1" s="1"/>
  <c r="P1255" i="1"/>
  <c r="R1255" i="1" s="1"/>
  <c r="P1245" i="1"/>
  <c r="R1245" i="1" s="1"/>
  <c r="P1236" i="1"/>
  <c r="R1236" i="1" s="1"/>
  <c r="P1235" i="1"/>
  <c r="R1235" i="1" s="1"/>
  <c r="P1234" i="1"/>
  <c r="R1234" i="1" s="1"/>
  <c r="P1233" i="1"/>
  <c r="R1233" i="1" s="1"/>
  <c r="P1232" i="1"/>
  <c r="R1232" i="1" s="1"/>
  <c r="P1227" i="1"/>
  <c r="R1227" i="1" s="1"/>
  <c r="P1226" i="1"/>
  <c r="R1226" i="1" s="1"/>
  <c r="P1213" i="1"/>
  <c r="R1213" i="1" s="1"/>
  <c r="P1210" i="1"/>
  <c r="R1210" i="1" s="1"/>
  <c r="P1202" i="1"/>
  <c r="R1202" i="1" s="1"/>
  <c r="P1199" i="1"/>
  <c r="R1199" i="1" s="1"/>
  <c r="P1198" i="1"/>
  <c r="R1198" i="1" s="1"/>
  <c r="P1197" i="1"/>
  <c r="R1197" i="1" s="1"/>
  <c r="P1196" i="1"/>
  <c r="R1196" i="1" s="1"/>
  <c r="P1195" i="1"/>
  <c r="R1195" i="1" s="1"/>
  <c r="P1194" i="1"/>
  <c r="R1194" i="1" s="1"/>
  <c r="P1193" i="1"/>
  <c r="R1193" i="1" s="1"/>
  <c r="P1192" i="1"/>
  <c r="R1192" i="1" s="1"/>
  <c r="P1185" i="1"/>
  <c r="R1185" i="1" s="1"/>
  <c r="P1184" i="1"/>
  <c r="R1184" i="1" s="1"/>
  <c r="P1182" i="1"/>
  <c r="R1182" i="1" s="1"/>
  <c r="P1176" i="1"/>
  <c r="R1176" i="1" s="1"/>
  <c r="P1175" i="1"/>
  <c r="R1175" i="1" s="1"/>
  <c r="P1168" i="1"/>
  <c r="R1168" i="1" s="1"/>
  <c r="P1167" i="1"/>
  <c r="R1167" i="1" s="1"/>
  <c r="P1160" i="1"/>
  <c r="R1160" i="1" s="1"/>
  <c r="P1159" i="1"/>
  <c r="R1159" i="1" s="1"/>
  <c r="P1158" i="1"/>
  <c r="R1158" i="1" s="1"/>
  <c r="P1154" i="1"/>
  <c r="R1154" i="1" s="1"/>
  <c r="P1153" i="1"/>
  <c r="R1153" i="1" s="1"/>
  <c r="P1146" i="1"/>
  <c r="P1119" i="1"/>
  <c r="P1117" i="1"/>
  <c r="P1116" i="1"/>
  <c r="P1115" i="1"/>
  <c r="P1113" i="1"/>
  <c r="P1107" i="1"/>
  <c r="P1106" i="1"/>
  <c r="P1104" i="1"/>
  <c r="P1090" i="1"/>
  <c r="P1081" i="1"/>
  <c r="P1080" i="1"/>
  <c r="P1079" i="1"/>
  <c r="P1078" i="1"/>
  <c r="P1071" i="1"/>
  <c r="P1064" i="1"/>
  <c r="P1063" i="1"/>
  <c r="P1062" i="1"/>
  <c r="P1061" i="1"/>
  <c r="P1057" i="1"/>
  <c r="P1056" i="1"/>
  <c r="P1052" i="1"/>
  <c r="P1048" i="1"/>
  <c r="P1036" i="1"/>
  <c r="P1033" i="1"/>
  <c r="P1026" i="1"/>
  <c r="P1025" i="1"/>
  <c r="P1024" i="1"/>
  <c r="P1022" i="1"/>
  <c r="P1016" i="1"/>
  <c r="P1011" i="1"/>
  <c r="P1010" i="1"/>
  <c r="P1007" i="1"/>
  <c r="P1006" i="1"/>
  <c r="P1005" i="1"/>
  <c r="P1004" i="1"/>
  <c r="P999" i="1"/>
  <c r="P998" i="1"/>
  <c r="P997" i="1"/>
  <c r="P996" i="1"/>
  <c r="P995" i="1"/>
  <c r="P994" i="1"/>
  <c r="P988" i="1"/>
  <c r="P983" i="1"/>
  <c r="P982" i="1"/>
  <c r="P981" i="1"/>
  <c r="P980" i="1"/>
  <c r="P979" i="1"/>
  <c r="P973" i="1"/>
  <c r="P972" i="1"/>
  <c r="P966" i="1"/>
  <c r="P964" i="1"/>
  <c r="P963" i="1"/>
  <c r="P962" i="1"/>
  <c r="P943" i="1"/>
  <c r="P938" i="1"/>
  <c r="P934" i="1"/>
  <c r="P933" i="1"/>
  <c r="P932" i="1"/>
  <c r="P923" i="1"/>
  <c r="P915" i="1"/>
  <c r="P910" i="1"/>
  <c r="P862" i="1"/>
  <c r="P861" i="1"/>
  <c r="P857" i="1"/>
  <c r="P856" i="1"/>
  <c r="P855" i="1"/>
  <c r="P851" i="1"/>
  <c r="P850" i="1"/>
  <c r="P845" i="1"/>
  <c r="P844" i="1"/>
  <c r="P836" i="1"/>
  <c r="P813" i="1"/>
  <c r="P809" i="1"/>
  <c r="P808" i="1"/>
  <c r="P807" i="1"/>
  <c r="P806" i="1"/>
  <c r="P801" i="1"/>
  <c r="P800" i="1"/>
  <c r="P799" i="1"/>
  <c r="P792" i="1"/>
  <c r="P789" i="1"/>
  <c r="P784" i="1"/>
  <c r="P783" i="1"/>
  <c r="P782" i="1"/>
  <c r="P767" i="1"/>
  <c r="P766" i="1"/>
  <c r="P765" i="1"/>
  <c r="P758" i="1"/>
  <c r="P753" i="1"/>
  <c r="P747" i="1"/>
  <c r="P746" i="1"/>
  <c r="P745" i="1"/>
  <c r="P729" i="1"/>
  <c r="P721" i="1"/>
  <c r="P720" i="1"/>
  <c r="P719" i="1"/>
  <c r="P718" i="1"/>
  <c r="P717" i="1"/>
  <c r="P716" i="1"/>
  <c r="P714" i="1"/>
  <c r="P698" i="1"/>
  <c r="P696" i="1"/>
  <c r="P695" i="1"/>
  <c r="P679" i="1"/>
  <c r="R679" i="1" s="1"/>
  <c r="P678" i="1"/>
  <c r="R678" i="1" s="1"/>
  <c r="P677" i="1"/>
  <c r="R677" i="1" s="1"/>
  <c r="P676" i="1"/>
  <c r="R676" i="1" s="1"/>
  <c r="P672" i="1"/>
  <c r="R672" i="1" s="1"/>
  <c r="P669" i="1"/>
  <c r="R669" i="1" s="1"/>
  <c r="P660" i="1"/>
  <c r="R660" i="1" s="1"/>
  <c r="P650" i="1"/>
  <c r="R650" i="1" s="1"/>
  <c r="P646" i="1"/>
  <c r="R646" i="1" s="1"/>
  <c r="P635" i="1"/>
  <c r="R635" i="1" s="1"/>
  <c r="P634" i="1"/>
  <c r="R634" i="1" s="1"/>
  <c r="P633" i="1"/>
  <c r="R633" i="1" s="1"/>
  <c r="P622" i="1"/>
  <c r="R622" i="1" s="1"/>
  <c r="P619" i="1"/>
  <c r="R619" i="1" s="1"/>
  <c r="P613" i="1"/>
  <c r="R613" i="1" s="1"/>
  <c r="P603" i="1"/>
  <c r="R603" i="1" s="1"/>
  <c r="P581" i="1"/>
  <c r="R581" i="1" s="1"/>
  <c r="P580" i="1"/>
  <c r="R580" i="1" s="1"/>
  <c r="P579" i="1"/>
  <c r="R579" i="1" s="1"/>
  <c r="P578" i="1"/>
  <c r="R578" i="1" s="1"/>
  <c r="P575" i="1"/>
  <c r="R575" i="1" s="1"/>
  <c r="P568" i="1"/>
  <c r="R568" i="1" s="1"/>
  <c r="P565" i="1"/>
  <c r="R565" i="1" s="1"/>
  <c r="P554" i="1"/>
  <c r="R554" i="1" s="1"/>
  <c r="P553" i="1"/>
  <c r="R553" i="1" s="1"/>
  <c r="P552" i="1"/>
  <c r="R552" i="1" s="1"/>
  <c r="P551" i="1"/>
  <c r="R551" i="1" s="1"/>
  <c r="P546" i="1"/>
  <c r="R546" i="1" s="1"/>
  <c r="P531" i="1"/>
  <c r="R531" i="1" s="1"/>
  <c r="P519" i="1"/>
  <c r="R519" i="1" s="1"/>
  <c r="P518" i="1"/>
  <c r="R518" i="1" s="1"/>
  <c r="P503" i="1"/>
  <c r="R503" i="1" s="1"/>
  <c r="P495" i="1"/>
  <c r="R495" i="1" s="1"/>
  <c r="P482" i="1"/>
  <c r="R482" i="1" s="1"/>
  <c r="P481" i="1"/>
  <c r="R481" i="1" s="1"/>
  <c r="P480" i="1"/>
  <c r="R480" i="1" s="1"/>
  <c r="P479" i="1"/>
  <c r="R479" i="1" s="1"/>
  <c r="P478" i="1"/>
  <c r="R478" i="1" s="1"/>
  <c r="P477" i="1"/>
  <c r="R477" i="1" s="1"/>
  <c r="P476" i="1"/>
  <c r="R476" i="1" s="1"/>
  <c r="P469" i="1"/>
  <c r="R469" i="1" s="1"/>
  <c r="P466" i="1"/>
  <c r="R466" i="1" s="1"/>
  <c r="P459" i="1"/>
  <c r="R459" i="1" s="1"/>
  <c r="P458" i="1"/>
  <c r="R458" i="1" s="1"/>
  <c r="P457" i="1"/>
  <c r="R457" i="1" s="1"/>
  <c r="P453" i="1"/>
  <c r="R453" i="1" s="1"/>
  <c r="P452" i="1"/>
  <c r="R452" i="1" s="1"/>
  <c r="P451" i="1"/>
  <c r="R451" i="1" s="1"/>
  <c r="M479" i="1"/>
  <c r="O479" i="1" s="1"/>
  <c r="M478" i="1"/>
  <c r="O478" i="1" s="1"/>
  <c r="M477" i="1"/>
  <c r="O477" i="1" s="1"/>
  <c r="M476" i="1"/>
  <c r="O476" i="1" s="1"/>
  <c r="M469" i="1"/>
  <c r="O469" i="1" s="1"/>
  <c r="M466" i="1"/>
  <c r="O466" i="1" s="1"/>
  <c r="M459" i="1"/>
  <c r="O459" i="1" s="1"/>
  <c r="M458" i="1"/>
  <c r="O458" i="1" s="1"/>
  <c r="M457" i="1"/>
  <c r="O457" i="1" s="1"/>
  <c r="M453" i="1"/>
  <c r="O453" i="1" s="1"/>
  <c r="M452" i="1"/>
  <c r="O452" i="1" s="1"/>
  <c r="M451" i="1"/>
  <c r="O451" i="1" s="1"/>
  <c r="S368" i="1"/>
  <c r="U368" i="1" s="1"/>
  <c r="S367" i="1"/>
  <c r="U367" i="1" s="1"/>
  <c r="S366" i="1"/>
  <c r="U366" i="1" s="1"/>
  <c r="P436" i="1"/>
  <c r="R436" i="1" s="1"/>
  <c r="P435" i="1"/>
  <c r="R435" i="1" s="1"/>
  <c r="P434" i="1"/>
  <c r="R434" i="1" s="1"/>
  <c r="P433" i="1"/>
  <c r="R433" i="1" s="1"/>
  <c r="P429" i="1"/>
  <c r="R429" i="1" s="1"/>
  <c r="P428" i="1"/>
  <c r="R428" i="1" s="1"/>
  <c r="P421" i="1"/>
  <c r="R421" i="1" s="1"/>
  <c r="P393" i="1"/>
  <c r="R393" i="1" s="1"/>
  <c r="P392" i="1"/>
  <c r="R392" i="1" s="1"/>
  <c r="P390" i="1"/>
  <c r="R390" i="1" s="1"/>
  <c r="P389" i="1"/>
  <c r="R389" i="1" s="1"/>
  <c r="P387" i="1"/>
  <c r="R387" i="1" s="1"/>
  <c r="P386" i="1"/>
  <c r="R386" i="1" s="1"/>
  <c r="P385" i="1"/>
  <c r="R385" i="1" s="1"/>
  <c r="P382" i="1"/>
  <c r="R382" i="1" s="1"/>
  <c r="P379" i="1"/>
  <c r="R379" i="1" s="1"/>
  <c r="P376" i="1"/>
  <c r="R376" i="1" s="1"/>
  <c r="P375" i="1"/>
  <c r="R375" i="1" s="1"/>
  <c r="P374" i="1"/>
  <c r="R374" i="1" s="1"/>
  <c r="P373" i="1"/>
  <c r="R373" i="1" s="1"/>
  <c r="P371" i="1"/>
  <c r="R371" i="1" s="1"/>
  <c r="P370" i="1"/>
  <c r="R370" i="1" s="1"/>
  <c r="P368" i="1"/>
  <c r="R368" i="1" s="1"/>
  <c r="P367" i="1"/>
  <c r="R367" i="1" s="1"/>
  <c r="P366" i="1"/>
  <c r="R366" i="1" s="1"/>
  <c r="M436" i="1"/>
  <c r="O436" i="1" s="1"/>
  <c r="M435" i="1"/>
  <c r="O435" i="1" s="1"/>
  <c r="M434" i="1"/>
  <c r="O434" i="1" s="1"/>
  <c r="M433" i="1"/>
  <c r="O433" i="1" s="1"/>
  <c r="M429" i="1"/>
  <c r="O429" i="1" s="1"/>
  <c r="M428" i="1"/>
  <c r="O428" i="1" s="1"/>
  <c r="M421" i="1"/>
  <c r="O421" i="1" s="1"/>
  <c r="M393" i="1"/>
  <c r="O393" i="1" s="1"/>
  <c r="M392" i="1"/>
  <c r="O392" i="1" s="1"/>
  <c r="M390" i="1"/>
  <c r="O390" i="1" s="1"/>
  <c r="M389" i="1"/>
  <c r="O389" i="1" s="1"/>
  <c r="M387" i="1"/>
  <c r="O387" i="1" s="1"/>
  <c r="M386" i="1"/>
  <c r="O386" i="1" s="1"/>
  <c r="M385" i="1"/>
  <c r="O385" i="1" s="1"/>
  <c r="M382" i="1"/>
  <c r="O382" i="1" s="1"/>
  <c r="M379" i="1"/>
  <c r="O379" i="1" s="1"/>
  <c r="M376" i="1"/>
  <c r="O376" i="1" s="1"/>
  <c r="M375" i="1"/>
  <c r="O375" i="1" s="1"/>
  <c r="M374" i="1"/>
  <c r="O374" i="1" s="1"/>
  <c r="M373" i="1"/>
  <c r="O373" i="1" s="1"/>
  <c r="M371" i="1"/>
  <c r="O371" i="1" s="1"/>
  <c r="M370" i="1"/>
  <c r="O370" i="1" s="1"/>
  <c r="M368" i="1"/>
  <c r="O368" i="1" s="1"/>
  <c r="M367" i="1"/>
  <c r="O367" i="1" s="1"/>
  <c r="M366" i="1"/>
  <c r="O366" i="1" s="1"/>
  <c r="J479" i="1"/>
  <c r="L479" i="1" s="1"/>
  <c r="J478" i="1"/>
  <c r="L478" i="1" s="1"/>
  <c r="J477" i="1"/>
  <c r="L477" i="1" s="1"/>
  <c r="J476" i="1"/>
  <c r="L476" i="1" s="1"/>
  <c r="J469" i="1"/>
  <c r="L469" i="1" s="1"/>
  <c r="J466" i="1"/>
  <c r="L466" i="1" s="1"/>
  <c r="J459" i="1"/>
  <c r="L459" i="1" s="1"/>
  <c r="J458" i="1"/>
  <c r="L458" i="1" s="1"/>
  <c r="J457" i="1"/>
  <c r="L457" i="1" s="1"/>
  <c r="J453" i="1"/>
  <c r="L453" i="1" s="1"/>
  <c r="J452" i="1"/>
  <c r="L452" i="1" s="1"/>
  <c r="J451" i="1"/>
  <c r="L451" i="1" s="1"/>
  <c r="J436" i="1"/>
  <c r="L436" i="1" s="1"/>
  <c r="J435" i="1"/>
  <c r="L435" i="1" s="1"/>
  <c r="J434" i="1"/>
  <c r="L434" i="1" s="1"/>
  <c r="J433" i="1"/>
  <c r="L433" i="1" s="1"/>
  <c r="J429" i="1"/>
  <c r="L429" i="1" s="1"/>
  <c r="J428" i="1"/>
  <c r="L428" i="1" s="1"/>
  <c r="J421" i="1"/>
  <c r="L421" i="1" s="1"/>
  <c r="J393" i="1"/>
  <c r="L393" i="1" s="1"/>
  <c r="J392" i="1"/>
  <c r="L392" i="1" s="1"/>
  <c r="J390" i="1"/>
  <c r="L390" i="1" s="1"/>
  <c r="J389" i="1"/>
  <c r="L389" i="1" s="1"/>
  <c r="J387" i="1"/>
  <c r="L387" i="1" s="1"/>
  <c r="J386" i="1"/>
  <c r="L386" i="1" s="1"/>
  <c r="J385" i="1"/>
  <c r="L385" i="1" s="1"/>
  <c r="J382" i="1"/>
  <c r="L382" i="1" s="1"/>
  <c r="J379" i="1"/>
  <c r="L379" i="1" s="1"/>
  <c r="J376" i="1"/>
  <c r="L376" i="1" s="1"/>
  <c r="J375" i="1"/>
  <c r="L375" i="1" s="1"/>
  <c r="J374" i="1"/>
  <c r="L374" i="1" s="1"/>
  <c r="J373" i="1"/>
  <c r="L373" i="1" s="1"/>
  <c r="J371" i="1"/>
  <c r="L371" i="1" s="1"/>
  <c r="J370" i="1"/>
  <c r="L370" i="1" s="1"/>
  <c r="J367" i="1"/>
  <c r="L367" i="1" s="1"/>
  <c r="AF2" i="1"/>
  <c r="J232" i="1"/>
  <c r="L232" i="1" s="1"/>
  <c r="J366" i="1"/>
  <c r="L366" i="1" s="1"/>
  <c r="J69" i="1"/>
  <c r="L69" i="1" s="1"/>
  <c r="J589" i="1"/>
  <c r="L589" i="1" s="1"/>
  <c r="S422" i="1"/>
  <c r="U422" i="1" s="1"/>
  <c r="S423" i="1"/>
  <c r="U423" i="1" s="1"/>
  <c r="S424" i="1"/>
  <c r="U424" i="1" s="1"/>
  <c r="S425" i="1"/>
  <c r="U425" i="1" s="1"/>
  <c r="S426" i="1"/>
  <c r="U426" i="1" s="1"/>
  <c r="S427" i="1"/>
  <c r="U427" i="1" s="1"/>
  <c r="S430" i="1"/>
  <c r="U430" i="1" s="1"/>
  <c r="S431" i="1"/>
  <c r="U431" i="1" s="1"/>
  <c r="S432" i="1"/>
  <c r="U432" i="1" s="1"/>
  <c r="S437" i="1"/>
  <c r="U437" i="1" s="1"/>
  <c r="S438" i="1"/>
  <c r="U438" i="1" s="1"/>
  <c r="S439" i="1"/>
  <c r="U439" i="1" s="1"/>
  <c r="S440" i="1"/>
  <c r="U440" i="1" s="1"/>
  <c r="S441" i="1"/>
  <c r="U441" i="1" s="1"/>
  <c r="S442" i="1"/>
  <c r="U442" i="1" s="1"/>
  <c r="S443" i="1"/>
  <c r="U443" i="1" s="1"/>
  <c r="S444" i="1"/>
  <c r="U444" i="1" s="1"/>
  <c r="S445" i="1"/>
  <c r="U445" i="1" s="1"/>
  <c r="S446" i="1"/>
  <c r="U446" i="1" s="1"/>
  <c r="S447" i="1"/>
  <c r="U447" i="1" s="1"/>
  <c r="S448" i="1"/>
  <c r="U448" i="1" s="1"/>
  <c r="S449" i="1"/>
  <c r="U449" i="1" s="1"/>
  <c r="S450" i="1"/>
  <c r="U450" i="1" s="1"/>
  <c r="S454" i="1"/>
  <c r="U454" i="1" s="1"/>
  <c r="S455" i="1"/>
  <c r="U455" i="1" s="1"/>
  <c r="S456" i="1"/>
  <c r="U456" i="1" s="1"/>
  <c r="S460" i="1"/>
  <c r="U460" i="1" s="1"/>
  <c r="S461" i="1"/>
  <c r="U461" i="1" s="1"/>
  <c r="S462" i="1"/>
  <c r="U462" i="1" s="1"/>
  <c r="S463" i="1"/>
  <c r="U463" i="1" s="1"/>
  <c r="S464" i="1"/>
  <c r="U464" i="1" s="1"/>
  <c r="S465" i="1"/>
  <c r="U465" i="1" s="1"/>
  <c r="S467" i="1"/>
  <c r="U467" i="1" s="1"/>
  <c r="S468" i="1"/>
  <c r="U468" i="1" s="1"/>
  <c r="S470" i="1"/>
  <c r="U470" i="1" s="1"/>
  <c r="S471" i="1"/>
  <c r="U471" i="1" s="1"/>
  <c r="S472" i="1"/>
  <c r="U472" i="1" s="1"/>
  <c r="S473" i="1"/>
  <c r="U473" i="1" s="1"/>
  <c r="S474" i="1"/>
  <c r="U474" i="1" s="1"/>
  <c r="S475" i="1"/>
  <c r="U475" i="1" s="1"/>
  <c r="S483" i="1"/>
  <c r="U483" i="1" s="1"/>
  <c r="S484" i="1"/>
  <c r="U484" i="1" s="1"/>
  <c r="S485" i="1"/>
  <c r="U485" i="1" s="1"/>
  <c r="S486" i="1"/>
  <c r="U486" i="1" s="1"/>
  <c r="S487" i="1"/>
  <c r="U487" i="1" s="1"/>
  <c r="S488" i="1"/>
  <c r="U488" i="1" s="1"/>
  <c r="S489" i="1"/>
  <c r="U489" i="1" s="1"/>
  <c r="S490" i="1"/>
  <c r="U490" i="1" s="1"/>
  <c r="S491" i="1"/>
  <c r="U491" i="1" s="1"/>
  <c r="S492" i="1"/>
  <c r="U492" i="1" s="1"/>
  <c r="S493" i="1"/>
  <c r="U493" i="1" s="1"/>
  <c r="S494" i="1"/>
  <c r="U494" i="1" s="1"/>
  <c r="S496" i="1"/>
  <c r="U496" i="1" s="1"/>
  <c r="S497" i="1"/>
  <c r="U497" i="1" s="1"/>
  <c r="S498" i="1"/>
  <c r="U498" i="1" s="1"/>
  <c r="S499" i="1"/>
  <c r="U499" i="1" s="1"/>
  <c r="S500" i="1"/>
  <c r="U500" i="1" s="1"/>
  <c r="S501" i="1"/>
  <c r="U501" i="1" s="1"/>
  <c r="S502" i="1"/>
  <c r="U502" i="1" s="1"/>
  <c r="S504" i="1"/>
  <c r="U504" i="1" s="1"/>
  <c r="S505" i="1"/>
  <c r="U505" i="1" s="1"/>
  <c r="S506" i="1"/>
  <c r="U506" i="1" s="1"/>
  <c r="S507" i="1"/>
  <c r="U507" i="1" s="1"/>
  <c r="S508" i="1"/>
  <c r="U508" i="1" s="1"/>
  <c r="S509" i="1"/>
  <c r="U509" i="1" s="1"/>
  <c r="S510" i="1"/>
  <c r="U510" i="1" s="1"/>
  <c r="S511" i="1"/>
  <c r="U511" i="1" s="1"/>
  <c r="S512" i="1"/>
  <c r="U512" i="1" s="1"/>
  <c r="S513" i="1"/>
  <c r="U513" i="1" s="1"/>
  <c r="S514" i="1"/>
  <c r="U514" i="1" s="1"/>
  <c r="S515" i="1"/>
  <c r="U515" i="1" s="1"/>
  <c r="S516" i="1"/>
  <c r="U516" i="1" s="1"/>
  <c r="S517" i="1"/>
  <c r="U517" i="1" s="1"/>
  <c r="S520" i="1"/>
  <c r="U520" i="1" s="1"/>
  <c r="S521" i="1"/>
  <c r="U521" i="1" s="1"/>
  <c r="S522" i="1"/>
  <c r="U522" i="1" s="1"/>
  <c r="S523" i="1"/>
  <c r="U523" i="1" s="1"/>
  <c r="S524" i="1"/>
  <c r="U524" i="1" s="1"/>
  <c r="S525" i="1"/>
  <c r="U525" i="1" s="1"/>
  <c r="S526" i="1"/>
  <c r="U526" i="1" s="1"/>
  <c r="S527" i="1"/>
  <c r="U527" i="1" s="1"/>
  <c r="S528" i="1"/>
  <c r="U528" i="1" s="1"/>
  <c r="S529" i="1"/>
  <c r="U529" i="1" s="1"/>
  <c r="S530" i="1"/>
  <c r="U530" i="1" s="1"/>
  <c r="S532" i="1"/>
  <c r="U532" i="1" s="1"/>
  <c r="S533" i="1"/>
  <c r="U533" i="1" s="1"/>
  <c r="S534" i="1"/>
  <c r="U534" i="1" s="1"/>
  <c r="S535" i="1"/>
  <c r="U535" i="1" s="1"/>
  <c r="S536" i="1"/>
  <c r="U536" i="1" s="1"/>
  <c r="S537" i="1"/>
  <c r="U537" i="1" s="1"/>
  <c r="S538" i="1"/>
  <c r="U538" i="1" s="1"/>
  <c r="S539" i="1"/>
  <c r="U539" i="1" s="1"/>
  <c r="S540" i="1"/>
  <c r="U540" i="1" s="1"/>
  <c r="S541" i="1"/>
  <c r="U541" i="1" s="1"/>
  <c r="S542" i="1"/>
  <c r="U542" i="1" s="1"/>
  <c r="S543" i="1"/>
  <c r="U543" i="1" s="1"/>
  <c r="S544" i="1"/>
  <c r="U544" i="1" s="1"/>
  <c r="S545" i="1"/>
  <c r="U545" i="1" s="1"/>
  <c r="S547" i="1"/>
  <c r="U547" i="1" s="1"/>
  <c r="S548" i="1"/>
  <c r="U548" i="1" s="1"/>
  <c r="S549" i="1"/>
  <c r="U549" i="1" s="1"/>
  <c r="S550" i="1"/>
  <c r="U550" i="1" s="1"/>
  <c r="S555" i="1"/>
  <c r="U555" i="1" s="1"/>
  <c r="S556" i="1"/>
  <c r="U556" i="1" s="1"/>
  <c r="S557" i="1"/>
  <c r="U557" i="1" s="1"/>
  <c r="S558" i="1"/>
  <c r="U558" i="1" s="1"/>
  <c r="S559" i="1"/>
  <c r="U559" i="1" s="1"/>
  <c r="S560" i="1"/>
  <c r="U560" i="1" s="1"/>
  <c r="S561" i="1"/>
  <c r="U561" i="1" s="1"/>
  <c r="S562" i="1"/>
  <c r="U562" i="1" s="1"/>
  <c r="S563" i="1"/>
  <c r="U563" i="1" s="1"/>
  <c r="S564" i="1"/>
  <c r="U564" i="1" s="1"/>
  <c r="S566" i="1"/>
  <c r="U566" i="1" s="1"/>
  <c r="S567" i="1"/>
  <c r="U567" i="1" s="1"/>
  <c r="S569" i="1"/>
  <c r="U569" i="1" s="1"/>
  <c r="S570" i="1"/>
  <c r="U570" i="1" s="1"/>
  <c r="S571" i="1"/>
  <c r="U571" i="1" s="1"/>
  <c r="S572" i="1"/>
  <c r="U572" i="1" s="1"/>
  <c r="S573" i="1"/>
  <c r="U573" i="1" s="1"/>
  <c r="S574" i="1"/>
  <c r="U574" i="1" s="1"/>
  <c r="S576" i="1"/>
  <c r="U576" i="1" s="1"/>
  <c r="S577" i="1"/>
  <c r="U577" i="1" s="1"/>
  <c r="S582" i="1"/>
  <c r="U582" i="1" s="1"/>
  <c r="S583" i="1"/>
  <c r="U583" i="1" s="1"/>
  <c r="S584" i="1"/>
  <c r="U584" i="1" s="1"/>
  <c r="S585" i="1"/>
  <c r="U585" i="1" s="1"/>
  <c r="S586" i="1"/>
  <c r="U586" i="1" s="1"/>
  <c r="S587" i="1"/>
  <c r="U587" i="1" s="1"/>
  <c r="S588" i="1"/>
  <c r="U588" i="1" s="1"/>
  <c r="S589" i="1"/>
  <c r="U589" i="1" s="1"/>
  <c r="S590" i="1"/>
  <c r="U590" i="1" s="1"/>
  <c r="S591" i="1"/>
  <c r="U591" i="1" s="1"/>
  <c r="S592" i="1"/>
  <c r="U592" i="1" s="1"/>
  <c r="S593" i="1"/>
  <c r="U593" i="1" s="1"/>
  <c r="S594" i="1"/>
  <c r="U594" i="1" s="1"/>
  <c r="S595" i="1"/>
  <c r="U595" i="1" s="1"/>
  <c r="S596" i="1"/>
  <c r="U596" i="1" s="1"/>
  <c r="S597" i="1"/>
  <c r="U597" i="1" s="1"/>
  <c r="S598" i="1"/>
  <c r="U598" i="1" s="1"/>
  <c r="S599" i="1"/>
  <c r="U599" i="1" s="1"/>
  <c r="S600" i="1"/>
  <c r="U600" i="1" s="1"/>
  <c r="S601" i="1"/>
  <c r="U601" i="1" s="1"/>
  <c r="S602" i="1"/>
  <c r="U602" i="1" s="1"/>
  <c r="S604" i="1"/>
  <c r="U604" i="1" s="1"/>
  <c r="S605" i="1"/>
  <c r="U605" i="1" s="1"/>
  <c r="S606" i="1"/>
  <c r="U606" i="1" s="1"/>
  <c r="S607" i="1"/>
  <c r="U607" i="1" s="1"/>
  <c r="S608" i="1"/>
  <c r="U608" i="1" s="1"/>
  <c r="S609" i="1"/>
  <c r="U609" i="1" s="1"/>
  <c r="S610" i="1"/>
  <c r="U610" i="1" s="1"/>
  <c r="S611" i="1"/>
  <c r="U611" i="1" s="1"/>
  <c r="S612" i="1"/>
  <c r="U612" i="1" s="1"/>
  <c r="S614" i="1"/>
  <c r="U614" i="1" s="1"/>
  <c r="S615" i="1"/>
  <c r="U615" i="1" s="1"/>
  <c r="S616" i="1"/>
  <c r="U616" i="1" s="1"/>
  <c r="S617" i="1"/>
  <c r="U617" i="1" s="1"/>
  <c r="S618" i="1"/>
  <c r="U618" i="1" s="1"/>
  <c r="S620" i="1"/>
  <c r="U620" i="1" s="1"/>
  <c r="S621" i="1"/>
  <c r="U621" i="1" s="1"/>
  <c r="S623" i="1"/>
  <c r="U623" i="1" s="1"/>
  <c r="S624" i="1"/>
  <c r="U624" i="1" s="1"/>
  <c r="S625" i="1"/>
  <c r="U625" i="1" s="1"/>
  <c r="S626" i="1"/>
  <c r="U626" i="1" s="1"/>
  <c r="S627" i="1"/>
  <c r="U627" i="1" s="1"/>
  <c r="S628" i="1"/>
  <c r="U628" i="1" s="1"/>
  <c r="S629" i="1"/>
  <c r="U629" i="1" s="1"/>
  <c r="S630" i="1"/>
  <c r="U630" i="1" s="1"/>
  <c r="S631" i="1"/>
  <c r="U631" i="1" s="1"/>
  <c r="S632" i="1"/>
  <c r="U632" i="1" s="1"/>
  <c r="S636" i="1"/>
  <c r="U636" i="1" s="1"/>
  <c r="S637" i="1"/>
  <c r="U637" i="1" s="1"/>
  <c r="S638" i="1"/>
  <c r="U638" i="1" s="1"/>
  <c r="S639" i="1"/>
  <c r="U639" i="1" s="1"/>
  <c r="S640" i="1"/>
  <c r="U640" i="1" s="1"/>
  <c r="S641" i="1"/>
  <c r="U641" i="1" s="1"/>
  <c r="S642" i="1"/>
  <c r="U642" i="1" s="1"/>
  <c r="S643" i="1"/>
  <c r="U643" i="1" s="1"/>
  <c r="S644" i="1"/>
  <c r="U644" i="1" s="1"/>
  <c r="S647" i="1"/>
  <c r="U647" i="1" s="1"/>
  <c r="S649" i="1"/>
  <c r="U649" i="1" s="1"/>
  <c r="S651" i="1"/>
  <c r="U651" i="1" s="1"/>
  <c r="S652" i="1"/>
  <c r="U652" i="1" s="1"/>
  <c r="S653" i="1"/>
  <c r="U653" i="1" s="1"/>
  <c r="S654" i="1"/>
  <c r="U654" i="1" s="1"/>
  <c r="S655" i="1"/>
  <c r="U655" i="1" s="1"/>
  <c r="S656" i="1"/>
  <c r="U656" i="1" s="1"/>
  <c r="S657" i="1"/>
  <c r="U657" i="1" s="1"/>
  <c r="S658" i="1"/>
  <c r="U658" i="1" s="1"/>
  <c r="S659" i="1"/>
  <c r="U659" i="1" s="1"/>
  <c r="S661" i="1"/>
  <c r="U661" i="1" s="1"/>
  <c r="S662" i="1"/>
  <c r="U662" i="1" s="1"/>
  <c r="S663" i="1"/>
  <c r="U663" i="1" s="1"/>
  <c r="S664" i="1"/>
  <c r="U664" i="1" s="1"/>
  <c r="S665" i="1"/>
  <c r="U665" i="1" s="1"/>
  <c r="S666" i="1"/>
  <c r="U666" i="1" s="1"/>
  <c r="S667" i="1"/>
  <c r="U667" i="1" s="1"/>
  <c r="S668" i="1"/>
  <c r="U668" i="1" s="1"/>
  <c r="S670" i="1"/>
  <c r="U670" i="1" s="1"/>
  <c r="S671" i="1"/>
  <c r="U671" i="1" s="1"/>
  <c r="S673" i="1"/>
  <c r="U673" i="1" s="1"/>
  <c r="S674" i="1"/>
  <c r="U674" i="1" s="1"/>
  <c r="S680" i="1"/>
  <c r="U680" i="1" s="1"/>
  <c r="S681" i="1"/>
  <c r="U681" i="1" s="1"/>
  <c r="S682" i="1"/>
  <c r="U682" i="1" s="1"/>
  <c r="S683" i="1"/>
  <c r="U683" i="1" s="1"/>
  <c r="S684" i="1"/>
  <c r="U684" i="1" s="1"/>
  <c r="S685" i="1"/>
  <c r="U685" i="1" s="1"/>
  <c r="S686" i="1"/>
  <c r="U686" i="1" s="1"/>
  <c r="S687" i="1"/>
  <c r="U687" i="1" s="1"/>
  <c r="S688" i="1"/>
  <c r="U688" i="1" s="1"/>
  <c r="S689" i="1"/>
  <c r="U689" i="1" s="1"/>
  <c r="S690" i="1"/>
  <c r="U690" i="1" s="1"/>
  <c r="S691" i="1"/>
  <c r="U691" i="1" s="1"/>
  <c r="S692" i="1"/>
  <c r="U692" i="1" s="1"/>
  <c r="S693" i="1"/>
  <c r="U693" i="1" s="1"/>
  <c r="S694" i="1"/>
  <c r="U694" i="1" s="1"/>
  <c r="S697" i="1"/>
  <c r="U697" i="1" s="1"/>
  <c r="S699" i="1"/>
  <c r="U699" i="1" s="1"/>
  <c r="S700" i="1"/>
  <c r="U700" i="1" s="1"/>
  <c r="S701" i="1"/>
  <c r="U701" i="1" s="1"/>
  <c r="S702" i="1"/>
  <c r="U702" i="1" s="1"/>
  <c r="S703" i="1"/>
  <c r="U703" i="1" s="1"/>
  <c r="S704" i="1"/>
  <c r="U704" i="1" s="1"/>
  <c r="S705" i="1"/>
  <c r="U705" i="1" s="1"/>
  <c r="S706" i="1"/>
  <c r="U706" i="1" s="1"/>
  <c r="S707" i="1"/>
  <c r="U707" i="1" s="1"/>
  <c r="S708" i="1"/>
  <c r="U708" i="1" s="1"/>
  <c r="S709" i="1"/>
  <c r="U709" i="1" s="1"/>
  <c r="S710" i="1"/>
  <c r="U710" i="1" s="1"/>
  <c r="S711" i="1"/>
  <c r="U711" i="1" s="1"/>
  <c r="S712" i="1"/>
  <c r="U712" i="1" s="1"/>
  <c r="S713" i="1"/>
  <c r="U713" i="1" s="1"/>
  <c r="S715" i="1"/>
  <c r="U715" i="1" s="1"/>
  <c r="S723" i="1"/>
  <c r="U723" i="1" s="1"/>
  <c r="S724" i="1"/>
  <c r="U724" i="1" s="1"/>
  <c r="S725" i="1"/>
  <c r="U725" i="1" s="1"/>
  <c r="S726" i="1"/>
  <c r="U726" i="1" s="1"/>
  <c r="S727" i="1"/>
  <c r="U727" i="1" s="1"/>
  <c r="S728" i="1"/>
  <c r="U728" i="1" s="1"/>
  <c r="S730" i="1"/>
  <c r="U730" i="1" s="1"/>
  <c r="S731" i="1"/>
  <c r="U731" i="1" s="1"/>
  <c r="S732" i="1"/>
  <c r="U732" i="1" s="1"/>
  <c r="S733" i="1"/>
  <c r="U733" i="1" s="1"/>
  <c r="S734" i="1"/>
  <c r="U734" i="1" s="1"/>
  <c r="S735" i="1"/>
  <c r="U735" i="1" s="1"/>
  <c r="S736" i="1"/>
  <c r="U736" i="1" s="1"/>
  <c r="S737" i="1"/>
  <c r="U737" i="1" s="1"/>
  <c r="S738" i="1"/>
  <c r="U738" i="1" s="1"/>
  <c r="S739" i="1"/>
  <c r="U739" i="1" s="1"/>
  <c r="S740" i="1"/>
  <c r="U740" i="1" s="1"/>
  <c r="S741" i="1"/>
  <c r="U741" i="1" s="1"/>
  <c r="S742" i="1"/>
  <c r="U742" i="1" s="1"/>
  <c r="S743" i="1"/>
  <c r="U743" i="1" s="1"/>
  <c r="S749" i="1"/>
  <c r="U749" i="1" s="1"/>
  <c r="S750" i="1"/>
  <c r="U750" i="1" s="1"/>
  <c r="S751" i="1"/>
  <c r="U751" i="1" s="1"/>
  <c r="S752" i="1"/>
  <c r="U752" i="1" s="1"/>
  <c r="S754" i="1"/>
  <c r="U754" i="1" s="1"/>
  <c r="S755" i="1"/>
  <c r="U755" i="1" s="1"/>
  <c r="S756" i="1"/>
  <c r="U756" i="1" s="1"/>
  <c r="S757" i="1"/>
  <c r="U757" i="1" s="1"/>
  <c r="S759" i="1"/>
  <c r="U759" i="1" s="1"/>
  <c r="S760" i="1"/>
  <c r="U760" i="1" s="1"/>
  <c r="S761" i="1"/>
  <c r="U761" i="1" s="1"/>
  <c r="S762" i="1"/>
  <c r="U762" i="1" s="1"/>
  <c r="S763" i="1"/>
  <c r="U763" i="1" s="1"/>
  <c r="S764" i="1"/>
  <c r="U764" i="1" s="1"/>
  <c r="S768" i="1"/>
  <c r="U768" i="1" s="1"/>
  <c r="S769" i="1"/>
  <c r="U769" i="1" s="1"/>
  <c r="S770" i="1"/>
  <c r="U770" i="1" s="1"/>
  <c r="S771" i="1"/>
  <c r="U771" i="1" s="1"/>
  <c r="S772" i="1"/>
  <c r="U772" i="1" s="1"/>
  <c r="S773" i="1"/>
  <c r="U773" i="1" s="1"/>
  <c r="S774" i="1"/>
  <c r="U774" i="1" s="1"/>
  <c r="S775" i="1"/>
  <c r="U775" i="1" s="1"/>
  <c r="S776" i="1"/>
  <c r="U776" i="1" s="1"/>
  <c r="S777" i="1"/>
  <c r="U777" i="1" s="1"/>
  <c r="S778" i="1"/>
  <c r="U778" i="1" s="1"/>
  <c r="S780" i="1"/>
  <c r="U780" i="1" s="1"/>
  <c r="S781" i="1"/>
  <c r="U781" i="1" s="1"/>
  <c r="S785" i="1"/>
  <c r="U785" i="1" s="1"/>
  <c r="S786" i="1"/>
  <c r="U786" i="1" s="1"/>
  <c r="S790" i="1"/>
  <c r="U790" i="1" s="1"/>
  <c r="S791" i="1"/>
  <c r="U791" i="1" s="1"/>
  <c r="S793" i="1"/>
  <c r="U793" i="1" s="1"/>
  <c r="S794" i="1"/>
  <c r="U794" i="1" s="1"/>
  <c r="S795" i="1"/>
  <c r="U795" i="1" s="1"/>
  <c r="S796" i="1"/>
  <c r="U796" i="1" s="1"/>
  <c r="S797" i="1"/>
  <c r="U797" i="1" s="1"/>
  <c r="S798" i="1"/>
  <c r="U798" i="1" s="1"/>
  <c r="S802" i="1"/>
  <c r="U802" i="1" s="1"/>
  <c r="S803" i="1"/>
  <c r="U803" i="1" s="1"/>
  <c r="S804" i="1"/>
  <c r="U804" i="1" s="1"/>
  <c r="S805" i="1"/>
  <c r="U805" i="1" s="1"/>
  <c r="S810" i="1"/>
  <c r="U810" i="1" s="1"/>
  <c r="S811" i="1"/>
  <c r="U811" i="1" s="1"/>
  <c r="S812" i="1"/>
  <c r="U812" i="1" s="1"/>
  <c r="S814" i="1"/>
  <c r="U814" i="1" s="1"/>
  <c r="S815" i="1"/>
  <c r="U815" i="1" s="1"/>
  <c r="S816" i="1"/>
  <c r="U816" i="1" s="1"/>
  <c r="S817" i="1"/>
  <c r="U817" i="1" s="1"/>
  <c r="S818" i="1"/>
  <c r="U818" i="1" s="1"/>
  <c r="S819" i="1"/>
  <c r="U819" i="1" s="1"/>
  <c r="S820" i="1"/>
  <c r="U820" i="1" s="1"/>
  <c r="S821" i="1"/>
  <c r="U821" i="1" s="1"/>
  <c r="S822" i="1"/>
  <c r="U822" i="1" s="1"/>
  <c r="S823" i="1"/>
  <c r="U823" i="1" s="1"/>
  <c r="S826" i="1"/>
  <c r="U826" i="1" s="1"/>
  <c r="S827" i="1"/>
  <c r="U827" i="1" s="1"/>
  <c r="S828" i="1"/>
  <c r="U828" i="1" s="1"/>
  <c r="S829" i="1"/>
  <c r="U829" i="1" s="1"/>
  <c r="S830" i="1"/>
  <c r="U830" i="1" s="1"/>
  <c r="S831" i="1"/>
  <c r="U831" i="1" s="1"/>
  <c r="S832" i="1"/>
  <c r="U832" i="1" s="1"/>
  <c r="S833" i="1"/>
  <c r="U833" i="1" s="1"/>
  <c r="S834" i="1"/>
  <c r="U834" i="1" s="1"/>
  <c r="S835" i="1"/>
  <c r="U835" i="1" s="1"/>
  <c r="S837" i="1"/>
  <c r="U837" i="1" s="1"/>
  <c r="S838" i="1"/>
  <c r="U838" i="1" s="1"/>
  <c r="S839" i="1"/>
  <c r="U839" i="1" s="1"/>
  <c r="S840" i="1"/>
  <c r="U840" i="1" s="1"/>
  <c r="S841" i="1"/>
  <c r="U841" i="1" s="1"/>
  <c r="S842" i="1"/>
  <c r="U842" i="1" s="1"/>
  <c r="S843" i="1"/>
  <c r="U843" i="1" s="1"/>
  <c r="S846" i="1"/>
  <c r="U846" i="1" s="1"/>
  <c r="S847" i="1"/>
  <c r="U847" i="1" s="1"/>
  <c r="S848" i="1"/>
  <c r="U848" i="1" s="1"/>
  <c r="S849" i="1"/>
  <c r="U849" i="1" s="1"/>
  <c r="S852" i="1"/>
  <c r="U852" i="1" s="1"/>
  <c r="S853" i="1"/>
  <c r="U853" i="1" s="1"/>
  <c r="S858" i="1"/>
  <c r="U858" i="1" s="1"/>
  <c r="S859" i="1"/>
  <c r="U859" i="1" s="1"/>
  <c r="S863" i="1"/>
  <c r="U863" i="1" s="1"/>
  <c r="S864" i="1"/>
  <c r="U864" i="1" s="1"/>
  <c r="S865" i="1"/>
  <c r="U865" i="1" s="1"/>
  <c r="S866" i="1"/>
  <c r="U866" i="1" s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U907" i="1" s="1"/>
  <c r="S908" i="1"/>
  <c r="U908" i="1" s="1"/>
  <c r="S909" i="1"/>
  <c r="U909" i="1" s="1"/>
  <c r="S911" i="1"/>
  <c r="U911" i="1" s="1"/>
  <c r="S912" i="1"/>
  <c r="U912" i="1" s="1"/>
  <c r="S913" i="1"/>
  <c r="U913" i="1" s="1"/>
  <c r="S914" i="1"/>
  <c r="U914" i="1" s="1"/>
  <c r="S916" i="1"/>
  <c r="U916" i="1" s="1"/>
  <c r="S917" i="1"/>
  <c r="U917" i="1" s="1"/>
  <c r="S918" i="1"/>
  <c r="U918" i="1" s="1"/>
  <c r="S919" i="1"/>
  <c r="U919" i="1" s="1"/>
  <c r="S920" i="1"/>
  <c r="U920" i="1" s="1"/>
  <c r="S921" i="1"/>
  <c r="U921" i="1" s="1"/>
  <c r="S922" i="1"/>
  <c r="U922" i="1" s="1"/>
  <c r="S924" i="1"/>
  <c r="U924" i="1" s="1"/>
  <c r="S925" i="1"/>
  <c r="S926" i="1"/>
  <c r="U926" i="1" s="1"/>
  <c r="S927" i="1"/>
  <c r="U927" i="1" s="1"/>
  <c r="S928" i="1"/>
  <c r="U928" i="1" s="1"/>
  <c r="S929" i="1"/>
  <c r="U929" i="1" s="1"/>
  <c r="S930" i="1"/>
  <c r="U930" i="1" s="1"/>
  <c r="S931" i="1"/>
  <c r="U931" i="1" s="1"/>
  <c r="S935" i="1"/>
  <c r="U935" i="1" s="1"/>
  <c r="S936" i="1"/>
  <c r="U936" i="1" s="1"/>
  <c r="S937" i="1"/>
  <c r="U937" i="1" s="1"/>
  <c r="S939" i="1"/>
  <c r="U939" i="1" s="1"/>
  <c r="S940" i="1"/>
  <c r="U940" i="1" s="1"/>
  <c r="S941" i="1"/>
  <c r="U941" i="1" s="1"/>
  <c r="S942" i="1"/>
  <c r="U942" i="1" s="1"/>
  <c r="S945" i="1"/>
  <c r="U945" i="1" s="1"/>
  <c r="S946" i="1"/>
  <c r="U946" i="1" s="1"/>
  <c r="S947" i="1"/>
  <c r="U947" i="1" s="1"/>
  <c r="S948" i="1"/>
  <c r="U948" i="1" s="1"/>
  <c r="S949" i="1"/>
  <c r="U949" i="1" s="1"/>
  <c r="S950" i="1"/>
  <c r="U950" i="1" s="1"/>
  <c r="S951" i="1"/>
  <c r="U951" i="1" s="1"/>
  <c r="S952" i="1"/>
  <c r="U952" i="1" s="1"/>
  <c r="S953" i="1"/>
  <c r="U953" i="1" s="1"/>
  <c r="S954" i="1"/>
  <c r="U954" i="1" s="1"/>
  <c r="S955" i="1"/>
  <c r="U955" i="1" s="1"/>
  <c r="S956" i="1"/>
  <c r="U956" i="1" s="1"/>
  <c r="S957" i="1"/>
  <c r="U957" i="1" s="1"/>
  <c r="S958" i="1"/>
  <c r="U958" i="1" s="1"/>
  <c r="S959" i="1"/>
  <c r="U959" i="1" s="1"/>
  <c r="S960" i="1"/>
  <c r="U960" i="1" s="1"/>
  <c r="S965" i="1"/>
  <c r="U965" i="1" s="1"/>
  <c r="S967" i="1"/>
  <c r="U967" i="1" s="1"/>
  <c r="S968" i="1"/>
  <c r="U968" i="1" s="1"/>
  <c r="S969" i="1"/>
  <c r="U969" i="1" s="1"/>
  <c r="S970" i="1"/>
  <c r="U970" i="1" s="1"/>
  <c r="S971" i="1"/>
  <c r="U971" i="1" s="1"/>
  <c r="S974" i="1"/>
  <c r="U974" i="1" s="1"/>
  <c r="S975" i="1"/>
  <c r="U975" i="1" s="1"/>
  <c r="S976" i="1"/>
  <c r="U976" i="1" s="1"/>
  <c r="S984" i="1"/>
  <c r="U984" i="1" s="1"/>
  <c r="S985" i="1"/>
  <c r="U985" i="1" s="1"/>
  <c r="S986" i="1"/>
  <c r="U986" i="1" s="1"/>
  <c r="S987" i="1"/>
  <c r="U987" i="1" s="1"/>
  <c r="S989" i="1"/>
  <c r="U989" i="1" s="1"/>
  <c r="S990" i="1"/>
  <c r="U990" i="1" s="1"/>
  <c r="S991" i="1"/>
  <c r="U991" i="1" s="1"/>
  <c r="S1000" i="1"/>
  <c r="U1000" i="1" s="1"/>
  <c r="S1001" i="1"/>
  <c r="U1001" i="1" s="1"/>
  <c r="S1002" i="1"/>
  <c r="U1002" i="1" s="1"/>
  <c r="S1003" i="1"/>
  <c r="U1003" i="1" s="1"/>
  <c r="S1008" i="1"/>
  <c r="U1008" i="1" s="1"/>
  <c r="S1009" i="1"/>
  <c r="U1009" i="1" s="1"/>
  <c r="S1012" i="1"/>
  <c r="U1012" i="1" s="1"/>
  <c r="S1013" i="1"/>
  <c r="U1013" i="1" s="1"/>
  <c r="S1014" i="1"/>
  <c r="U1014" i="1" s="1"/>
  <c r="S1017" i="1"/>
  <c r="U1017" i="1" s="1"/>
  <c r="S1018" i="1"/>
  <c r="U1018" i="1" s="1"/>
  <c r="S1019" i="1"/>
  <c r="U1019" i="1" s="1"/>
  <c r="S1020" i="1"/>
  <c r="U1020" i="1" s="1"/>
  <c r="S1021" i="1"/>
  <c r="U1021" i="1" s="1"/>
  <c r="S1027" i="1"/>
  <c r="U1027" i="1" s="1"/>
  <c r="S1028" i="1"/>
  <c r="U1028" i="1" s="1"/>
  <c r="S1029" i="1"/>
  <c r="U1029" i="1" s="1"/>
  <c r="S1030" i="1"/>
  <c r="U1030" i="1" s="1"/>
  <c r="S1031" i="1"/>
  <c r="U1031" i="1" s="1"/>
  <c r="S1032" i="1"/>
  <c r="U1032" i="1" s="1"/>
  <c r="S1034" i="1"/>
  <c r="U1034" i="1" s="1"/>
  <c r="S1035" i="1"/>
  <c r="U1035" i="1" s="1"/>
  <c r="S1037" i="1"/>
  <c r="U1037" i="1" s="1"/>
  <c r="S1040" i="1"/>
  <c r="U1040" i="1" s="1"/>
  <c r="S1041" i="1"/>
  <c r="U1041" i="1" s="1"/>
  <c r="S1042" i="1"/>
  <c r="U1042" i="1" s="1"/>
  <c r="S1043" i="1"/>
  <c r="U1043" i="1" s="1"/>
  <c r="S1044" i="1"/>
  <c r="U1044" i="1" s="1"/>
  <c r="S1045" i="1"/>
  <c r="U1045" i="1" s="1"/>
  <c r="S1046" i="1"/>
  <c r="U1046" i="1" s="1"/>
  <c r="S1049" i="1"/>
  <c r="U1049" i="1" s="1"/>
  <c r="S1050" i="1"/>
  <c r="U1050" i="1" s="1"/>
  <c r="S1051" i="1"/>
  <c r="U1051" i="1" s="1"/>
  <c r="S1053" i="1"/>
  <c r="U1053" i="1" s="1"/>
  <c r="S1054" i="1"/>
  <c r="U1054" i="1" s="1"/>
  <c r="S1055" i="1"/>
  <c r="U1055" i="1" s="1"/>
  <c r="S1058" i="1"/>
  <c r="U1058" i="1" s="1"/>
  <c r="S1059" i="1"/>
  <c r="U1059" i="1" s="1"/>
  <c r="S1060" i="1"/>
  <c r="U1060" i="1" s="1"/>
  <c r="S1065" i="1"/>
  <c r="U1065" i="1" s="1"/>
  <c r="S1066" i="1"/>
  <c r="U1066" i="1" s="1"/>
  <c r="S1067" i="1"/>
  <c r="U1067" i="1" s="1"/>
  <c r="S1072" i="1"/>
  <c r="U1072" i="1" s="1"/>
  <c r="S1073" i="1"/>
  <c r="U1073" i="1" s="1"/>
  <c r="S1074" i="1"/>
  <c r="U1074" i="1" s="1"/>
  <c r="S1075" i="1"/>
  <c r="U1075" i="1" s="1"/>
  <c r="S1076" i="1"/>
  <c r="U1076" i="1" s="1"/>
  <c r="S1077" i="1"/>
  <c r="U1077" i="1" s="1"/>
  <c r="S1082" i="1"/>
  <c r="U1082" i="1" s="1"/>
  <c r="S1083" i="1"/>
  <c r="U1083" i="1" s="1"/>
  <c r="S1084" i="1"/>
  <c r="U1084" i="1" s="1"/>
  <c r="S1085" i="1"/>
  <c r="U1085" i="1" s="1"/>
  <c r="S1086" i="1"/>
  <c r="U1086" i="1" s="1"/>
  <c r="S1087" i="1"/>
  <c r="U1087" i="1" s="1"/>
  <c r="S1088" i="1"/>
  <c r="U1088" i="1" s="1"/>
  <c r="S1089" i="1"/>
  <c r="U1089" i="1" s="1"/>
  <c r="S1091" i="1"/>
  <c r="U1091" i="1" s="1"/>
  <c r="S1092" i="1"/>
  <c r="U1092" i="1" s="1"/>
  <c r="S1093" i="1"/>
  <c r="U1093" i="1" s="1"/>
  <c r="S1094" i="1"/>
  <c r="U1094" i="1" s="1"/>
  <c r="S1095" i="1"/>
  <c r="U1095" i="1" s="1"/>
  <c r="S1096" i="1"/>
  <c r="U1096" i="1" s="1"/>
  <c r="S1097" i="1"/>
  <c r="U1097" i="1" s="1"/>
  <c r="S1098" i="1"/>
  <c r="U1098" i="1" s="1"/>
  <c r="S1099" i="1"/>
  <c r="U1099" i="1" s="1"/>
  <c r="S1100" i="1"/>
  <c r="U1100" i="1" s="1"/>
  <c r="S1101" i="1"/>
  <c r="U1101" i="1" s="1"/>
  <c r="S1102" i="1"/>
  <c r="U1102" i="1" s="1"/>
  <c r="S1103" i="1"/>
  <c r="U1103" i="1" s="1"/>
  <c r="S1105" i="1"/>
  <c r="U1105" i="1" s="1"/>
  <c r="S1108" i="1"/>
  <c r="U1108" i="1" s="1"/>
  <c r="S1109" i="1"/>
  <c r="U1109" i="1" s="1"/>
  <c r="S1110" i="1"/>
  <c r="U1110" i="1" s="1"/>
  <c r="S1111" i="1"/>
  <c r="U1111" i="1" s="1"/>
  <c r="S1112" i="1"/>
  <c r="U1112" i="1" s="1"/>
  <c r="S1118" i="1"/>
  <c r="U1118" i="1" s="1"/>
  <c r="S1120" i="1"/>
  <c r="U1120" i="1" s="1"/>
  <c r="S1121" i="1"/>
  <c r="U1121" i="1" s="1"/>
  <c r="S1122" i="1"/>
  <c r="U1122" i="1" s="1"/>
  <c r="S1123" i="1"/>
  <c r="U1123" i="1" s="1"/>
  <c r="S1124" i="1"/>
  <c r="U1124" i="1" s="1"/>
  <c r="S1125" i="1"/>
  <c r="U1125" i="1" s="1"/>
  <c r="S1126" i="1"/>
  <c r="U1126" i="1" s="1"/>
  <c r="S1127" i="1"/>
  <c r="U1127" i="1" s="1"/>
  <c r="S1128" i="1"/>
  <c r="U1128" i="1" s="1"/>
  <c r="S1129" i="1"/>
  <c r="U1129" i="1" s="1"/>
  <c r="S1130" i="1"/>
  <c r="U1130" i="1" s="1"/>
  <c r="S1131" i="1"/>
  <c r="U1131" i="1" s="1"/>
  <c r="S1132" i="1"/>
  <c r="U1132" i="1" s="1"/>
  <c r="S1133" i="1"/>
  <c r="U1133" i="1" s="1"/>
  <c r="S1135" i="1"/>
  <c r="U1135" i="1" s="1"/>
  <c r="S1136" i="1"/>
  <c r="U1136" i="1" s="1"/>
  <c r="S1137" i="1"/>
  <c r="U1137" i="1" s="1"/>
  <c r="S1138" i="1"/>
  <c r="U1138" i="1" s="1"/>
  <c r="S1139" i="1"/>
  <c r="U1139" i="1" s="1"/>
  <c r="S1140" i="1"/>
  <c r="U1140" i="1" s="1"/>
  <c r="S1141" i="1"/>
  <c r="U1141" i="1" s="1"/>
  <c r="S1142" i="1"/>
  <c r="U1142" i="1" s="1"/>
  <c r="S1143" i="1"/>
  <c r="U1143" i="1" s="1"/>
  <c r="S1144" i="1"/>
  <c r="U1144" i="1" s="1"/>
  <c r="S1145" i="1"/>
  <c r="U1145" i="1" s="1"/>
  <c r="S1147" i="1"/>
  <c r="U1147" i="1" s="1"/>
  <c r="S1148" i="1"/>
  <c r="U1148" i="1" s="1"/>
  <c r="S1149" i="1"/>
  <c r="U1149" i="1" s="1"/>
  <c r="S1150" i="1"/>
  <c r="U1150" i="1" s="1"/>
  <c r="S1152" i="1"/>
  <c r="U1152" i="1" s="1"/>
  <c r="S1155" i="1"/>
  <c r="U1155" i="1" s="1"/>
  <c r="S1156" i="1"/>
  <c r="U1156" i="1" s="1"/>
  <c r="S1157" i="1"/>
  <c r="U1157" i="1" s="1"/>
  <c r="S1161" i="1"/>
  <c r="U1161" i="1" s="1"/>
  <c r="S1165" i="1"/>
  <c r="U1165" i="1" s="1"/>
  <c r="S1166" i="1"/>
  <c r="U1166" i="1" s="1"/>
  <c r="S1169" i="1"/>
  <c r="U1169" i="1" s="1"/>
  <c r="S1170" i="1"/>
  <c r="U1170" i="1" s="1"/>
  <c r="S1171" i="1"/>
  <c r="U1171" i="1" s="1"/>
  <c r="S1172" i="1"/>
  <c r="U1172" i="1" s="1"/>
  <c r="S1173" i="1"/>
  <c r="U1173" i="1" s="1"/>
  <c r="S1177" i="1"/>
  <c r="U1177" i="1" s="1"/>
  <c r="S1178" i="1"/>
  <c r="U1178" i="1" s="1"/>
  <c r="S1179" i="1"/>
  <c r="U1179" i="1" s="1"/>
  <c r="S1180" i="1"/>
  <c r="U1180" i="1" s="1"/>
  <c r="S1181" i="1"/>
  <c r="U1181" i="1" s="1"/>
  <c r="S1269" i="1"/>
  <c r="U1269" i="1" s="1"/>
  <c r="S1183" i="1"/>
  <c r="U1183" i="1" s="1"/>
  <c r="S1186" i="1"/>
  <c r="U1186" i="1" s="1"/>
  <c r="S1187" i="1"/>
  <c r="U1187" i="1" s="1"/>
  <c r="S1188" i="1"/>
  <c r="U1188" i="1" s="1"/>
  <c r="S1189" i="1"/>
  <c r="U1189" i="1" s="1"/>
  <c r="S1190" i="1"/>
  <c r="U1190" i="1" s="1"/>
  <c r="S1191" i="1"/>
  <c r="U1191" i="1" s="1"/>
  <c r="S1200" i="1"/>
  <c r="U1200" i="1" s="1"/>
  <c r="S1201" i="1"/>
  <c r="U1201" i="1" s="1"/>
  <c r="S1203" i="1"/>
  <c r="U1203" i="1" s="1"/>
  <c r="S1204" i="1"/>
  <c r="U1204" i="1" s="1"/>
  <c r="S1205" i="1"/>
  <c r="U1205" i="1" s="1"/>
  <c r="S1206" i="1"/>
  <c r="U1206" i="1" s="1"/>
  <c r="S1207" i="1"/>
  <c r="U1207" i="1" s="1"/>
  <c r="S1208" i="1"/>
  <c r="U1208" i="1" s="1"/>
  <c r="S1209" i="1"/>
  <c r="U1209" i="1" s="1"/>
  <c r="S1211" i="1"/>
  <c r="U1211" i="1" s="1"/>
  <c r="S1212" i="1"/>
  <c r="U1212" i="1" s="1"/>
  <c r="S1214" i="1"/>
  <c r="U1214" i="1" s="1"/>
  <c r="S1215" i="1"/>
  <c r="U1215" i="1" s="1"/>
  <c r="S1216" i="1"/>
  <c r="U1216" i="1" s="1"/>
  <c r="S1217" i="1"/>
  <c r="U1217" i="1" s="1"/>
  <c r="S1218" i="1"/>
  <c r="U1218" i="1" s="1"/>
  <c r="S1219" i="1"/>
  <c r="U1219" i="1" s="1"/>
  <c r="S1220" i="1"/>
  <c r="U1220" i="1" s="1"/>
  <c r="S1221" i="1"/>
  <c r="U1221" i="1" s="1"/>
  <c r="S1222" i="1"/>
  <c r="U1222" i="1" s="1"/>
  <c r="S1223" i="1"/>
  <c r="U1223" i="1" s="1"/>
  <c r="S1224" i="1"/>
  <c r="U1224" i="1" s="1"/>
  <c r="S1225" i="1"/>
  <c r="U1225" i="1" s="1"/>
  <c r="S1228" i="1"/>
  <c r="U1228" i="1" s="1"/>
  <c r="S1229" i="1"/>
  <c r="U1229" i="1" s="1"/>
  <c r="S1230" i="1"/>
  <c r="U1230" i="1" s="1"/>
  <c r="S1231" i="1"/>
  <c r="U1231" i="1" s="1"/>
  <c r="S1237" i="1"/>
  <c r="U1237" i="1" s="1"/>
  <c r="S1238" i="1"/>
  <c r="U1238" i="1" s="1"/>
  <c r="S1239" i="1"/>
  <c r="U1239" i="1" s="1"/>
  <c r="S1240" i="1"/>
  <c r="U1240" i="1" s="1"/>
  <c r="S1241" i="1"/>
  <c r="U1241" i="1" s="1"/>
  <c r="S1242" i="1"/>
  <c r="U1242" i="1" s="1"/>
  <c r="S1243" i="1"/>
  <c r="U1243" i="1" s="1"/>
  <c r="S1244" i="1"/>
  <c r="U1244" i="1" s="1"/>
  <c r="S1246" i="1"/>
  <c r="U1246" i="1" s="1"/>
  <c r="S1247" i="1"/>
  <c r="U1247" i="1" s="1"/>
  <c r="S1248" i="1"/>
  <c r="U1248" i="1" s="1"/>
  <c r="S1249" i="1"/>
  <c r="U1249" i="1" s="1"/>
  <c r="S1250" i="1"/>
  <c r="U1250" i="1" s="1"/>
  <c r="S1251" i="1"/>
  <c r="U1251" i="1" s="1"/>
  <c r="S1252" i="1"/>
  <c r="U1252" i="1" s="1"/>
  <c r="S1253" i="1"/>
  <c r="U1253" i="1" s="1"/>
  <c r="S1254" i="1"/>
  <c r="U1254" i="1" s="1"/>
  <c r="S1174" i="1"/>
  <c r="U1174" i="1" s="1"/>
  <c r="S1260" i="1"/>
  <c r="U1260" i="1" s="1"/>
  <c r="S1261" i="1"/>
  <c r="U1261" i="1" s="1"/>
  <c r="S1262" i="1"/>
  <c r="U1262" i="1" s="1"/>
  <c r="S1263" i="1"/>
  <c r="U1263" i="1" s="1"/>
  <c r="S1264" i="1"/>
  <c r="U1264" i="1" s="1"/>
  <c r="S1265" i="1"/>
  <c r="U1265" i="1" s="1"/>
  <c r="S1266" i="1"/>
  <c r="U1266" i="1" s="1"/>
  <c r="S1267" i="1"/>
  <c r="U1267" i="1" s="1"/>
  <c r="S1268" i="1"/>
  <c r="U1268" i="1" s="1"/>
  <c r="S420" i="1"/>
  <c r="U420" i="1" s="1"/>
  <c r="P422" i="1"/>
  <c r="R422" i="1" s="1"/>
  <c r="P423" i="1"/>
  <c r="R423" i="1" s="1"/>
  <c r="P424" i="1"/>
  <c r="R424" i="1" s="1"/>
  <c r="P425" i="1"/>
  <c r="R425" i="1" s="1"/>
  <c r="P426" i="1"/>
  <c r="R426" i="1" s="1"/>
  <c r="P427" i="1"/>
  <c r="R427" i="1" s="1"/>
  <c r="P430" i="1"/>
  <c r="R430" i="1" s="1"/>
  <c r="P431" i="1"/>
  <c r="R431" i="1" s="1"/>
  <c r="P432" i="1"/>
  <c r="R432" i="1" s="1"/>
  <c r="P437" i="1"/>
  <c r="R437" i="1" s="1"/>
  <c r="P438" i="1"/>
  <c r="R438" i="1" s="1"/>
  <c r="P439" i="1"/>
  <c r="R439" i="1" s="1"/>
  <c r="P440" i="1"/>
  <c r="R440" i="1" s="1"/>
  <c r="P441" i="1"/>
  <c r="R441" i="1" s="1"/>
  <c r="P442" i="1"/>
  <c r="R442" i="1" s="1"/>
  <c r="P443" i="1"/>
  <c r="R443" i="1" s="1"/>
  <c r="P444" i="1"/>
  <c r="R444" i="1" s="1"/>
  <c r="P445" i="1"/>
  <c r="R445" i="1" s="1"/>
  <c r="P446" i="1"/>
  <c r="R446" i="1" s="1"/>
  <c r="P447" i="1"/>
  <c r="R447" i="1" s="1"/>
  <c r="P448" i="1"/>
  <c r="R448" i="1" s="1"/>
  <c r="P449" i="1"/>
  <c r="R449" i="1" s="1"/>
  <c r="P450" i="1"/>
  <c r="R450" i="1" s="1"/>
  <c r="P454" i="1"/>
  <c r="R454" i="1" s="1"/>
  <c r="P455" i="1"/>
  <c r="R455" i="1" s="1"/>
  <c r="P456" i="1"/>
  <c r="R456" i="1" s="1"/>
  <c r="P460" i="1"/>
  <c r="R460" i="1" s="1"/>
  <c r="P461" i="1"/>
  <c r="R461" i="1" s="1"/>
  <c r="P462" i="1"/>
  <c r="R462" i="1" s="1"/>
  <c r="P463" i="1"/>
  <c r="R463" i="1" s="1"/>
  <c r="P464" i="1"/>
  <c r="R464" i="1" s="1"/>
  <c r="P465" i="1"/>
  <c r="R465" i="1" s="1"/>
  <c r="P467" i="1"/>
  <c r="R467" i="1" s="1"/>
  <c r="P468" i="1"/>
  <c r="R468" i="1" s="1"/>
  <c r="P470" i="1"/>
  <c r="R470" i="1" s="1"/>
  <c r="P471" i="1"/>
  <c r="R471" i="1" s="1"/>
  <c r="P472" i="1"/>
  <c r="R472" i="1" s="1"/>
  <c r="P473" i="1"/>
  <c r="R473" i="1" s="1"/>
  <c r="P474" i="1"/>
  <c r="R474" i="1" s="1"/>
  <c r="P475" i="1"/>
  <c r="R475" i="1" s="1"/>
  <c r="P483" i="1"/>
  <c r="R483" i="1" s="1"/>
  <c r="P484" i="1"/>
  <c r="R484" i="1" s="1"/>
  <c r="P485" i="1"/>
  <c r="R485" i="1" s="1"/>
  <c r="P486" i="1"/>
  <c r="R486" i="1" s="1"/>
  <c r="P487" i="1"/>
  <c r="R487" i="1" s="1"/>
  <c r="P488" i="1"/>
  <c r="R488" i="1" s="1"/>
  <c r="P489" i="1"/>
  <c r="R489" i="1" s="1"/>
  <c r="P490" i="1"/>
  <c r="R490" i="1" s="1"/>
  <c r="P491" i="1"/>
  <c r="R491" i="1" s="1"/>
  <c r="P492" i="1"/>
  <c r="R492" i="1" s="1"/>
  <c r="P493" i="1"/>
  <c r="R493" i="1" s="1"/>
  <c r="P494" i="1"/>
  <c r="R494" i="1" s="1"/>
  <c r="P496" i="1"/>
  <c r="R496" i="1" s="1"/>
  <c r="P497" i="1"/>
  <c r="R497" i="1" s="1"/>
  <c r="P498" i="1"/>
  <c r="R498" i="1" s="1"/>
  <c r="P499" i="1"/>
  <c r="R499" i="1" s="1"/>
  <c r="P500" i="1"/>
  <c r="R500" i="1" s="1"/>
  <c r="P501" i="1"/>
  <c r="R501" i="1" s="1"/>
  <c r="P502" i="1"/>
  <c r="R502" i="1" s="1"/>
  <c r="P504" i="1"/>
  <c r="R504" i="1" s="1"/>
  <c r="P505" i="1"/>
  <c r="R505" i="1" s="1"/>
  <c r="P506" i="1"/>
  <c r="R506" i="1" s="1"/>
  <c r="P507" i="1"/>
  <c r="R507" i="1" s="1"/>
  <c r="P508" i="1"/>
  <c r="R508" i="1" s="1"/>
  <c r="P509" i="1"/>
  <c r="R509" i="1" s="1"/>
  <c r="P510" i="1"/>
  <c r="R510" i="1" s="1"/>
  <c r="P511" i="1"/>
  <c r="R511" i="1" s="1"/>
  <c r="P512" i="1"/>
  <c r="R512" i="1" s="1"/>
  <c r="P513" i="1"/>
  <c r="R513" i="1" s="1"/>
  <c r="P514" i="1"/>
  <c r="R514" i="1" s="1"/>
  <c r="P515" i="1"/>
  <c r="R515" i="1" s="1"/>
  <c r="P516" i="1"/>
  <c r="R516" i="1" s="1"/>
  <c r="P517" i="1"/>
  <c r="R517" i="1" s="1"/>
  <c r="P520" i="1"/>
  <c r="R520" i="1" s="1"/>
  <c r="P521" i="1"/>
  <c r="R521" i="1" s="1"/>
  <c r="P522" i="1"/>
  <c r="R522" i="1" s="1"/>
  <c r="P523" i="1"/>
  <c r="R523" i="1" s="1"/>
  <c r="P524" i="1"/>
  <c r="R524" i="1" s="1"/>
  <c r="P525" i="1"/>
  <c r="R525" i="1" s="1"/>
  <c r="P526" i="1"/>
  <c r="R526" i="1" s="1"/>
  <c r="P527" i="1"/>
  <c r="R527" i="1" s="1"/>
  <c r="P528" i="1"/>
  <c r="R528" i="1" s="1"/>
  <c r="P529" i="1"/>
  <c r="R529" i="1" s="1"/>
  <c r="P530" i="1"/>
  <c r="R530" i="1" s="1"/>
  <c r="P532" i="1"/>
  <c r="R532" i="1" s="1"/>
  <c r="P533" i="1"/>
  <c r="R533" i="1" s="1"/>
  <c r="P534" i="1"/>
  <c r="R534" i="1" s="1"/>
  <c r="P535" i="1"/>
  <c r="R535" i="1" s="1"/>
  <c r="P536" i="1"/>
  <c r="R536" i="1" s="1"/>
  <c r="P537" i="1"/>
  <c r="R537" i="1" s="1"/>
  <c r="P538" i="1"/>
  <c r="R538" i="1" s="1"/>
  <c r="P539" i="1"/>
  <c r="R539" i="1" s="1"/>
  <c r="P540" i="1"/>
  <c r="R540" i="1" s="1"/>
  <c r="P541" i="1"/>
  <c r="R541" i="1" s="1"/>
  <c r="P542" i="1"/>
  <c r="R542" i="1" s="1"/>
  <c r="P543" i="1"/>
  <c r="R543" i="1" s="1"/>
  <c r="P544" i="1"/>
  <c r="R544" i="1" s="1"/>
  <c r="P545" i="1"/>
  <c r="R545" i="1" s="1"/>
  <c r="P547" i="1"/>
  <c r="R547" i="1" s="1"/>
  <c r="P548" i="1"/>
  <c r="R548" i="1" s="1"/>
  <c r="P549" i="1"/>
  <c r="R549" i="1" s="1"/>
  <c r="P550" i="1"/>
  <c r="R550" i="1" s="1"/>
  <c r="P555" i="1"/>
  <c r="R555" i="1" s="1"/>
  <c r="P556" i="1"/>
  <c r="R556" i="1" s="1"/>
  <c r="P557" i="1"/>
  <c r="R557" i="1" s="1"/>
  <c r="P558" i="1"/>
  <c r="R558" i="1" s="1"/>
  <c r="P559" i="1"/>
  <c r="R559" i="1" s="1"/>
  <c r="P560" i="1"/>
  <c r="R560" i="1" s="1"/>
  <c r="P561" i="1"/>
  <c r="R561" i="1" s="1"/>
  <c r="P562" i="1"/>
  <c r="R562" i="1" s="1"/>
  <c r="P563" i="1"/>
  <c r="R563" i="1" s="1"/>
  <c r="P564" i="1"/>
  <c r="R564" i="1" s="1"/>
  <c r="P566" i="1"/>
  <c r="R566" i="1" s="1"/>
  <c r="P567" i="1"/>
  <c r="R567" i="1" s="1"/>
  <c r="P569" i="1"/>
  <c r="R569" i="1" s="1"/>
  <c r="P570" i="1"/>
  <c r="R570" i="1" s="1"/>
  <c r="P571" i="1"/>
  <c r="R571" i="1" s="1"/>
  <c r="P572" i="1"/>
  <c r="R572" i="1" s="1"/>
  <c r="P573" i="1"/>
  <c r="R573" i="1" s="1"/>
  <c r="P574" i="1"/>
  <c r="R574" i="1" s="1"/>
  <c r="P576" i="1"/>
  <c r="R576" i="1" s="1"/>
  <c r="P577" i="1"/>
  <c r="R577" i="1" s="1"/>
  <c r="P582" i="1"/>
  <c r="R582" i="1" s="1"/>
  <c r="P583" i="1"/>
  <c r="R583" i="1" s="1"/>
  <c r="P584" i="1"/>
  <c r="R584" i="1" s="1"/>
  <c r="P585" i="1"/>
  <c r="R585" i="1" s="1"/>
  <c r="P586" i="1"/>
  <c r="R586" i="1" s="1"/>
  <c r="P587" i="1"/>
  <c r="R587" i="1" s="1"/>
  <c r="P588" i="1"/>
  <c r="R588" i="1" s="1"/>
  <c r="P589" i="1"/>
  <c r="R589" i="1" s="1"/>
  <c r="P590" i="1"/>
  <c r="R590" i="1" s="1"/>
  <c r="P591" i="1"/>
  <c r="R591" i="1" s="1"/>
  <c r="P592" i="1"/>
  <c r="R592" i="1" s="1"/>
  <c r="P593" i="1"/>
  <c r="R593" i="1" s="1"/>
  <c r="P594" i="1"/>
  <c r="R594" i="1" s="1"/>
  <c r="P595" i="1"/>
  <c r="R595" i="1" s="1"/>
  <c r="P596" i="1"/>
  <c r="R596" i="1" s="1"/>
  <c r="P597" i="1"/>
  <c r="R597" i="1" s="1"/>
  <c r="P598" i="1"/>
  <c r="R598" i="1" s="1"/>
  <c r="P599" i="1"/>
  <c r="R599" i="1" s="1"/>
  <c r="P600" i="1"/>
  <c r="R600" i="1" s="1"/>
  <c r="P601" i="1"/>
  <c r="R601" i="1" s="1"/>
  <c r="P602" i="1"/>
  <c r="R602" i="1" s="1"/>
  <c r="P604" i="1"/>
  <c r="R604" i="1" s="1"/>
  <c r="P605" i="1"/>
  <c r="R605" i="1" s="1"/>
  <c r="P606" i="1"/>
  <c r="R606" i="1" s="1"/>
  <c r="P607" i="1"/>
  <c r="R607" i="1" s="1"/>
  <c r="P608" i="1"/>
  <c r="R608" i="1" s="1"/>
  <c r="P609" i="1"/>
  <c r="R609" i="1" s="1"/>
  <c r="P610" i="1"/>
  <c r="R610" i="1" s="1"/>
  <c r="P611" i="1"/>
  <c r="R611" i="1" s="1"/>
  <c r="P612" i="1"/>
  <c r="R612" i="1" s="1"/>
  <c r="P614" i="1"/>
  <c r="R614" i="1" s="1"/>
  <c r="P615" i="1"/>
  <c r="R615" i="1" s="1"/>
  <c r="P616" i="1"/>
  <c r="R616" i="1" s="1"/>
  <c r="P617" i="1"/>
  <c r="R617" i="1" s="1"/>
  <c r="P618" i="1"/>
  <c r="R618" i="1" s="1"/>
  <c r="P620" i="1"/>
  <c r="R620" i="1" s="1"/>
  <c r="P621" i="1"/>
  <c r="R621" i="1" s="1"/>
  <c r="P623" i="1"/>
  <c r="R623" i="1" s="1"/>
  <c r="P624" i="1"/>
  <c r="R624" i="1" s="1"/>
  <c r="P625" i="1"/>
  <c r="R625" i="1" s="1"/>
  <c r="P626" i="1"/>
  <c r="R626" i="1" s="1"/>
  <c r="P627" i="1"/>
  <c r="R627" i="1" s="1"/>
  <c r="P628" i="1"/>
  <c r="R628" i="1" s="1"/>
  <c r="P629" i="1"/>
  <c r="R629" i="1" s="1"/>
  <c r="P630" i="1"/>
  <c r="R630" i="1" s="1"/>
  <c r="P631" i="1"/>
  <c r="R631" i="1" s="1"/>
  <c r="P632" i="1"/>
  <c r="R632" i="1" s="1"/>
  <c r="P636" i="1"/>
  <c r="R636" i="1" s="1"/>
  <c r="P637" i="1"/>
  <c r="R637" i="1" s="1"/>
  <c r="P638" i="1"/>
  <c r="R638" i="1" s="1"/>
  <c r="P639" i="1"/>
  <c r="R639" i="1" s="1"/>
  <c r="P640" i="1"/>
  <c r="R640" i="1" s="1"/>
  <c r="P641" i="1"/>
  <c r="R641" i="1" s="1"/>
  <c r="P642" i="1"/>
  <c r="R642" i="1" s="1"/>
  <c r="P643" i="1"/>
  <c r="R643" i="1" s="1"/>
  <c r="P644" i="1"/>
  <c r="R644" i="1" s="1"/>
  <c r="P645" i="1"/>
  <c r="R645" i="1" s="1"/>
  <c r="P647" i="1"/>
  <c r="R647" i="1" s="1"/>
  <c r="P649" i="1"/>
  <c r="R649" i="1" s="1"/>
  <c r="P651" i="1"/>
  <c r="R651" i="1" s="1"/>
  <c r="P652" i="1"/>
  <c r="R652" i="1" s="1"/>
  <c r="P653" i="1"/>
  <c r="R653" i="1" s="1"/>
  <c r="P654" i="1"/>
  <c r="R654" i="1" s="1"/>
  <c r="P655" i="1"/>
  <c r="R655" i="1" s="1"/>
  <c r="P656" i="1"/>
  <c r="R656" i="1" s="1"/>
  <c r="P657" i="1"/>
  <c r="R657" i="1" s="1"/>
  <c r="P658" i="1"/>
  <c r="R658" i="1" s="1"/>
  <c r="P659" i="1"/>
  <c r="R659" i="1" s="1"/>
  <c r="P661" i="1"/>
  <c r="R661" i="1" s="1"/>
  <c r="P662" i="1"/>
  <c r="R662" i="1" s="1"/>
  <c r="P663" i="1"/>
  <c r="R663" i="1" s="1"/>
  <c r="P664" i="1"/>
  <c r="R664" i="1" s="1"/>
  <c r="P665" i="1"/>
  <c r="R665" i="1" s="1"/>
  <c r="P666" i="1"/>
  <c r="R666" i="1" s="1"/>
  <c r="P667" i="1"/>
  <c r="R667" i="1" s="1"/>
  <c r="P668" i="1"/>
  <c r="R668" i="1" s="1"/>
  <c r="P670" i="1"/>
  <c r="R670" i="1" s="1"/>
  <c r="P671" i="1"/>
  <c r="R671" i="1" s="1"/>
  <c r="P673" i="1"/>
  <c r="R673" i="1" s="1"/>
  <c r="P674" i="1"/>
  <c r="R674" i="1" s="1"/>
  <c r="P680" i="1"/>
  <c r="R680" i="1" s="1"/>
  <c r="P681" i="1"/>
  <c r="R681" i="1" s="1"/>
  <c r="P682" i="1"/>
  <c r="R682" i="1" s="1"/>
  <c r="P683" i="1"/>
  <c r="R683" i="1" s="1"/>
  <c r="P684" i="1"/>
  <c r="R684" i="1" s="1"/>
  <c r="P685" i="1"/>
  <c r="R685" i="1" s="1"/>
  <c r="P686" i="1"/>
  <c r="R686" i="1" s="1"/>
  <c r="P687" i="1"/>
  <c r="R687" i="1" s="1"/>
  <c r="P688" i="1"/>
  <c r="R688" i="1" s="1"/>
  <c r="P689" i="1"/>
  <c r="R689" i="1" s="1"/>
  <c r="P690" i="1"/>
  <c r="R690" i="1" s="1"/>
  <c r="P691" i="1"/>
  <c r="R691" i="1" s="1"/>
  <c r="P692" i="1"/>
  <c r="R692" i="1" s="1"/>
  <c r="P693" i="1"/>
  <c r="R693" i="1" s="1"/>
  <c r="P694" i="1"/>
  <c r="R694" i="1" s="1"/>
  <c r="P697" i="1"/>
  <c r="R697" i="1" s="1"/>
  <c r="P699" i="1"/>
  <c r="R699" i="1" s="1"/>
  <c r="P700" i="1"/>
  <c r="R700" i="1" s="1"/>
  <c r="P701" i="1"/>
  <c r="R701" i="1" s="1"/>
  <c r="P702" i="1"/>
  <c r="R702" i="1" s="1"/>
  <c r="P703" i="1"/>
  <c r="R703" i="1" s="1"/>
  <c r="P704" i="1"/>
  <c r="R704" i="1" s="1"/>
  <c r="P705" i="1"/>
  <c r="R705" i="1" s="1"/>
  <c r="P706" i="1"/>
  <c r="R706" i="1" s="1"/>
  <c r="P707" i="1"/>
  <c r="R707" i="1" s="1"/>
  <c r="P708" i="1"/>
  <c r="R708" i="1" s="1"/>
  <c r="P709" i="1"/>
  <c r="R709" i="1" s="1"/>
  <c r="P710" i="1"/>
  <c r="R710" i="1" s="1"/>
  <c r="P711" i="1"/>
  <c r="R711" i="1" s="1"/>
  <c r="P712" i="1"/>
  <c r="R712" i="1" s="1"/>
  <c r="P713" i="1"/>
  <c r="R713" i="1" s="1"/>
  <c r="P715" i="1"/>
  <c r="R715" i="1" s="1"/>
  <c r="P723" i="1"/>
  <c r="R723" i="1" s="1"/>
  <c r="P724" i="1"/>
  <c r="R724" i="1" s="1"/>
  <c r="P725" i="1"/>
  <c r="R725" i="1" s="1"/>
  <c r="P726" i="1"/>
  <c r="R726" i="1" s="1"/>
  <c r="P727" i="1"/>
  <c r="R727" i="1" s="1"/>
  <c r="P728" i="1"/>
  <c r="R728" i="1" s="1"/>
  <c r="P730" i="1"/>
  <c r="R730" i="1" s="1"/>
  <c r="P731" i="1"/>
  <c r="R731" i="1" s="1"/>
  <c r="P732" i="1"/>
  <c r="R732" i="1" s="1"/>
  <c r="P733" i="1"/>
  <c r="R733" i="1" s="1"/>
  <c r="P734" i="1"/>
  <c r="R734" i="1" s="1"/>
  <c r="P735" i="1"/>
  <c r="R735" i="1" s="1"/>
  <c r="P736" i="1"/>
  <c r="R736" i="1" s="1"/>
  <c r="P737" i="1"/>
  <c r="R737" i="1" s="1"/>
  <c r="P738" i="1"/>
  <c r="R738" i="1" s="1"/>
  <c r="P739" i="1"/>
  <c r="R739" i="1" s="1"/>
  <c r="P740" i="1"/>
  <c r="R740" i="1" s="1"/>
  <c r="P741" i="1"/>
  <c r="R741" i="1" s="1"/>
  <c r="P742" i="1"/>
  <c r="R742" i="1" s="1"/>
  <c r="P743" i="1"/>
  <c r="R743" i="1" s="1"/>
  <c r="P748" i="1"/>
  <c r="R748" i="1" s="1"/>
  <c r="P749" i="1"/>
  <c r="R749" i="1" s="1"/>
  <c r="P750" i="1"/>
  <c r="R750" i="1" s="1"/>
  <c r="P751" i="1"/>
  <c r="R751" i="1" s="1"/>
  <c r="P752" i="1"/>
  <c r="R752" i="1" s="1"/>
  <c r="P754" i="1"/>
  <c r="R754" i="1" s="1"/>
  <c r="P755" i="1"/>
  <c r="R755" i="1" s="1"/>
  <c r="P756" i="1"/>
  <c r="R756" i="1" s="1"/>
  <c r="P757" i="1"/>
  <c r="R757" i="1" s="1"/>
  <c r="P759" i="1"/>
  <c r="R759" i="1" s="1"/>
  <c r="P760" i="1"/>
  <c r="R760" i="1" s="1"/>
  <c r="P761" i="1"/>
  <c r="R761" i="1" s="1"/>
  <c r="P762" i="1"/>
  <c r="R762" i="1" s="1"/>
  <c r="P763" i="1"/>
  <c r="R763" i="1" s="1"/>
  <c r="P764" i="1"/>
  <c r="R764" i="1" s="1"/>
  <c r="P768" i="1"/>
  <c r="R768" i="1" s="1"/>
  <c r="P769" i="1"/>
  <c r="R769" i="1" s="1"/>
  <c r="P770" i="1"/>
  <c r="R770" i="1" s="1"/>
  <c r="P771" i="1"/>
  <c r="R771" i="1" s="1"/>
  <c r="P772" i="1"/>
  <c r="R772" i="1" s="1"/>
  <c r="P773" i="1"/>
  <c r="R773" i="1" s="1"/>
  <c r="P774" i="1"/>
  <c r="R774" i="1" s="1"/>
  <c r="P775" i="1"/>
  <c r="R775" i="1" s="1"/>
  <c r="P776" i="1"/>
  <c r="R776" i="1" s="1"/>
  <c r="P777" i="1"/>
  <c r="R777" i="1" s="1"/>
  <c r="P778" i="1"/>
  <c r="R778" i="1" s="1"/>
  <c r="P780" i="1"/>
  <c r="R780" i="1" s="1"/>
  <c r="P781" i="1"/>
  <c r="R781" i="1" s="1"/>
  <c r="P785" i="1"/>
  <c r="R785" i="1" s="1"/>
  <c r="P786" i="1"/>
  <c r="R786" i="1" s="1"/>
  <c r="P790" i="1"/>
  <c r="R790" i="1" s="1"/>
  <c r="R791" i="1"/>
  <c r="P793" i="1"/>
  <c r="R793" i="1" s="1"/>
  <c r="P794" i="1"/>
  <c r="R794" i="1" s="1"/>
  <c r="P795" i="1"/>
  <c r="R795" i="1" s="1"/>
  <c r="P796" i="1"/>
  <c r="R796" i="1" s="1"/>
  <c r="P797" i="1"/>
  <c r="R797" i="1" s="1"/>
  <c r="P798" i="1"/>
  <c r="R798" i="1" s="1"/>
  <c r="P802" i="1"/>
  <c r="R802" i="1" s="1"/>
  <c r="P803" i="1"/>
  <c r="R803" i="1" s="1"/>
  <c r="P804" i="1"/>
  <c r="R804" i="1" s="1"/>
  <c r="P805" i="1"/>
  <c r="R805" i="1" s="1"/>
  <c r="P810" i="1"/>
  <c r="R810" i="1" s="1"/>
  <c r="P811" i="1"/>
  <c r="R811" i="1" s="1"/>
  <c r="P812" i="1"/>
  <c r="R812" i="1" s="1"/>
  <c r="P814" i="1"/>
  <c r="R814" i="1" s="1"/>
  <c r="P815" i="1"/>
  <c r="R815" i="1" s="1"/>
  <c r="P816" i="1"/>
  <c r="R816" i="1" s="1"/>
  <c r="P817" i="1"/>
  <c r="R817" i="1" s="1"/>
  <c r="P818" i="1"/>
  <c r="R818" i="1" s="1"/>
  <c r="P819" i="1"/>
  <c r="R819" i="1" s="1"/>
  <c r="P820" i="1"/>
  <c r="R820" i="1" s="1"/>
  <c r="P821" i="1"/>
  <c r="R821" i="1" s="1"/>
  <c r="P822" i="1"/>
  <c r="R822" i="1" s="1"/>
  <c r="P823" i="1"/>
  <c r="R823" i="1" s="1"/>
  <c r="P826" i="1"/>
  <c r="R826" i="1" s="1"/>
  <c r="P827" i="1"/>
  <c r="R827" i="1" s="1"/>
  <c r="P828" i="1"/>
  <c r="R828" i="1" s="1"/>
  <c r="P829" i="1"/>
  <c r="R829" i="1" s="1"/>
  <c r="P830" i="1"/>
  <c r="R830" i="1" s="1"/>
  <c r="P831" i="1"/>
  <c r="R831" i="1" s="1"/>
  <c r="P832" i="1"/>
  <c r="R832" i="1" s="1"/>
  <c r="P833" i="1"/>
  <c r="R833" i="1" s="1"/>
  <c r="P834" i="1"/>
  <c r="R834" i="1" s="1"/>
  <c r="P835" i="1"/>
  <c r="R835" i="1" s="1"/>
  <c r="P837" i="1"/>
  <c r="R837" i="1" s="1"/>
  <c r="P838" i="1"/>
  <c r="R838" i="1" s="1"/>
  <c r="P839" i="1"/>
  <c r="R839" i="1" s="1"/>
  <c r="P840" i="1"/>
  <c r="R840" i="1" s="1"/>
  <c r="P841" i="1"/>
  <c r="R841" i="1" s="1"/>
  <c r="P842" i="1"/>
  <c r="R842" i="1" s="1"/>
  <c r="R843" i="1"/>
  <c r="P846" i="1"/>
  <c r="R846" i="1" s="1"/>
  <c r="P847" i="1"/>
  <c r="R847" i="1" s="1"/>
  <c r="P848" i="1"/>
  <c r="R848" i="1" s="1"/>
  <c r="P849" i="1"/>
  <c r="P852" i="1"/>
  <c r="R852" i="1" s="1"/>
  <c r="P853" i="1"/>
  <c r="R853" i="1" s="1"/>
  <c r="P858" i="1"/>
  <c r="R858" i="1" s="1"/>
  <c r="P859" i="1"/>
  <c r="R859" i="1" s="1"/>
  <c r="P863" i="1"/>
  <c r="R863" i="1" s="1"/>
  <c r="P864" i="1"/>
  <c r="R864" i="1" s="1"/>
  <c r="P865" i="1"/>
  <c r="R865" i="1" s="1"/>
  <c r="P866" i="1"/>
  <c r="R866" i="1" s="1"/>
  <c r="P867" i="1"/>
  <c r="R867" i="1" s="1"/>
  <c r="P868" i="1"/>
  <c r="R868" i="1" s="1"/>
  <c r="P869" i="1"/>
  <c r="R869" i="1" s="1"/>
  <c r="P870" i="1"/>
  <c r="R870" i="1" s="1"/>
  <c r="P871" i="1"/>
  <c r="R871" i="1" s="1"/>
  <c r="P872" i="1"/>
  <c r="R872" i="1" s="1"/>
  <c r="P873" i="1"/>
  <c r="R873" i="1" s="1"/>
  <c r="P874" i="1"/>
  <c r="R874" i="1" s="1"/>
  <c r="P875" i="1"/>
  <c r="R875" i="1" s="1"/>
  <c r="P876" i="1"/>
  <c r="R876" i="1" s="1"/>
  <c r="P877" i="1"/>
  <c r="R877" i="1" s="1"/>
  <c r="P878" i="1"/>
  <c r="R878" i="1" s="1"/>
  <c r="P879" i="1"/>
  <c r="R879" i="1" s="1"/>
  <c r="P880" i="1"/>
  <c r="R880" i="1" s="1"/>
  <c r="P881" i="1"/>
  <c r="R881" i="1" s="1"/>
  <c r="P882" i="1"/>
  <c r="R882" i="1" s="1"/>
  <c r="P883" i="1"/>
  <c r="R883" i="1" s="1"/>
  <c r="P884" i="1"/>
  <c r="R884" i="1" s="1"/>
  <c r="P885" i="1"/>
  <c r="R885" i="1" s="1"/>
  <c r="P886" i="1"/>
  <c r="R886" i="1" s="1"/>
  <c r="P887" i="1"/>
  <c r="R887" i="1" s="1"/>
  <c r="P888" i="1"/>
  <c r="R888" i="1" s="1"/>
  <c r="P889" i="1"/>
  <c r="R889" i="1" s="1"/>
  <c r="P890" i="1"/>
  <c r="R890" i="1" s="1"/>
  <c r="P891" i="1"/>
  <c r="R891" i="1" s="1"/>
  <c r="P892" i="1"/>
  <c r="R892" i="1" s="1"/>
  <c r="P893" i="1"/>
  <c r="R893" i="1" s="1"/>
  <c r="P894" i="1"/>
  <c r="R894" i="1" s="1"/>
  <c r="P895" i="1"/>
  <c r="R895" i="1" s="1"/>
  <c r="P896" i="1"/>
  <c r="R896" i="1" s="1"/>
  <c r="P897" i="1"/>
  <c r="R897" i="1" s="1"/>
  <c r="P898" i="1"/>
  <c r="R898" i="1" s="1"/>
  <c r="P899" i="1"/>
  <c r="R899" i="1" s="1"/>
  <c r="P900" i="1"/>
  <c r="R900" i="1" s="1"/>
  <c r="P901" i="1"/>
  <c r="R901" i="1" s="1"/>
  <c r="P902" i="1"/>
  <c r="R902" i="1" s="1"/>
  <c r="P903" i="1"/>
  <c r="R903" i="1" s="1"/>
  <c r="P904" i="1"/>
  <c r="R904" i="1" s="1"/>
  <c r="P905" i="1"/>
  <c r="R905" i="1" s="1"/>
  <c r="P906" i="1"/>
  <c r="R906" i="1" s="1"/>
  <c r="P907" i="1"/>
  <c r="R907" i="1" s="1"/>
  <c r="P908" i="1"/>
  <c r="R908" i="1" s="1"/>
  <c r="P909" i="1"/>
  <c r="R909" i="1" s="1"/>
  <c r="P911" i="1"/>
  <c r="R911" i="1" s="1"/>
  <c r="P912" i="1"/>
  <c r="R912" i="1" s="1"/>
  <c r="P913" i="1"/>
  <c r="R913" i="1" s="1"/>
  <c r="P914" i="1"/>
  <c r="R914" i="1" s="1"/>
  <c r="P916" i="1"/>
  <c r="R916" i="1" s="1"/>
  <c r="P917" i="1"/>
  <c r="R917" i="1" s="1"/>
  <c r="P918" i="1"/>
  <c r="R918" i="1" s="1"/>
  <c r="P919" i="1"/>
  <c r="R919" i="1" s="1"/>
  <c r="P920" i="1"/>
  <c r="R920" i="1" s="1"/>
  <c r="P921" i="1"/>
  <c r="R921" i="1" s="1"/>
  <c r="P922" i="1"/>
  <c r="R922" i="1" s="1"/>
  <c r="P924" i="1"/>
  <c r="R924" i="1" s="1"/>
  <c r="P925" i="1"/>
  <c r="R925" i="1" s="1"/>
  <c r="P926" i="1"/>
  <c r="R926" i="1" s="1"/>
  <c r="P927" i="1"/>
  <c r="R927" i="1" s="1"/>
  <c r="P928" i="1"/>
  <c r="R928" i="1" s="1"/>
  <c r="P929" i="1"/>
  <c r="R929" i="1" s="1"/>
  <c r="P930" i="1"/>
  <c r="R930" i="1" s="1"/>
  <c r="P931" i="1"/>
  <c r="R931" i="1" s="1"/>
  <c r="P935" i="1"/>
  <c r="R935" i="1" s="1"/>
  <c r="P936" i="1"/>
  <c r="R936" i="1" s="1"/>
  <c r="P937" i="1"/>
  <c r="R937" i="1" s="1"/>
  <c r="P939" i="1"/>
  <c r="R939" i="1" s="1"/>
  <c r="P940" i="1"/>
  <c r="R940" i="1" s="1"/>
  <c r="P941" i="1"/>
  <c r="R941" i="1" s="1"/>
  <c r="P942" i="1"/>
  <c r="R942" i="1" s="1"/>
  <c r="P945" i="1"/>
  <c r="R945" i="1" s="1"/>
  <c r="P946" i="1"/>
  <c r="R946" i="1" s="1"/>
  <c r="P947" i="1"/>
  <c r="R947" i="1" s="1"/>
  <c r="P948" i="1"/>
  <c r="R948" i="1" s="1"/>
  <c r="P949" i="1"/>
  <c r="R949" i="1" s="1"/>
  <c r="P950" i="1"/>
  <c r="R950" i="1" s="1"/>
  <c r="P951" i="1"/>
  <c r="R951" i="1" s="1"/>
  <c r="P952" i="1"/>
  <c r="R952" i="1" s="1"/>
  <c r="P953" i="1"/>
  <c r="R953" i="1" s="1"/>
  <c r="P954" i="1"/>
  <c r="R954" i="1" s="1"/>
  <c r="P955" i="1"/>
  <c r="R955" i="1" s="1"/>
  <c r="P956" i="1"/>
  <c r="R956" i="1" s="1"/>
  <c r="P957" i="1"/>
  <c r="R957" i="1" s="1"/>
  <c r="P958" i="1"/>
  <c r="R958" i="1" s="1"/>
  <c r="P959" i="1"/>
  <c r="R959" i="1" s="1"/>
  <c r="P960" i="1"/>
  <c r="R960" i="1" s="1"/>
  <c r="P965" i="1"/>
  <c r="R965" i="1" s="1"/>
  <c r="P967" i="1"/>
  <c r="R967" i="1" s="1"/>
  <c r="P968" i="1"/>
  <c r="R968" i="1" s="1"/>
  <c r="P969" i="1"/>
  <c r="R969" i="1" s="1"/>
  <c r="P970" i="1"/>
  <c r="R970" i="1" s="1"/>
  <c r="P971" i="1"/>
  <c r="R971" i="1" s="1"/>
  <c r="P974" i="1"/>
  <c r="R974" i="1" s="1"/>
  <c r="P975" i="1"/>
  <c r="R975" i="1" s="1"/>
  <c r="P976" i="1"/>
  <c r="R976" i="1" s="1"/>
  <c r="P984" i="1"/>
  <c r="R984" i="1" s="1"/>
  <c r="P985" i="1"/>
  <c r="R985" i="1" s="1"/>
  <c r="P986" i="1"/>
  <c r="R986" i="1" s="1"/>
  <c r="P987" i="1"/>
  <c r="R987" i="1" s="1"/>
  <c r="P989" i="1"/>
  <c r="R989" i="1" s="1"/>
  <c r="P990" i="1"/>
  <c r="R990" i="1" s="1"/>
  <c r="P991" i="1"/>
  <c r="R991" i="1" s="1"/>
  <c r="P1000" i="1"/>
  <c r="R1000" i="1" s="1"/>
  <c r="P1001" i="1"/>
  <c r="R1001" i="1" s="1"/>
  <c r="P1002" i="1"/>
  <c r="R1002" i="1" s="1"/>
  <c r="P1003" i="1"/>
  <c r="R1003" i="1" s="1"/>
  <c r="P1008" i="1"/>
  <c r="R1008" i="1" s="1"/>
  <c r="P1009" i="1"/>
  <c r="R1009" i="1" s="1"/>
  <c r="P1012" i="1"/>
  <c r="R1012" i="1" s="1"/>
  <c r="P1013" i="1"/>
  <c r="R1013" i="1" s="1"/>
  <c r="P1014" i="1"/>
  <c r="R1014" i="1" s="1"/>
  <c r="P1017" i="1"/>
  <c r="R1017" i="1" s="1"/>
  <c r="P1018" i="1"/>
  <c r="R1018" i="1" s="1"/>
  <c r="P1019" i="1"/>
  <c r="R1019" i="1" s="1"/>
  <c r="P1020" i="1"/>
  <c r="R1020" i="1" s="1"/>
  <c r="R1021" i="1"/>
  <c r="P1027" i="1"/>
  <c r="R1027" i="1" s="1"/>
  <c r="P1028" i="1"/>
  <c r="R1028" i="1" s="1"/>
  <c r="P1029" i="1"/>
  <c r="R1029" i="1" s="1"/>
  <c r="P1030" i="1"/>
  <c r="R1030" i="1" s="1"/>
  <c r="P1031" i="1"/>
  <c r="R1031" i="1" s="1"/>
  <c r="P1032" i="1"/>
  <c r="R1032" i="1" s="1"/>
  <c r="P1034" i="1"/>
  <c r="R1034" i="1" s="1"/>
  <c r="P1035" i="1"/>
  <c r="R1035" i="1" s="1"/>
  <c r="P1037" i="1"/>
  <c r="R1037" i="1" s="1"/>
  <c r="P1040" i="1"/>
  <c r="R1040" i="1" s="1"/>
  <c r="P1041" i="1"/>
  <c r="R1041" i="1" s="1"/>
  <c r="P1042" i="1"/>
  <c r="R1042" i="1" s="1"/>
  <c r="P1043" i="1"/>
  <c r="R1043" i="1" s="1"/>
  <c r="P1044" i="1"/>
  <c r="R1044" i="1" s="1"/>
  <c r="P1045" i="1"/>
  <c r="R1045" i="1" s="1"/>
  <c r="P1046" i="1"/>
  <c r="R1046" i="1" s="1"/>
  <c r="P1049" i="1"/>
  <c r="R1049" i="1" s="1"/>
  <c r="P1050" i="1"/>
  <c r="R1050" i="1" s="1"/>
  <c r="P1051" i="1"/>
  <c r="R1051" i="1" s="1"/>
  <c r="P1053" i="1"/>
  <c r="R1053" i="1" s="1"/>
  <c r="P1054" i="1"/>
  <c r="R1054" i="1" s="1"/>
  <c r="P1055" i="1"/>
  <c r="R1055" i="1" s="1"/>
  <c r="P1058" i="1"/>
  <c r="R1058" i="1" s="1"/>
  <c r="P1059" i="1"/>
  <c r="R1059" i="1" s="1"/>
  <c r="P1060" i="1"/>
  <c r="R1060" i="1" s="1"/>
  <c r="P1065" i="1"/>
  <c r="R1065" i="1" s="1"/>
  <c r="P1066" i="1"/>
  <c r="R1066" i="1" s="1"/>
  <c r="P1067" i="1"/>
  <c r="R1067" i="1" s="1"/>
  <c r="P1072" i="1"/>
  <c r="R1072" i="1" s="1"/>
  <c r="P1073" i="1"/>
  <c r="R1073" i="1" s="1"/>
  <c r="P1074" i="1"/>
  <c r="R1074" i="1" s="1"/>
  <c r="P1075" i="1"/>
  <c r="R1075" i="1" s="1"/>
  <c r="P1076" i="1"/>
  <c r="R1076" i="1" s="1"/>
  <c r="P1077" i="1"/>
  <c r="R1077" i="1" s="1"/>
  <c r="P1082" i="1"/>
  <c r="R1082" i="1" s="1"/>
  <c r="P1083" i="1"/>
  <c r="R1083" i="1" s="1"/>
  <c r="P1084" i="1"/>
  <c r="R1084" i="1" s="1"/>
  <c r="P1085" i="1"/>
  <c r="R1085" i="1" s="1"/>
  <c r="P1086" i="1"/>
  <c r="R1086" i="1" s="1"/>
  <c r="P1087" i="1"/>
  <c r="R1087" i="1" s="1"/>
  <c r="P1088" i="1"/>
  <c r="R1088" i="1" s="1"/>
  <c r="P1089" i="1"/>
  <c r="R1089" i="1" s="1"/>
  <c r="P1091" i="1"/>
  <c r="R1091" i="1" s="1"/>
  <c r="P1092" i="1"/>
  <c r="R1092" i="1" s="1"/>
  <c r="P1093" i="1"/>
  <c r="R1093" i="1" s="1"/>
  <c r="P1094" i="1"/>
  <c r="R1094" i="1" s="1"/>
  <c r="P1095" i="1"/>
  <c r="R1095" i="1" s="1"/>
  <c r="P1096" i="1"/>
  <c r="R1096" i="1" s="1"/>
  <c r="P1097" i="1"/>
  <c r="R1097" i="1" s="1"/>
  <c r="P1098" i="1"/>
  <c r="R1098" i="1" s="1"/>
  <c r="P1099" i="1"/>
  <c r="R1099" i="1" s="1"/>
  <c r="P1100" i="1"/>
  <c r="R1100" i="1" s="1"/>
  <c r="P1101" i="1"/>
  <c r="R1101" i="1" s="1"/>
  <c r="P1102" i="1"/>
  <c r="R1102" i="1" s="1"/>
  <c r="P1103" i="1"/>
  <c r="R1103" i="1" s="1"/>
  <c r="P1105" i="1"/>
  <c r="R1105" i="1" s="1"/>
  <c r="P1108" i="1"/>
  <c r="R1108" i="1" s="1"/>
  <c r="P1109" i="1"/>
  <c r="R1109" i="1" s="1"/>
  <c r="P1110" i="1"/>
  <c r="R1110" i="1" s="1"/>
  <c r="P1111" i="1"/>
  <c r="R1111" i="1" s="1"/>
  <c r="P1112" i="1"/>
  <c r="R1112" i="1" s="1"/>
  <c r="P1118" i="1"/>
  <c r="R1118" i="1" s="1"/>
  <c r="P1120" i="1"/>
  <c r="R1120" i="1" s="1"/>
  <c r="P1121" i="1"/>
  <c r="R1121" i="1" s="1"/>
  <c r="P1122" i="1"/>
  <c r="R1122" i="1" s="1"/>
  <c r="P1123" i="1"/>
  <c r="R1123" i="1" s="1"/>
  <c r="P1124" i="1"/>
  <c r="R1124" i="1" s="1"/>
  <c r="P1125" i="1"/>
  <c r="R1125" i="1" s="1"/>
  <c r="P1126" i="1"/>
  <c r="R1126" i="1" s="1"/>
  <c r="P1127" i="1"/>
  <c r="R1127" i="1" s="1"/>
  <c r="P1128" i="1"/>
  <c r="R1128" i="1" s="1"/>
  <c r="P1129" i="1"/>
  <c r="R1129" i="1" s="1"/>
  <c r="P1130" i="1"/>
  <c r="R1130" i="1" s="1"/>
  <c r="P1131" i="1"/>
  <c r="R1131" i="1" s="1"/>
  <c r="P1132" i="1"/>
  <c r="R1132" i="1" s="1"/>
  <c r="P1133" i="1"/>
  <c r="R1133" i="1" s="1"/>
  <c r="P1135" i="1"/>
  <c r="R1135" i="1" s="1"/>
  <c r="P1136" i="1"/>
  <c r="R1136" i="1" s="1"/>
  <c r="P1137" i="1"/>
  <c r="R1137" i="1" s="1"/>
  <c r="P1138" i="1"/>
  <c r="R1138" i="1" s="1"/>
  <c r="P1139" i="1"/>
  <c r="R1139" i="1" s="1"/>
  <c r="P1140" i="1"/>
  <c r="R1140" i="1" s="1"/>
  <c r="P1141" i="1"/>
  <c r="R1141" i="1" s="1"/>
  <c r="P1142" i="1"/>
  <c r="R1142" i="1" s="1"/>
  <c r="P1143" i="1"/>
  <c r="R1143" i="1" s="1"/>
  <c r="P1144" i="1"/>
  <c r="R1144" i="1" s="1"/>
  <c r="P1145" i="1"/>
  <c r="R1145" i="1" s="1"/>
  <c r="P1147" i="1"/>
  <c r="R1147" i="1" s="1"/>
  <c r="P1148" i="1"/>
  <c r="R1148" i="1" s="1"/>
  <c r="P1149" i="1"/>
  <c r="R1149" i="1" s="1"/>
  <c r="P1150" i="1"/>
  <c r="R1150" i="1" s="1"/>
  <c r="P1152" i="1"/>
  <c r="R1152" i="1" s="1"/>
  <c r="P1155" i="1"/>
  <c r="R1155" i="1" s="1"/>
  <c r="P1156" i="1"/>
  <c r="R1156" i="1" s="1"/>
  <c r="P1157" i="1"/>
  <c r="R1157" i="1" s="1"/>
  <c r="P1161" i="1"/>
  <c r="R1161" i="1" s="1"/>
  <c r="P1165" i="1"/>
  <c r="R1165" i="1" s="1"/>
  <c r="P1166" i="1"/>
  <c r="R1166" i="1" s="1"/>
  <c r="P1169" i="1"/>
  <c r="R1169" i="1" s="1"/>
  <c r="P1170" i="1"/>
  <c r="R1170" i="1" s="1"/>
  <c r="P1171" i="1"/>
  <c r="R1171" i="1" s="1"/>
  <c r="P1172" i="1"/>
  <c r="R1172" i="1" s="1"/>
  <c r="P1173" i="1"/>
  <c r="R1173" i="1" s="1"/>
  <c r="P1177" i="1"/>
  <c r="R1177" i="1" s="1"/>
  <c r="P1178" i="1"/>
  <c r="R1178" i="1" s="1"/>
  <c r="P1179" i="1"/>
  <c r="R1179" i="1" s="1"/>
  <c r="P1180" i="1"/>
  <c r="R1180" i="1" s="1"/>
  <c r="P1181" i="1"/>
  <c r="R1181" i="1" s="1"/>
  <c r="P1269" i="1"/>
  <c r="R1269" i="1" s="1"/>
  <c r="P1183" i="1"/>
  <c r="R1183" i="1" s="1"/>
  <c r="P1186" i="1"/>
  <c r="R1186" i="1" s="1"/>
  <c r="P1187" i="1"/>
  <c r="R1187" i="1" s="1"/>
  <c r="P1188" i="1"/>
  <c r="R1188" i="1" s="1"/>
  <c r="P1189" i="1"/>
  <c r="R1189" i="1" s="1"/>
  <c r="P1190" i="1"/>
  <c r="R1190" i="1" s="1"/>
  <c r="P1191" i="1"/>
  <c r="R1191" i="1" s="1"/>
  <c r="P1200" i="1"/>
  <c r="R1200" i="1" s="1"/>
  <c r="P1201" i="1"/>
  <c r="R1201" i="1" s="1"/>
  <c r="P1203" i="1"/>
  <c r="R1203" i="1" s="1"/>
  <c r="P1204" i="1"/>
  <c r="R1204" i="1" s="1"/>
  <c r="P1205" i="1"/>
  <c r="R1205" i="1" s="1"/>
  <c r="P1206" i="1"/>
  <c r="R1206" i="1" s="1"/>
  <c r="P1207" i="1"/>
  <c r="R1207" i="1" s="1"/>
  <c r="P1208" i="1"/>
  <c r="R1208" i="1" s="1"/>
  <c r="P1209" i="1"/>
  <c r="R1209" i="1" s="1"/>
  <c r="P1211" i="1"/>
  <c r="R1211" i="1" s="1"/>
  <c r="P1212" i="1"/>
  <c r="R1212" i="1" s="1"/>
  <c r="P1214" i="1"/>
  <c r="R1214" i="1" s="1"/>
  <c r="P1215" i="1"/>
  <c r="R1215" i="1" s="1"/>
  <c r="P1216" i="1"/>
  <c r="R1216" i="1" s="1"/>
  <c r="P1217" i="1"/>
  <c r="R1217" i="1" s="1"/>
  <c r="P1218" i="1"/>
  <c r="R1218" i="1" s="1"/>
  <c r="P1219" i="1"/>
  <c r="R1219" i="1" s="1"/>
  <c r="P1220" i="1"/>
  <c r="R1220" i="1" s="1"/>
  <c r="P1221" i="1"/>
  <c r="R1221" i="1" s="1"/>
  <c r="P1222" i="1"/>
  <c r="R1222" i="1" s="1"/>
  <c r="P1223" i="1"/>
  <c r="R1223" i="1" s="1"/>
  <c r="P1224" i="1"/>
  <c r="R1224" i="1" s="1"/>
  <c r="P1225" i="1"/>
  <c r="R1225" i="1" s="1"/>
  <c r="P1228" i="1"/>
  <c r="R1228" i="1" s="1"/>
  <c r="P1229" i="1"/>
  <c r="R1229" i="1" s="1"/>
  <c r="P1230" i="1"/>
  <c r="R1230" i="1" s="1"/>
  <c r="P1231" i="1"/>
  <c r="R1231" i="1" s="1"/>
  <c r="P1237" i="1"/>
  <c r="R1237" i="1" s="1"/>
  <c r="P1238" i="1"/>
  <c r="R1238" i="1" s="1"/>
  <c r="P1239" i="1"/>
  <c r="R1239" i="1" s="1"/>
  <c r="P1240" i="1"/>
  <c r="R1240" i="1" s="1"/>
  <c r="P1241" i="1"/>
  <c r="R1241" i="1" s="1"/>
  <c r="P1242" i="1"/>
  <c r="R1242" i="1" s="1"/>
  <c r="P1243" i="1"/>
  <c r="R1243" i="1" s="1"/>
  <c r="P1244" i="1"/>
  <c r="R1244" i="1" s="1"/>
  <c r="P1246" i="1"/>
  <c r="R1246" i="1" s="1"/>
  <c r="P1247" i="1"/>
  <c r="R1247" i="1" s="1"/>
  <c r="P1248" i="1"/>
  <c r="R1248" i="1" s="1"/>
  <c r="P1249" i="1"/>
  <c r="R1249" i="1" s="1"/>
  <c r="P1250" i="1"/>
  <c r="R1250" i="1" s="1"/>
  <c r="P1251" i="1"/>
  <c r="R1251" i="1" s="1"/>
  <c r="P1252" i="1"/>
  <c r="R1252" i="1" s="1"/>
  <c r="P1253" i="1"/>
  <c r="R1253" i="1" s="1"/>
  <c r="P1254" i="1"/>
  <c r="R1254" i="1" s="1"/>
  <c r="P1174" i="1"/>
  <c r="R1174" i="1" s="1"/>
  <c r="P1260" i="1"/>
  <c r="R1260" i="1" s="1"/>
  <c r="P1261" i="1"/>
  <c r="R1261" i="1" s="1"/>
  <c r="P1262" i="1"/>
  <c r="R1262" i="1" s="1"/>
  <c r="P1263" i="1"/>
  <c r="R1263" i="1" s="1"/>
  <c r="P1264" i="1"/>
  <c r="R1264" i="1" s="1"/>
  <c r="P1265" i="1"/>
  <c r="R1265" i="1" s="1"/>
  <c r="P1266" i="1"/>
  <c r="R1266" i="1" s="1"/>
  <c r="P1267" i="1"/>
  <c r="R1267" i="1" s="1"/>
  <c r="P1268" i="1"/>
  <c r="R1268" i="1" s="1"/>
  <c r="P420" i="1"/>
  <c r="R420" i="1" s="1"/>
  <c r="M422" i="1"/>
  <c r="O422" i="1" s="1"/>
  <c r="M423" i="1"/>
  <c r="O423" i="1" s="1"/>
  <c r="M424" i="1"/>
  <c r="O424" i="1" s="1"/>
  <c r="M425" i="1"/>
  <c r="O425" i="1" s="1"/>
  <c r="M426" i="1"/>
  <c r="O426" i="1" s="1"/>
  <c r="M427" i="1"/>
  <c r="O427" i="1" s="1"/>
  <c r="M430" i="1"/>
  <c r="O430" i="1" s="1"/>
  <c r="M431" i="1"/>
  <c r="O431" i="1" s="1"/>
  <c r="M432" i="1"/>
  <c r="O432" i="1" s="1"/>
  <c r="M437" i="1"/>
  <c r="O437" i="1" s="1"/>
  <c r="M438" i="1"/>
  <c r="O438" i="1" s="1"/>
  <c r="M439" i="1"/>
  <c r="O439" i="1" s="1"/>
  <c r="M440" i="1"/>
  <c r="O440" i="1" s="1"/>
  <c r="M441" i="1"/>
  <c r="O441" i="1" s="1"/>
  <c r="M442" i="1"/>
  <c r="O442" i="1" s="1"/>
  <c r="M443" i="1"/>
  <c r="O443" i="1" s="1"/>
  <c r="M444" i="1"/>
  <c r="O444" i="1" s="1"/>
  <c r="M445" i="1"/>
  <c r="O445" i="1" s="1"/>
  <c r="M446" i="1"/>
  <c r="O446" i="1" s="1"/>
  <c r="M447" i="1"/>
  <c r="O447" i="1" s="1"/>
  <c r="M448" i="1"/>
  <c r="O448" i="1" s="1"/>
  <c r="M449" i="1"/>
  <c r="O449" i="1" s="1"/>
  <c r="M450" i="1"/>
  <c r="O450" i="1" s="1"/>
  <c r="M454" i="1"/>
  <c r="O454" i="1" s="1"/>
  <c r="M455" i="1"/>
  <c r="O455" i="1" s="1"/>
  <c r="M456" i="1"/>
  <c r="O456" i="1" s="1"/>
  <c r="M460" i="1"/>
  <c r="O460" i="1" s="1"/>
  <c r="M461" i="1"/>
  <c r="O461" i="1" s="1"/>
  <c r="M462" i="1"/>
  <c r="O462" i="1" s="1"/>
  <c r="M463" i="1"/>
  <c r="O463" i="1" s="1"/>
  <c r="M464" i="1"/>
  <c r="O464" i="1" s="1"/>
  <c r="M465" i="1"/>
  <c r="O465" i="1" s="1"/>
  <c r="M467" i="1"/>
  <c r="O467" i="1" s="1"/>
  <c r="M468" i="1"/>
  <c r="O468" i="1" s="1"/>
  <c r="M470" i="1"/>
  <c r="O470" i="1" s="1"/>
  <c r="M471" i="1"/>
  <c r="O471" i="1" s="1"/>
  <c r="M472" i="1"/>
  <c r="O472" i="1" s="1"/>
  <c r="M473" i="1"/>
  <c r="O473" i="1" s="1"/>
  <c r="M474" i="1"/>
  <c r="O474" i="1" s="1"/>
  <c r="M475" i="1"/>
  <c r="O475" i="1" s="1"/>
  <c r="M480" i="1"/>
  <c r="O480" i="1" s="1"/>
  <c r="M481" i="1"/>
  <c r="O481" i="1" s="1"/>
  <c r="M482" i="1"/>
  <c r="O482" i="1" s="1"/>
  <c r="M483" i="1"/>
  <c r="O483" i="1" s="1"/>
  <c r="M484" i="1"/>
  <c r="O484" i="1" s="1"/>
  <c r="M485" i="1"/>
  <c r="O485" i="1" s="1"/>
  <c r="M486" i="1"/>
  <c r="O486" i="1" s="1"/>
  <c r="M487" i="1"/>
  <c r="O487" i="1" s="1"/>
  <c r="M488" i="1"/>
  <c r="O488" i="1" s="1"/>
  <c r="M489" i="1"/>
  <c r="O489" i="1" s="1"/>
  <c r="M490" i="1"/>
  <c r="O490" i="1" s="1"/>
  <c r="M491" i="1"/>
  <c r="O491" i="1" s="1"/>
  <c r="M492" i="1"/>
  <c r="O492" i="1" s="1"/>
  <c r="M493" i="1"/>
  <c r="O493" i="1" s="1"/>
  <c r="M494" i="1"/>
  <c r="O494" i="1" s="1"/>
  <c r="M495" i="1"/>
  <c r="O495" i="1" s="1"/>
  <c r="M496" i="1"/>
  <c r="O496" i="1" s="1"/>
  <c r="M497" i="1"/>
  <c r="O497" i="1" s="1"/>
  <c r="M498" i="1"/>
  <c r="O498" i="1" s="1"/>
  <c r="M499" i="1"/>
  <c r="O499" i="1" s="1"/>
  <c r="M500" i="1"/>
  <c r="O500" i="1" s="1"/>
  <c r="M501" i="1"/>
  <c r="O501" i="1" s="1"/>
  <c r="M502" i="1"/>
  <c r="O502" i="1" s="1"/>
  <c r="M503" i="1"/>
  <c r="O503" i="1" s="1"/>
  <c r="M504" i="1"/>
  <c r="O504" i="1" s="1"/>
  <c r="M505" i="1"/>
  <c r="O505" i="1" s="1"/>
  <c r="M506" i="1"/>
  <c r="O506" i="1" s="1"/>
  <c r="M507" i="1"/>
  <c r="O507" i="1" s="1"/>
  <c r="M508" i="1"/>
  <c r="O508" i="1" s="1"/>
  <c r="M509" i="1"/>
  <c r="O509" i="1" s="1"/>
  <c r="M510" i="1"/>
  <c r="O510" i="1" s="1"/>
  <c r="M511" i="1"/>
  <c r="O511" i="1" s="1"/>
  <c r="M512" i="1"/>
  <c r="O512" i="1" s="1"/>
  <c r="M513" i="1"/>
  <c r="O513" i="1" s="1"/>
  <c r="M514" i="1"/>
  <c r="O514" i="1" s="1"/>
  <c r="M515" i="1"/>
  <c r="O515" i="1" s="1"/>
  <c r="M516" i="1"/>
  <c r="O516" i="1" s="1"/>
  <c r="M517" i="1"/>
  <c r="O517" i="1" s="1"/>
  <c r="M518" i="1"/>
  <c r="O518" i="1" s="1"/>
  <c r="M519" i="1"/>
  <c r="O519" i="1" s="1"/>
  <c r="M520" i="1"/>
  <c r="O520" i="1" s="1"/>
  <c r="M521" i="1"/>
  <c r="O521" i="1" s="1"/>
  <c r="M522" i="1"/>
  <c r="O522" i="1" s="1"/>
  <c r="M523" i="1"/>
  <c r="O523" i="1" s="1"/>
  <c r="M524" i="1"/>
  <c r="O524" i="1" s="1"/>
  <c r="M525" i="1"/>
  <c r="O525" i="1" s="1"/>
  <c r="M526" i="1"/>
  <c r="O526" i="1" s="1"/>
  <c r="M527" i="1"/>
  <c r="O527" i="1" s="1"/>
  <c r="M528" i="1"/>
  <c r="O528" i="1" s="1"/>
  <c r="M529" i="1"/>
  <c r="O529" i="1" s="1"/>
  <c r="M530" i="1"/>
  <c r="O530" i="1" s="1"/>
  <c r="M531" i="1"/>
  <c r="O531" i="1" s="1"/>
  <c r="M532" i="1"/>
  <c r="O532" i="1" s="1"/>
  <c r="M533" i="1"/>
  <c r="O533" i="1" s="1"/>
  <c r="M534" i="1"/>
  <c r="O534" i="1" s="1"/>
  <c r="M535" i="1"/>
  <c r="O535" i="1" s="1"/>
  <c r="M536" i="1"/>
  <c r="O536" i="1" s="1"/>
  <c r="M537" i="1"/>
  <c r="O537" i="1" s="1"/>
  <c r="M538" i="1"/>
  <c r="O538" i="1" s="1"/>
  <c r="M539" i="1"/>
  <c r="O539" i="1" s="1"/>
  <c r="M540" i="1"/>
  <c r="O540" i="1" s="1"/>
  <c r="M541" i="1"/>
  <c r="O541" i="1" s="1"/>
  <c r="M542" i="1"/>
  <c r="O542" i="1" s="1"/>
  <c r="M543" i="1"/>
  <c r="O543" i="1" s="1"/>
  <c r="M544" i="1"/>
  <c r="O544" i="1" s="1"/>
  <c r="M545" i="1"/>
  <c r="O545" i="1" s="1"/>
  <c r="M546" i="1"/>
  <c r="O546" i="1" s="1"/>
  <c r="M547" i="1"/>
  <c r="O547" i="1" s="1"/>
  <c r="M548" i="1"/>
  <c r="O548" i="1" s="1"/>
  <c r="M549" i="1"/>
  <c r="O549" i="1" s="1"/>
  <c r="M550" i="1"/>
  <c r="O550" i="1" s="1"/>
  <c r="M551" i="1"/>
  <c r="O551" i="1" s="1"/>
  <c r="M552" i="1"/>
  <c r="O552" i="1" s="1"/>
  <c r="M553" i="1"/>
  <c r="O553" i="1" s="1"/>
  <c r="M554" i="1"/>
  <c r="O554" i="1" s="1"/>
  <c r="M555" i="1"/>
  <c r="O555" i="1" s="1"/>
  <c r="M556" i="1"/>
  <c r="O556" i="1" s="1"/>
  <c r="M557" i="1"/>
  <c r="O557" i="1" s="1"/>
  <c r="M558" i="1"/>
  <c r="O558" i="1" s="1"/>
  <c r="M559" i="1"/>
  <c r="O559" i="1" s="1"/>
  <c r="M560" i="1"/>
  <c r="O560" i="1" s="1"/>
  <c r="M561" i="1"/>
  <c r="O561" i="1" s="1"/>
  <c r="M562" i="1"/>
  <c r="O562" i="1" s="1"/>
  <c r="M563" i="1"/>
  <c r="O563" i="1" s="1"/>
  <c r="M564" i="1"/>
  <c r="O564" i="1" s="1"/>
  <c r="M565" i="1"/>
  <c r="O565" i="1" s="1"/>
  <c r="M566" i="1"/>
  <c r="O566" i="1" s="1"/>
  <c r="M567" i="1"/>
  <c r="O567" i="1" s="1"/>
  <c r="M568" i="1"/>
  <c r="O568" i="1" s="1"/>
  <c r="M569" i="1"/>
  <c r="O569" i="1" s="1"/>
  <c r="M570" i="1"/>
  <c r="O570" i="1" s="1"/>
  <c r="M571" i="1"/>
  <c r="O571" i="1" s="1"/>
  <c r="M572" i="1"/>
  <c r="O572" i="1" s="1"/>
  <c r="M573" i="1"/>
  <c r="O573" i="1" s="1"/>
  <c r="M574" i="1"/>
  <c r="O574" i="1" s="1"/>
  <c r="M575" i="1"/>
  <c r="O575" i="1" s="1"/>
  <c r="M576" i="1"/>
  <c r="O576" i="1" s="1"/>
  <c r="M577" i="1"/>
  <c r="O577" i="1" s="1"/>
  <c r="M578" i="1"/>
  <c r="O578" i="1" s="1"/>
  <c r="M579" i="1"/>
  <c r="O579" i="1" s="1"/>
  <c r="M580" i="1"/>
  <c r="O580" i="1" s="1"/>
  <c r="M581" i="1"/>
  <c r="O581" i="1" s="1"/>
  <c r="M582" i="1"/>
  <c r="O582" i="1" s="1"/>
  <c r="M583" i="1"/>
  <c r="O583" i="1" s="1"/>
  <c r="M584" i="1"/>
  <c r="O584" i="1" s="1"/>
  <c r="M585" i="1"/>
  <c r="O585" i="1" s="1"/>
  <c r="M586" i="1"/>
  <c r="O586" i="1" s="1"/>
  <c r="M587" i="1"/>
  <c r="O587" i="1" s="1"/>
  <c r="M588" i="1"/>
  <c r="O588" i="1" s="1"/>
  <c r="M589" i="1"/>
  <c r="O589" i="1" s="1"/>
  <c r="M590" i="1"/>
  <c r="O590" i="1" s="1"/>
  <c r="M591" i="1"/>
  <c r="O591" i="1" s="1"/>
  <c r="M592" i="1"/>
  <c r="O592" i="1" s="1"/>
  <c r="M593" i="1"/>
  <c r="O593" i="1" s="1"/>
  <c r="M594" i="1"/>
  <c r="O594" i="1" s="1"/>
  <c r="M595" i="1"/>
  <c r="O595" i="1" s="1"/>
  <c r="M596" i="1"/>
  <c r="O596" i="1" s="1"/>
  <c r="M597" i="1"/>
  <c r="O597" i="1" s="1"/>
  <c r="M598" i="1"/>
  <c r="O598" i="1" s="1"/>
  <c r="M599" i="1"/>
  <c r="O599" i="1" s="1"/>
  <c r="M600" i="1"/>
  <c r="O600" i="1" s="1"/>
  <c r="M601" i="1"/>
  <c r="O601" i="1" s="1"/>
  <c r="M602" i="1"/>
  <c r="O602" i="1" s="1"/>
  <c r="M603" i="1"/>
  <c r="O603" i="1" s="1"/>
  <c r="M604" i="1"/>
  <c r="O604" i="1" s="1"/>
  <c r="M605" i="1"/>
  <c r="O605" i="1" s="1"/>
  <c r="M606" i="1"/>
  <c r="O606" i="1" s="1"/>
  <c r="M607" i="1"/>
  <c r="O607" i="1" s="1"/>
  <c r="M608" i="1"/>
  <c r="O608" i="1" s="1"/>
  <c r="M609" i="1"/>
  <c r="O609" i="1" s="1"/>
  <c r="M610" i="1"/>
  <c r="O610" i="1" s="1"/>
  <c r="M611" i="1"/>
  <c r="O611" i="1" s="1"/>
  <c r="M612" i="1"/>
  <c r="O612" i="1" s="1"/>
  <c r="M613" i="1"/>
  <c r="O613" i="1" s="1"/>
  <c r="M614" i="1"/>
  <c r="O614" i="1" s="1"/>
  <c r="M615" i="1"/>
  <c r="O615" i="1" s="1"/>
  <c r="M616" i="1"/>
  <c r="O616" i="1" s="1"/>
  <c r="M617" i="1"/>
  <c r="O617" i="1" s="1"/>
  <c r="M618" i="1"/>
  <c r="O618" i="1" s="1"/>
  <c r="M619" i="1"/>
  <c r="O619" i="1" s="1"/>
  <c r="M620" i="1"/>
  <c r="O620" i="1" s="1"/>
  <c r="M621" i="1"/>
  <c r="O621" i="1" s="1"/>
  <c r="M622" i="1"/>
  <c r="O622" i="1" s="1"/>
  <c r="M623" i="1"/>
  <c r="O623" i="1" s="1"/>
  <c r="M624" i="1"/>
  <c r="O624" i="1" s="1"/>
  <c r="M625" i="1"/>
  <c r="O625" i="1" s="1"/>
  <c r="M626" i="1"/>
  <c r="O626" i="1" s="1"/>
  <c r="M627" i="1"/>
  <c r="O627" i="1" s="1"/>
  <c r="M628" i="1"/>
  <c r="O628" i="1" s="1"/>
  <c r="M629" i="1"/>
  <c r="O629" i="1" s="1"/>
  <c r="M630" i="1"/>
  <c r="O630" i="1" s="1"/>
  <c r="M631" i="1"/>
  <c r="O631" i="1" s="1"/>
  <c r="M632" i="1"/>
  <c r="O632" i="1" s="1"/>
  <c r="M633" i="1"/>
  <c r="O633" i="1" s="1"/>
  <c r="M634" i="1"/>
  <c r="O634" i="1" s="1"/>
  <c r="M635" i="1"/>
  <c r="O635" i="1" s="1"/>
  <c r="M636" i="1"/>
  <c r="O636" i="1" s="1"/>
  <c r="M637" i="1"/>
  <c r="O637" i="1" s="1"/>
  <c r="M638" i="1"/>
  <c r="O638" i="1" s="1"/>
  <c r="M639" i="1"/>
  <c r="O639" i="1" s="1"/>
  <c r="M640" i="1"/>
  <c r="O640" i="1" s="1"/>
  <c r="M641" i="1"/>
  <c r="O641" i="1" s="1"/>
  <c r="M642" i="1"/>
  <c r="O642" i="1" s="1"/>
  <c r="M643" i="1"/>
  <c r="O643" i="1" s="1"/>
  <c r="M644" i="1"/>
  <c r="O644" i="1" s="1"/>
  <c r="M645" i="1"/>
  <c r="O645" i="1" s="1"/>
  <c r="M646" i="1"/>
  <c r="O646" i="1" s="1"/>
  <c r="M647" i="1"/>
  <c r="O647" i="1" s="1"/>
  <c r="M649" i="1"/>
  <c r="O649" i="1" s="1"/>
  <c r="M650" i="1"/>
  <c r="O650" i="1" s="1"/>
  <c r="M651" i="1"/>
  <c r="O651" i="1" s="1"/>
  <c r="M652" i="1"/>
  <c r="O652" i="1" s="1"/>
  <c r="M653" i="1"/>
  <c r="O653" i="1" s="1"/>
  <c r="M654" i="1"/>
  <c r="O654" i="1" s="1"/>
  <c r="M655" i="1"/>
  <c r="O655" i="1" s="1"/>
  <c r="M656" i="1"/>
  <c r="O656" i="1" s="1"/>
  <c r="M657" i="1"/>
  <c r="O657" i="1" s="1"/>
  <c r="M658" i="1"/>
  <c r="O658" i="1" s="1"/>
  <c r="M659" i="1"/>
  <c r="O659" i="1" s="1"/>
  <c r="M660" i="1"/>
  <c r="O660" i="1" s="1"/>
  <c r="M661" i="1"/>
  <c r="O661" i="1" s="1"/>
  <c r="M662" i="1"/>
  <c r="O662" i="1" s="1"/>
  <c r="M663" i="1"/>
  <c r="O663" i="1" s="1"/>
  <c r="M664" i="1"/>
  <c r="O664" i="1" s="1"/>
  <c r="M665" i="1"/>
  <c r="O665" i="1" s="1"/>
  <c r="M666" i="1"/>
  <c r="O666" i="1" s="1"/>
  <c r="M667" i="1"/>
  <c r="O667" i="1" s="1"/>
  <c r="M668" i="1"/>
  <c r="O668" i="1" s="1"/>
  <c r="M669" i="1"/>
  <c r="O669" i="1" s="1"/>
  <c r="M670" i="1"/>
  <c r="O670" i="1" s="1"/>
  <c r="M671" i="1"/>
  <c r="O671" i="1" s="1"/>
  <c r="M672" i="1"/>
  <c r="O672" i="1" s="1"/>
  <c r="M673" i="1"/>
  <c r="O673" i="1" s="1"/>
  <c r="M674" i="1"/>
  <c r="O674" i="1" s="1"/>
  <c r="M676" i="1"/>
  <c r="O676" i="1" s="1"/>
  <c r="M677" i="1"/>
  <c r="O677" i="1" s="1"/>
  <c r="M678" i="1"/>
  <c r="O678" i="1" s="1"/>
  <c r="M679" i="1"/>
  <c r="O679" i="1" s="1"/>
  <c r="M680" i="1"/>
  <c r="O680" i="1" s="1"/>
  <c r="M681" i="1"/>
  <c r="O681" i="1" s="1"/>
  <c r="M682" i="1"/>
  <c r="O682" i="1" s="1"/>
  <c r="M683" i="1"/>
  <c r="O683" i="1" s="1"/>
  <c r="M684" i="1"/>
  <c r="O684" i="1" s="1"/>
  <c r="M685" i="1"/>
  <c r="O685" i="1" s="1"/>
  <c r="M686" i="1"/>
  <c r="O686" i="1" s="1"/>
  <c r="M687" i="1"/>
  <c r="O687" i="1" s="1"/>
  <c r="M688" i="1"/>
  <c r="O688" i="1" s="1"/>
  <c r="M689" i="1"/>
  <c r="O689" i="1" s="1"/>
  <c r="M690" i="1"/>
  <c r="O690" i="1" s="1"/>
  <c r="M691" i="1"/>
  <c r="O691" i="1" s="1"/>
  <c r="M692" i="1"/>
  <c r="O692" i="1" s="1"/>
  <c r="M693" i="1"/>
  <c r="O693" i="1" s="1"/>
  <c r="M694" i="1"/>
  <c r="O694" i="1" s="1"/>
  <c r="M695" i="1"/>
  <c r="O695" i="1" s="1"/>
  <c r="M696" i="1"/>
  <c r="O696" i="1" s="1"/>
  <c r="M697" i="1"/>
  <c r="O697" i="1" s="1"/>
  <c r="M698" i="1"/>
  <c r="O698" i="1" s="1"/>
  <c r="M699" i="1"/>
  <c r="O699" i="1" s="1"/>
  <c r="M700" i="1"/>
  <c r="O700" i="1" s="1"/>
  <c r="M701" i="1"/>
  <c r="O701" i="1" s="1"/>
  <c r="M702" i="1"/>
  <c r="O702" i="1" s="1"/>
  <c r="M703" i="1"/>
  <c r="O703" i="1" s="1"/>
  <c r="M704" i="1"/>
  <c r="O704" i="1" s="1"/>
  <c r="M705" i="1"/>
  <c r="O705" i="1" s="1"/>
  <c r="M706" i="1"/>
  <c r="O706" i="1" s="1"/>
  <c r="M707" i="1"/>
  <c r="O707" i="1" s="1"/>
  <c r="M708" i="1"/>
  <c r="O708" i="1" s="1"/>
  <c r="M709" i="1"/>
  <c r="O709" i="1" s="1"/>
  <c r="M710" i="1"/>
  <c r="O710" i="1" s="1"/>
  <c r="M711" i="1"/>
  <c r="O711" i="1" s="1"/>
  <c r="M712" i="1"/>
  <c r="O712" i="1" s="1"/>
  <c r="M713" i="1"/>
  <c r="O713" i="1" s="1"/>
  <c r="M714" i="1"/>
  <c r="O714" i="1" s="1"/>
  <c r="M715" i="1"/>
  <c r="O715" i="1" s="1"/>
  <c r="M716" i="1"/>
  <c r="O716" i="1" s="1"/>
  <c r="M717" i="1"/>
  <c r="O717" i="1" s="1"/>
  <c r="M718" i="1"/>
  <c r="O718" i="1" s="1"/>
  <c r="M719" i="1"/>
  <c r="O719" i="1" s="1"/>
  <c r="M720" i="1"/>
  <c r="O720" i="1" s="1"/>
  <c r="O721" i="1"/>
  <c r="M723" i="1"/>
  <c r="O723" i="1" s="1"/>
  <c r="M724" i="1"/>
  <c r="O724" i="1" s="1"/>
  <c r="M725" i="1"/>
  <c r="O725" i="1" s="1"/>
  <c r="M726" i="1"/>
  <c r="O726" i="1" s="1"/>
  <c r="M727" i="1"/>
  <c r="O727" i="1" s="1"/>
  <c r="M728" i="1"/>
  <c r="O728" i="1" s="1"/>
  <c r="M730" i="1"/>
  <c r="O730" i="1" s="1"/>
  <c r="M731" i="1"/>
  <c r="O731" i="1" s="1"/>
  <c r="M732" i="1"/>
  <c r="O732" i="1" s="1"/>
  <c r="M733" i="1"/>
  <c r="O733" i="1" s="1"/>
  <c r="M734" i="1"/>
  <c r="O734" i="1" s="1"/>
  <c r="M735" i="1"/>
  <c r="O735" i="1" s="1"/>
  <c r="M736" i="1"/>
  <c r="O736" i="1" s="1"/>
  <c r="M737" i="1"/>
  <c r="O737" i="1" s="1"/>
  <c r="M738" i="1"/>
  <c r="O738" i="1" s="1"/>
  <c r="M739" i="1"/>
  <c r="O739" i="1" s="1"/>
  <c r="M740" i="1"/>
  <c r="O740" i="1" s="1"/>
  <c r="M741" i="1"/>
  <c r="O741" i="1" s="1"/>
  <c r="M742" i="1"/>
  <c r="O742" i="1" s="1"/>
  <c r="M743" i="1"/>
  <c r="O743" i="1" s="1"/>
  <c r="M748" i="1"/>
  <c r="O748" i="1" s="1"/>
  <c r="M749" i="1"/>
  <c r="O749" i="1" s="1"/>
  <c r="M750" i="1"/>
  <c r="O750" i="1" s="1"/>
  <c r="M751" i="1"/>
  <c r="O751" i="1" s="1"/>
  <c r="M752" i="1"/>
  <c r="O752" i="1" s="1"/>
  <c r="M754" i="1"/>
  <c r="O754" i="1" s="1"/>
  <c r="M755" i="1"/>
  <c r="O755" i="1" s="1"/>
  <c r="M756" i="1"/>
  <c r="O756" i="1" s="1"/>
  <c r="M757" i="1"/>
  <c r="O757" i="1" s="1"/>
  <c r="M759" i="1"/>
  <c r="O759" i="1" s="1"/>
  <c r="M760" i="1"/>
  <c r="O760" i="1" s="1"/>
  <c r="M761" i="1"/>
  <c r="O761" i="1" s="1"/>
  <c r="M762" i="1"/>
  <c r="O762" i="1" s="1"/>
  <c r="M763" i="1"/>
  <c r="O763" i="1" s="1"/>
  <c r="M764" i="1"/>
  <c r="O764" i="1" s="1"/>
  <c r="M765" i="1"/>
  <c r="O765" i="1" s="1"/>
  <c r="M766" i="1"/>
  <c r="O766" i="1" s="1"/>
  <c r="M767" i="1"/>
  <c r="O767" i="1" s="1"/>
  <c r="M768" i="1"/>
  <c r="O768" i="1" s="1"/>
  <c r="M769" i="1"/>
  <c r="O769" i="1" s="1"/>
  <c r="M770" i="1"/>
  <c r="O770" i="1" s="1"/>
  <c r="M771" i="1"/>
  <c r="O771" i="1" s="1"/>
  <c r="M772" i="1"/>
  <c r="O772" i="1" s="1"/>
  <c r="M773" i="1"/>
  <c r="O773" i="1" s="1"/>
  <c r="M774" i="1"/>
  <c r="O774" i="1" s="1"/>
  <c r="M775" i="1"/>
  <c r="O775" i="1" s="1"/>
  <c r="M776" i="1"/>
  <c r="O776" i="1" s="1"/>
  <c r="M777" i="1"/>
  <c r="O777" i="1" s="1"/>
  <c r="M778" i="1"/>
  <c r="O778" i="1" s="1"/>
  <c r="M780" i="1"/>
  <c r="O780" i="1" s="1"/>
  <c r="M781" i="1"/>
  <c r="O781" i="1" s="1"/>
  <c r="M782" i="1"/>
  <c r="M783" i="1"/>
  <c r="M784" i="1"/>
  <c r="M785" i="1"/>
  <c r="O785" i="1" s="1"/>
  <c r="M786" i="1"/>
  <c r="O786" i="1" s="1"/>
  <c r="M789" i="1"/>
  <c r="M790" i="1"/>
  <c r="O790" i="1" s="1"/>
  <c r="M791" i="1"/>
  <c r="O791" i="1" s="1"/>
  <c r="M792" i="1"/>
  <c r="M793" i="1"/>
  <c r="O793" i="1" s="1"/>
  <c r="M794" i="1"/>
  <c r="O794" i="1" s="1"/>
  <c r="M795" i="1"/>
  <c r="O795" i="1" s="1"/>
  <c r="M796" i="1"/>
  <c r="O796" i="1" s="1"/>
  <c r="M797" i="1"/>
  <c r="O797" i="1" s="1"/>
  <c r="M798" i="1"/>
  <c r="O798" i="1" s="1"/>
  <c r="M799" i="1"/>
  <c r="M800" i="1"/>
  <c r="M801" i="1"/>
  <c r="M802" i="1"/>
  <c r="O802" i="1" s="1"/>
  <c r="M803" i="1"/>
  <c r="O803" i="1" s="1"/>
  <c r="M804" i="1"/>
  <c r="O804" i="1" s="1"/>
  <c r="M805" i="1"/>
  <c r="O805" i="1" s="1"/>
  <c r="M806" i="1"/>
  <c r="M807" i="1"/>
  <c r="M808" i="1"/>
  <c r="M809" i="1"/>
  <c r="M810" i="1"/>
  <c r="O810" i="1" s="1"/>
  <c r="M811" i="1"/>
  <c r="O811" i="1" s="1"/>
  <c r="M812" i="1"/>
  <c r="O812" i="1" s="1"/>
  <c r="M813" i="1"/>
  <c r="M814" i="1"/>
  <c r="O814" i="1" s="1"/>
  <c r="M815" i="1"/>
  <c r="O815" i="1" s="1"/>
  <c r="M816" i="1"/>
  <c r="O816" i="1" s="1"/>
  <c r="M817" i="1"/>
  <c r="O817" i="1" s="1"/>
  <c r="M818" i="1"/>
  <c r="O818" i="1" s="1"/>
  <c r="M819" i="1"/>
  <c r="O819" i="1" s="1"/>
  <c r="M820" i="1"/>
  <c r="O820" i="1" s="1"/>
  <c r="M821" i="1"/>
  <c r="O821" i="1" s="1"/>
  <c r="M822" i="1"/>
  <c r="O822" i="1" s="1"/>
  <c r="M823" i="1"/>
  <c r="O823" i="1" s="1"/>
  <c r="M825" i="1"/>
  <c r="M826" i="1"/>
  <c r="O826" i="1" s="1"/>
  <c r="M827" i="1"/>
  <c r="O827" i="1" s="1"/>
  <c r="M828" i="1"/>
  <c r="O828" i="1" s="1"/>
  <c r="M829" i="1"/>
  <c r="O829" i="1" s="1"/>
  <c r="M830" i="1"/>
  <c r="O830" i="1" s="1"/>
  <c r="M831" i="1"/>
  <c r="O831" i="1" s="1"/>
  <c r="M832" i="1"/>
  <c r="O832" i="1" s="1"/>
  <c r="M833" i="1"/>
  <c r="O833" i="1" s="1"/>
  <c r="M834" i="1"/>
  <c r="O834" i="1" s="1"/>
  <c r="M835" i="1"/>
  <c r="O835" i="1" s="1"/>
  <c r="M836" i="1"/>
  <c r="M837" i="1"/>
  <c r="O837" i="1" s="1"/>
  <c r="M838" i="1"/>
  <c r="O838" i="1" s="1"/>
  <c r="M839" i="1"/>
  <c r="O839" i="1" s="1"/>
  <c r="M840" i="1"/>
  <c r="O840" i="1" s="1"/>
  <c r="M841" i="1"/>
  <c r="O841" i="1" s="1"/>
  <c r="M842" i="1"/>
  <c r="O842" i="1" s="1"/>
  <c r="M843" i="1"/>
  <c r="O843" i="1" s="1"/>
  <c r="M844" i="1"/>
  <c r="M845" i="1"/>
  <c r="M846" i="1"/>
  <c r="O846" i="1" s="1"/>
  <c r="M847" i="1"/>
  <c r="O847" i="1" s="1"/>
  <c r="M848" i="1"/>
  <c r="O848" i="1" s="1"/>
  <c r="M849" i="1"/>
  <c r="O849" i="1" s="1"/>
  <c r="M850" i="1"/>
  <c r="M851" i="1"/>
  <c r="M852" i="1"/>
  <c r="O852" i="1" s="1"/>
  <c r="M853" i="1"/>
  <c r="O853" i="1" s="1"/>
  <c r="M855" i="1"/>
  <c r="M856" i="1"/>
  <c r="M857" i="1"/>
  <c r="M858" i="1"/>
  <c r="O858" i="1" s="1"/>
  <c r="M859" i="1"/>
  <c r="O859" i="1" s="1"/>
  <c r="M861" i="1"/>
  <c r="M862" i="1"/>
  <c r="M863" i="1"/>
  <c r="O863" i="1" s="1"/>
  <c r="M864" i="1"/>
  <c r="O864" i="1" s="1"/>
  <c r="M865" i="1"/>
  <c r="O865" i="1" s="1"/>
  <c r="M866" i="1"/>
  <c r="O866" i="1" s="1"/>
  <c r="M867" i="1"/>
  <c r="O867" i="1" s="1"/>
  <c r="M868" i="1"/>
  <c r="O868" i="1" s="1"/>
  <c r="M869" i="1"/>
  <c r="O869" i="1" s="1"/>
  <c r="M870" i="1"/>
  <c r="O870" i="1" s="1"/>
  <c r="M871" i="1"/>
  <c r="O871" i="1" s="1"/>
  <c r="M872" i="1"/>
  <c r="O872" i="1" s="1"/>
  <c r="M873" i="1"/>
  <c r="O873" i="1" s="1"/>
  <c r="M874" i="1"/>
  <c r="O874" i="1" s="1"/>
  <c r="M875" i="1"/>
  <c r="O875" i="1" s="1"/>
  <c r="M876" i="1"/>
  <c r="O876" i="1" s="1"/>
  <c r="M877" i="1"/>
  <c r="O877" i="1" s="1"/>
  <c r="M878" i="1"/>
  <c r="O878" i="1" s="1"/>
  <c r="M879" i="1"/>
  <c r="O879" i="1" s="1"/>
  <c r="M880" i="1"/>
  <c r="O880" i="1" s="1"/>
  <c r="M881" i="1"/>
  <c r="O881" i="1" s="1"/>
  <c r="M882" i="1"/>
  <c r="O882" i="1" s="1"/>
  <c r="M883" i="1"/>
  <c r="O883" i="1" s="1"/>
  <c r="M884" i="1"/>
  <c r="O884" i="1" s="1"/>
  <c r="M885" i="1"/>
  <c r="O885" i="1" s="1"/>
  <c r="M886" i="1"/>
  <c r="O886" i="1" s="1"/>
  <c r="M887" i="1"/>
  <c r="O887" i="1" s="1"/>
  <c r="M888" i="1"/>
  <c r="O888" i="1" s="1"/>
  <c r="M889" i="1"/>
  <c r="O889" i="1" s="1"/>
  <c r="M890" i="1"/>
  <c r="O890" i="1" s="1"/>
  <c r="M891" i="1"/>
  <c r="O891" i="1" s="1"/>
  <c r="M892" i="1"/>
  <c r="O892" i="1" s="1"/>
  <c r="M893" i="1"/>
  <c r="O893" i="1" s="1"/>
  <c r="M894" i="1"/>
  <c r="O894" i="1" s="1"/>
  <c r="M895" i="1"/>
  <c r="O895" i="1" s="1"/>
  <c r="M896" i="1"/>
  <c r="O896" i="1" s="1"/>
  <c r="M897" i="1"/>
  <c r="O897" i="1" s="1"/>
  <c r="M898" i="1"/>
  <c r="O898" i="1" s="1"/>
  <c r="M899" i="1"/>
  <c r="O899" i="1" s="1"/>
  <c r="M900" i="1"/>
  <c r="O900" i="1" s="1"/>
  <c r="M901" i="1"/>
  <c r="O901" i="1" s="1"/>
  <c r="M902" i="1"/>
  <c r="O902" i="1" s="1"/>
  <c r="M903" i="1"/>
  <c r="O903" i="1" s="1"/>
  <c r="M904" i="1"/>
  <c r="O904" i="1" s="1"/>
  <c r="M905" i="1"/>
  <c r="O905" i="1" s="1"/>
  <c r="M906" i="1"/>
  <c r="O906" i="1" s="1"/>
  <c r="M907" i="1"/>
  <c r="O907" i="1" s="1"/>
  <c r="M908" i="1"/>
  <c r="O908" i="1" s="1"/>
  <c r="M909" i="1"/>
  <c r="O909" i="1" s="1"/>
  <c r="M910" i="1"/>
  <c r="M911" i="1"/>
  <c r="O911" i="1" s="1"/>
  <c r="M912" i="1"/>
  <c r="O912" i="1" s="1"/>
  <c r="M913" i="1"/>
  <c r="O913" i="1" s="1"/>
  <c r="M914" i="1"/>
  <c r="O914" i="1" s="1"/>
  <c r="M915" i="1"/>
  <c r="M916" i="1"/>
  <c r="O916" i="1" s="1"/>
  <c r="M917" i="1"/>
  <c r="O917" i="1" s="1"/>
  <c r="M918" i="1"/>
  <c r="O918" i="1" s="1"/>
  <c r="M919" i="1"/>
  <c r="O919" i="1" s="1"/>
  <c r="M920" i="1"/>
  <c r="O920" i="1" s="1"/>
  <c r="M921" i="1"/>
  <c r="O921" i="1" s="1"/>
  <c r="M922" i="1"/>
  <c r="O922" i="1" s="1"/>
  <c r="M923" i="1"/>
  <c r="M924" i="1"/>
  <c r="O924" i="1" s="1"/>
  <c r="M925" i="1"/>
  <c r="O925" i="1" s="1"/>
  <c r="M926" i="1"/>
  <c r="O926" i="1" s="1"/>
  <c r="M927" i="1"/>
  <c r="O927" i="1" s="1"/>
  <c r="M928" i="1"/>
  <c r="O928" i="1" s="1"/>
  <c r="M929" i="1"/>
  <c r="O929" i="1" s="1"/>
  <c r="M930" i="1"/>
  <c r="O930" i="1" s="1"/>
  <c r="M931" i="1"/>
  <c r="O931" i="1" s="1"/>
  <c r="M932" i="1"/>
  <c r="M933" i="1"/>
  <c r="M934" i="1"/>
  <c r="M935" i="1"/>
  <c r="O935" i="1" s="1"/>
  <c r="M936" i="1"/>
  <c r="O936" i="1" s="1"/>
  <c r="M937" i="1"/>
  <c r="O937" i="1" s="1"/>
  <c r="M938" i="1"/>
  <c r="M939" i="1"/>
  <c r="O939" i="1" s="1"/>
  <c r="M940" i="1"/>
  <c r="O940" i="1" s="1"/>
  <c r="M941" i="1"/>
  <c r="O941" i="1" s="1"/>
  <c r="M942" i="1"/>
  <c r="O942" i="1" s="1"/>
  <c r="M943" i="1"/>
  <c r="M945" i="1"/>
  <c r="O945" i="1" s="1"/>
  <c r="M946" i="1"/>
  <c r="O946" i="1" s="1"/>
  <c r="M947" i="1"/>
  <c r="O947" i="1" s="1"/>
  <c r="M948" i="1"/>
  <c r="O948" i="1" s="1"/>
  <c r="M949" i="1"/>
  <c r="O949" i="1" s="1"/>
  <c r="M950" i="1"/>
  <c r="O950" i="1" s="1"/>
  <c r="M951" i="1"/>
  <c r="O951" i="1" s="1"/>
  <c r="M952" i="1"/>
  <c r="O952" i="1" s="1"/>
  <c r="M953" i="1"/>
  <c r="O953" i="1" s="1"/>
  <c r="M954" i="1"/>
  <c r="O954" i="1" s="1"/>
  <c r="M955" i="1"/>
  <c r="O955" i="1" s="1"/>
  <c r="M956" i="1"/>
  <c r="O956" i="1" s="1"/>
  <c r="M957" i="1"/>
  <c r="O957" i="1" s="1"/>
  <c r="M958" i="1"/>
  <c r="O958" i="1" s="1"/>
  <c r="M959" i="1"/>
  <c r="O959" i="1" s="1"/>
  <c r="M960" i="1"/>
  <c r="O960" i="1" s="1"/>
  <c r="M962" i="1"/>
  <c r="M963" i="1"/>
  <c r="M964" i="1"/>
  <c r="M965" i="1"/>
  <c r="O965" i="1" s="1"/>
  <c r="M966" i="1"/>
  <c r="M967" i="1"/>
  <c r="O967" i="1" s="1"/>
  <c r="M968" i="1"/>
  <c r="O968" i="1" s="1"/>
  <c r="M969" i="1"/>
  <c r="O969" i="1" s="1"/>
  <c r="M970" i="1"/>
  <c r="O970" i="1" s="1"/>
  <c r="M971" i="1"/>
  <c r="O971" i="1" s="1"/>
  <c r="M972" i="1"/>
  <c r="M973" i="1"/>
  <c r="M974" i="1"/>
  <c r="O974" i="1" s="1"/>
  <c r="M975" i="1"/>
  <c r="O975" i="1" s="1"/>
  <c r="M976" i="1"/>
  <c r="O976" i="1" s="1"/>
  <c r="M979" i="1"/>
  <c r="M980" i="1"/>
  <c r="M981" i="1"/>
  <c r="M982" i="1"/>
  <c r="M983" i="1"/>
  <c r="M984" i="1"/>
  <c r="O984" i="1" s="1"/>
  <c r="M985" i="1"/>
  <c r="O985" i="1" s="1"/>
  <c r="M986" i="1"/>
  <c r="O986" i="1" s="1"/>
  <c r="M987" i="1"/>
  <c r="O987" i="1" s="1"/>
  <c r="M988" i="1"/>
  <c r="M989" i="1"/>
  <c r="O989" i="1" s="1"/>
  <c r="M990" i="1"/>
  <c r="O990" i="1" s="1"/>
  <c r="M991" i="1"/>
  <c r="O991" i="1" s="1"/>
  <c r="M994" i="1"/>
  <c r="M995" i="1"/>
  <c r="M996" i="1"/>
  <c r="M997" i="1"/>
  <c r="M998" i="1"/>
  <c r="M999" i="1"/>
  <c r="M1000" i="1"/>
  <c r="O1000" i="1" s="1"/>
  <c r="M1001" i="1"/>
  <c r="O1001" i="1" s="1"/>
  <c r="M1002" i="1"/>
  <c r="O1002" i="1" s="1"/>
  <c r="M1003" i="1"/>
  <c r="O1003" i="1" s="1"/>
  <c r="M1004" i="1"/>
  <c r="M1005" i="1"/>
  <c r="M1006" i="1"/>
  <c r="M1007" i="1"/>
  <c r="M1008" i="1"/>
  <c r="O1008" i="1" s="1"/>
  <c r="M1009" i="1"/>
  <c r="O1009" i="1" s="1"/>
  <c r="M1010" i="1"/>
  <c r="M1011" i="1"/>
  <c r="M1012" i="1"/>
  <c r="O1012" i="1" s="1"/>
  <c r="M1013" i="1"/>
  <c r="O1013" i="1" s="1"/>
  <c r="M1014" i="1"/>
  <c r="O1014" i="1" s="1"/>
  <c r="M1016" i="1"/>
  <c r="M1017" i="1"/>
  <c r="O1017" i="1" s="1"/>
  <c r="M1018" i="1"/>
  <c r="O1018" i="1" s="1"/>
  <c r="M1019" i="1"/>
  <c r="O1019" i="1" s="1"/>
  <c r="M1020" i="1"/>
  <c r="O1020" i="1" s="1"/>
  <c r="M1021" i="1"/>
  <c r="O1021" i="1" s="1"/>
  <c r="M1022" i="1"/>
  <c r="M1024" i="1"/>
  <c r="M1025" i="1"/>
  <c r="M1026" i="1"/>
  <c r="M1027" i="1"/>
  <c r="O1027" i="1" s="1"/>
  <c r="M1028" i="1"/>
  <c r="O1028" i="1" s="1"/>
  <c r="M1029" i="1"/>
  <c r="O1029" i="1" s="1"/>
  <c r="M1030" i="1"/>
  <c r="O1030" i="1" s="1"/>
  <c r="M1031" i="1"/>
  <c r="O1031" i="1" s="1"/>
  <c r="M1032" i="1"/>
  <c r="O1032" i="1" s="1"/>
  <c r="M1033" i="1"/>
  <c r="M1034" i="1"/>
  <c r="O1034" i="1" s="1"/>
  <c r="M1035" i="1"/>
  <c r="O1035" i="1" s="1"/>
  <c r="M1036" i="1"/>
  <c r="M1037" i="1"/>
  <c r="O1037" i="1" s="1"/>
  <c r="M1040" i="1"/>
  <c r="O1040" i="1" s="1"/>
  <c r="M1041" i="1"/>
  <c r="O1041" i="1" s="1"/>
  <c r="M1042" i="1"/>
  <c r="O1042" i="1" s="1"/>
  <c r="M1043" i="1"/>
  <c r="O1043" i="1" s="1"/>
  <c r="M1044" i="1"/>
  <c r="O1044" i="1" s="1"/>
  <c r="M1045" i="1"/>
  <c r="O1045" i="1" s="1"/>
  <c r="M1046" i="1"/>
  <c r="O1046" i="1" s="1"/>
  <c r="M1048" i="1"/>
  <c r="M1049" i="1"/>
  <c r="O1049" i="1" s="1"/>
  <c r="M1050" i="1"/>
  <c r="O1050" i="1" s="1"/>
  <c r="M1051" i="1"/>
  <c r="O1051" i="1" s="1"/>
  <c r="M1052" i="1"/>
  <c r="O1052" i="1" s="1"/>
  <c r="M1053" i="1"/>
  <c r="O1053" i="1" s="1"/>
  <c r="M1054" i="1"/>
  <c r="O1054" i="1" s="1"/>
  <c r="M1055" i="1"/>
  <c r="O1055" i="1" s="1"/>
  <c r="M1056" i="1"/>
  <c r="O1056" i="1" s="1"/>
  <c r="M1057" i="1"/>
  <c r="O1057" i="1" s="1"/>
  <c r="M1058" i="1"/>
  <c r="O1058" i="1" s="1"/>
  <c r="M1059" i="1"/>
  <c r="O1059" i="1" s="1"/>
  <c r="M1060" i="1"/>
  <c r="O1060" i="1" s="1"/>
  <c r="M1061" i="1"/>
  <c r="O1061" i="1" s="1"/>
  <c r="M1062" i="1"/>
  <c r="O1062" i="1" s="1"/>
  <c r="M1063" i="1"/>
  <c r="O1063" i="1" s="1"/>
  <c r="M1064" i="1"/>
  <c r="O1064" i="1" s="1"/>
  <c r="M1065" i="1"/>
  <c r="O1065" i="1" s="1"/>
  <c r="M1066" i="1"/>
  <c r="O1066" i="1" s="1"/>
  <c r="M1067" i="1"/>
  <c r="O1067" i="1" s="1"/>
  <c r="M1071" i="1"/>
  <c r="O1071" i="1" s="1"/>
  <c r="M1072" i="1"/>
  <c r="O1072" i="1" s="1"/>
  <c r="M1073" i="1"/>
  <c r="O1073" i="1" s="1"/>
  <c r="M1074" i="1"/>
  <c r="O1074" i="1" s="1"/>
  <c r="M1075" i="1"/>
  <c r="O1075" i="1" s="1"/>
  <c r="M1076" i="1"/>
  <c r="O1076" i="1" s="1"/>
  <c r="M1077" i="1"/>
  <c r="O1077" i="1" s="1"/>
  <c r="M1078" i="1"/>
  <c r="O1078" i="1" s="1"/>
  <c r="M1079" i="1"/>
  <c r="O1079" i="1" s="1"/>
  <c r="M1080" i="1"/>
  <c r="O1080" i="1" s="1"/>
  <c r="M1081" i="1"/>
  <c r="O1081" i="1" s="1"/>
  <c r="M1082" i="1"/>
  <c r="O1082" i="1" s="1"/>
  <c r="M1083" i="1"/>
  <c r="O1083" i="1" s="1"/>
  <c r="M1084" i="1"/>
  <c r="O1084" i="1" s="1"/>
  <c r="M1085" i="1"/>
  <c r="O1085" i="1" s="1"/>
  <c r="M1086" i="1"/>
  <c r="O1086" i="1" s="1"/>
  <c r="M1087" i="1"/>
  <c r="O1087" i="1" s="1"/>
  <c r="M1088" i="1"/>
  <c r="O1088" i="1" s="1"/>
  <c r="M1089" i="1"/>
  <c r="O1089" i="1" s="1"/>
  <c r="M1090" i="1"/>
  <c r="M1091" i="1"/>
  <c r="O1091" i="1" s="1"/>
  <c r="M1092" i="1"/>
  <c r="O1092" i="1" s="1"/>
  <c r="M1093" i="1"/>
  <c r="O1093" i="1" s="1"/>
  <c r="M1094" i="1"/>
  <c r="O1094" i="1" s="1"/>
  <c r="M1095" i="1"/>
  <c r="O1095" i="1" s="1"/>
  <c r="M1096" i="1"/>
  <c r="O1096" i="1" s="1"/>
  <c r="M1097" i="1"/>
  <c r="O1097" i="1" s="1"/>
  <c r="M1098" i="1"/>
  <c r="O1098" i="1" s="1"/>
  <c r="M1099" i="1"/>
  <c r="O1099" i="1" s="1"/>
  <c r="M1100" i="1"/>
  <c r="O1100" i="1" s="1"/>
  <c r="M1101" i="1"/>
  <c r="O1101" i="1" s="1"/>
  <c r="M1102" i="1"/>
  <c r="O1102" i="1" s="1"/>
  <c r="M1103" i="1"/>
  <c r="O1103" i="1" s="1"/>
  <c r="M1104" i="1"/>
  <c r="M1105" i="1"/>
  <c r="O1105" i="1" s="1"/>
  <c r="M1106" i="1"/>
  <c r="M1107" i="1"/>
  <c r="M1108" i="1"/>
  <c r="O1108" i="1" s="1"/>
  <c r="M1109" i="1"/>
  <c r="M1110" i="1"/>
  <c r="O1110" i="1" s="1"/>
  <c r="M1111" i="1"/>
  <c r="O1111" i="1" s="1"/>
  <c r="M1112" i="1"/>
  <c r="O1112" i="1" s="1"/>
  <c r="M1113" i="1"/>
  <c r="M1115" i="1"/>
  <c r="M1116" i="1"/>
  <c r="M1117" i="1"/>
  <c r="M1118" i="1"/>
  <c r="O1118" i="1" s="1"/>
  <c r="M1119" i="1"/>
  <c r="M1120" i="1"/>
  <c r="O1120" i="1" s="1"/>
  <c r="M1121" i="1"/>
  <c r="O1121" i="1" s="1"/>
  <c r="M1122" i="1"/>
  <c r="O1122" i="1" s="1"/>
  <c r="M1123" i="1"/>
  <c r="O1123" i="1" s="1"/>
  <c r="M1124" i="1"/>
  <c r="O1124" i="1" s="1"/>
  <c r="M1125" i="1"/>
  <c r="O1125" i="1" s="1"/>
  <c r="M1126" i="1"/>
  <c r="O1126" i="1" s="1"/>
  <c r="M1127" i="1"/>
  <c r="O1127" i="1" s="1"/>
  <c r="M1128" i="1"/>
  <c r="O1128" i="1" s="1"/>
  <c r="M1129" i="1"/>
  <c r="O1129" i="1" s="1"/>
  <c r="M1130" i="1"/>
  <c r="O1130" i="1" s="1"/>
  <c r="M1131" i="1"/>
  <c r="O1131" i="1" s="1"/>
  <c r="M1132" i="1"/>
  <c r="O1132" i="1" s="1"/>
  <c r="M1133" i="1"/>
  <c r="O1133" i="1" s="1"/>
  <c r="M1135" i="1"/>
  <c r="O1135" i="1" s="1"/>
  <c r="M1136" i="1"/>
  <c r="O1136" i="1" s="1"/>
  <c r="M1137" i="1"/>
  <c r="O1137" i="1" s="1"/>
  <c r="M1138" i="1"/>
  <c r="O1138" i="1" s="1"/>
  <c r="M1139" i="1"/>
  <c r="O1139" i="1" s="1"/>
  <c r="M1140" i="1"/>
  <c r="O1140" i="1" s="1"/>
  <c r="M1141" i="1"/>
  <c r="O1141" i="1" s="1"/>
  <c r="M1142" i="1"/>
  <c r="O1142" i="1" s="1"/>
  <c r="M1143" i="1"/>
  <c r="O1143" i="1" s="1"/>
  <c r="M1144" i="1"/>
  <c r="O1144" i="1" s="1"/>
  <c r="M1145" i="1"/>
  <c r="O1145" i="1" s="1"/>
  <c r="M1146" i="1"/>
  <c r="M1147" i="1"/>
  <c r="O1147" i="1" s="1"/>
  <c r="M1148" i="1"/>
  <c r="O1148" i="1" s="1"/>
  <c r="M1149" i="1"/>
  <c r="O1149" i="1" s="1"/>
  <c r="M1150" i="1"/>
  <c r="O1150" i="1" s="1"/>
  <c r="M1152" i="1"/>
  <c r="O1152" i="1" s="1"/>
  <c r="M1153" i="1"/>
  <c r="M1154" i="1"/>
  <c r="M1155" i="1"/>
  <c r="O1155" i="1" s="1"/>
  <c r="M1156" i="1"/>
  <c r="O1156" i="1" s="1"/>
  <c r="M1157" i="1"/>
  <c r="O1157" i="1" s="1"/>
  <c r="M1158" i="1"/>
  <c r="M1159" i="1"/>
  <c r="M1160" i="1"/>
  <c r="M1161" i="1"/>
  <c r="O1161" i="1" s="1"/>
  <c r="M1165" i="1"/>
  <c r="O1165" i="1" s="1"/>
  <c r="M1166" i="1"/>
  <c r="O1166" i="1" s="1"/>
  <c r="M1167" i="1"/>
  <c r="M1168" i="1"/>
  <c r="M1169" i="1"/>
  <c r="O1169" i="1" s="1"/>
  <c r="M1170" i="1"/>
  <c r="O1170" i="1" s="1"/>
  <c r="M1171" i="1"/>
  <c r="O1171" i="1" s="1"/>
  <c r="M1172" i="1"/>
  <c r="O1172" i="1" s="1"/>
  <c r="M1173" i="1"/>
  <c r="O1173" i="1" s="1"/>
  <c r="M1175" i="1"/>
  <c r="O1270" i="1" s="1"/>
  <c r="M1176" i="1"/>
  <c r="O1271" i="1" s="1"/>
  <c r="M1177" i="1"/>
  <c r="M1178" i="1"/>
  <c r="M1179" i="1"/>
  <c r="M1180" i="1"/>
  <c r="M1181" i="1"/>
  <c r="M1182" i="1"/>
  <c r="O1277" i="1" s="1"/>
  <c r="M1174" i="1"/>
  <c r="O1269" i="1" s="1"/>
  <c r="M1183" i="1"/>
  <c r="M1184" i="1"/>
  <c r="O1279" i="1" s="1"/>
  <c r="M1185" i="1"/>
  <c r="O1280" i="1" s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420" i="1"/>
  <c r="O420" i="1" s="1"/>
  <c r="J423" i="1"/>
  <c r="L423" i="1" s="1"/>
  <c r="J424" i="1"/>
  <c r="L424" i="1" s="1"/>
  <c r="J425" i="1"/>
  <c r="L425" i="1" s="1"/>
  <c r="J426" i="1"/>
  <c r="L426" i="1" s="1"/>
  <c r="J427" i="1"/>
  <c r="L427" i="1" s="1"/>
  <c r="J430" i="1"/>
  <c r="L430" i="1" s="1"/>
  <c r="J431" i="1"/>
  <c r="L431" i="1" s="1"/>
  <c r="J432" i="1"/>
  <c r="L432" i="1" s="1"/>
  <c r="J437" i="1"/>
  <c r="L437" i="1" s="1"/>
  <c r="J438" i="1"/>
  <c r="L438" i="1" s="1"/>
  <c r="J439" i="1"/>
  <c r="L439" i="1" s="1"/>
  <c r="J440" i="1"/>
  <c r="L440" i="1" s="1"/>
  <c r="J441" i="1"/>
  <c r="L441" i="1" s="1"/>
  <c r="J442" i="1"/>
  <c r="L442" i="1" s="1"/>
  <c r="J443" i="1"/>
  <c r="L443" i="1" s="1"/>
  <c r="J444" i="1"/>
  <c r="L444" i="1" s="1"/>
  <c r="J445" i="1"/>
  <c r="L445" i="1" s="1"/>
  <c r="J446" i="1"/>
  <c r="L446" i="1" s="1"/>
  <c r="J447" i="1"/>
  <c r="L447" i="1" s="1"/>
  <c r="J448" i="1"/>
  <c r="L448" i="1" s="1"/>
  <c r="J449" i="1"/>
  <c r="L449" i="1" s="1"/>
  <c r="J450" i="1"/>
  <c r="L450" i="1" s="1"/>
  <c r="J454" i="1"/>
  <c r="L454" i="1" s="1"/>
  <c r="J455" i="1"/>
  <c r="L455" i="1" s="1"/>
  <c r="J456" i="1"/>
  <c r="L456" i="1" s="1"/>
  <c r="J460" i="1"/>
  <c r="L460" i="1" s="1"/>
  <c r="J461" i="1"/>
  <c r="L461" i="1" s="1"/>
  <c r="J462" i="1"/>
  <c r="L462" i="1" s="1"/>
  <c r="J463" i="1"/>
  <c r="L463" i="1" s="1"/>
  <c r="J464" i="1"/>
  <c r="L464" i="1" s="1"/>
  <c r="J465" i="1"/>
  <c r="L465" i="1" s="1"/>
  <c r="J467" i="1"/>
  <c r="L467" i="1" s="1"/>
  <c r="J468" i="1"/>
  <c r="L468" i="1" s="1"/>
  <c r="J470" i="1"/>
  <c r="L470" i="1" s="1"/>
  <c r="J471" i="1"/>
  <c r="L471" i="1" s="1"/>
  <c r="J472" i="1"/>
  <c r="L472" i="1" s="1"/>
  <c r="J473" i="1"/>
  <c r="L473" i="1" s="1"/>
  <c r="J474" i="1"/>
  <c r="L474" i="1" s="1"/>
  <c r="J475" i="1"/>
  <c r="L475" i="1" s="1"/>
  <c r="J480" i="1"/>
  <c r="L480" i="1" s="1"/>
  <c r="J481" i="1"/>
  <c r="L481" i="1" s="1"/>
  <c r="J482" i="1"/>
  <c r="L482" i="1" s="1"/>
  <c r="J483" i="1"/>
  <c r="L483" i="1" s="1"/>
  <c r="J484" i="1"/>
  <c r="L484" i="1" s="1"/>
  <c r="J485" i="1"/>
  <c r="L485" i="1" s="1"/>
  <c r="J486" i="1"/>
  <c r="L486" i="1" s="1"/>
  <c r="J487" i="1"/>
  <c r="L487" i="1" s="1"/>
  <c r="J488" i="1"/>
  <c r="L488" i="1" s="1"/>
  <c r="J489" i="1"/>
  <c r="L489" i="1" s="1"/>
  <c r="J490" i="1"/>
  <c r="L490" i="1" s="1"/>
  <c r="J491" i="1"/>
  <c r="L491" i="1" s="1"/>
  <c r="J492" i="1"/>
  <c r="L492" i="1" s="1"/>
  <c r="J493" i="1"/>
  <c r="L493" i="1" s="1"/>
  <c r="J494" i="1"/>
  <c r="L494" i="1" s="1"/>
  <c r="J495" i="1"/>
  <c r="L495" i="1" s="1"/>
  <c r="J496" i="1"/>
  <c r="L496" i="1" s="1"/>
  <c r="J497" i="1"/>
  <c r="L497" i="1" s="1"/>
  <c r="J498" i="1"/>
  <c r="L498" i="1" s="1"/>
  <c r="J499" i="1"/>
  <c r="L499" i="1" s="1"/>
  <c r="J500" i="1"/>
  <c r="L500" i="1" s="1"/>
  <c r="J501" i="1"/>
  <c r="L501" i="1" s="1"/>
  <c r="J502" i="1"/>
  <c r="L502" i="1" s="1"/>
  <c r="J503" i="1"/>
  <c r="L503" i="1" s="1"/>
  <c r="J504" i="1"/>
  <c r="L504" i="1" s="1"/>
  <c r="J505" i="1"/>
  <c r="L505" i="1" s="1"/>
  <c r="J506" i="1"/>
  <c r="L506" i="1" s="1"/>
  <c r="J507" i="1"/>
  <c r="L507" i="1" s="1"/>
  <c r="J508" i="1"/>
  <c r="L508" i="1" s="1"/>
  <c r="J509" i="1"/>
  <c r="L509" i="1" s="1"/>
  <c r="J510" i="1"/>
  <c r="L510" i="1" s="1"/>
  <c r="J511" i="1"/>
  <c r="L511" i="1" s="1"/>
  <c r="J512" i="1"/>
  <c r="L512" i="1" s="1"/>
  <c r="J513" i="1"/>
  <c r="L513" i="1" s="1"/>
  <c r="J514" i="1"/>
  <c r="L514" i="1" s="1"/>
  <c r="J515" i="1"/>
  <c r="L515" i="1" s="1"/>
  <c r="J516" i="1"/>
  <c r="L516" i="1" s="1"/>
  <c r="J517" i="1"/>
  <c r="L517" i="1" s="1"/>
  <c r="J518" i="1"/>
  <c r="L518" i="1" s="1"/>
  <c r="J519" i="1"/>
  <c r="L519" i="1" s="1"/>
  <c r="J520" i="1"/>
  <c r="L520" i="1" s="1"/>
  <c r="J521" i="1"/>
  <c r="L521" i="1" s="1"/>
  <c r="J522" i="1"/>
  <c r="L522" i="1" s="1"/>
  <c r="J523" i="1"/>
  <c r="L523" i="1" s="1"/>
  <c r="J524" i="1"/>
  <c r="L524" i="1" s="1"/>
  <c r="J525" i="1"/>
  <c r="L525" i="1" s="1"/>
  <c r="J526" i="1"/>
  <c r="L526" i="1" s="1"/>
  <c r="J527" i="1"/>
  <c r="L527" i="1" s="1"/>
  <c r="J528" i="1"/>
  <c r="L528" i="1" s="1"/>
  <c r="J529" i="1"/>
  <c r="L529" i="1" s="1"/>
  <c r="J530" i="1"/>
  <c r="L530" i="1" s="1"/>
  <c r="J531" i="1"/>
  <c r="L531" i="1" s="1"/>
  <c r="J532" i="1"/>
  <c r="L532" i="1" s="1"/>
  <c r="J533" i="1"/>
  <c r="L533" i="1" s="1"/>
  <c r="J534" i="1"/>
  <c r="L534" i="1" s="1"/>
  <c r="J535" i="1"/>
  <c r="L535" i="1" s="1"/>
  <c r="J536" i="1"/>
  <c r="L536" i="1" s="1"/>
  <c r="J537" i="1"/>
  <c r="L537" i="1" s="1"/>
  <c r="J538" i="1"/>
  <c r="L538" i="1" s="1"/>
  <c r="J539" i="1"/>
  <c r="L539" i="1" s="1"/>
  <c r="J540" i="1"/>
  <c r="L540" i="1" s="1"/>
  <c r="J541" i="1"/>
  <c r="L541" i="1" s="1"/>
  <c r="J542" i="1"/>
  <c r="L542" i="1" s="1"/>
  <c r="J543" i="1"/>
  <c r="L543" i="1" s="1"/>
  <c r="J544" i="1"/>
  <c r="L544" i="1" s="1"/>
  <c r="J545" i="1"/>
  <c r="L545" i="1" s="1"/>
  <c r="J546" i="1"/>
  <c r="L546" i="1" s="1"/>
  <c r="J547" i="1"/>
  <c r="L547" i="1" s="1"/>
  <c r="J548" i="1"/>
  <c r="L548" i="1" s="1"/>
  <c r="J549" i="1"/>
  <c r="L549" i="1" s="1"/>
  <c r="J550" i="1"/>
  <c r="L550" i="1" s="1"/>
  <c r="J551" i="1"/>
  <c r="L551" i="1" s="1"/>
  <c r="J552" i="1"/>
  <c r="L552" i="1" s="1"/>
  <c r="J553" i="1"/>
  <c r="L553" i="1" s="1"/>
  <c r="J554" i="1"/>
  <c r="L554" i="1" s="1"/>
  <c r="J555" i="1"/>
  <c r="L555" i="1" s="1"/>
  <c r="J556" i="1"/>
  <c r="L556" i="1" s="1"/>
  <c r="J557" i="1"/>
  <c r="L557" i="1" s="1"/>
  <c r="J558" i="1"/>
  <c r="L558" i="1" s="1"/>
  <c r="J559" i="1"/>
  <c r="L559" i="1" s="1"/>
  <c r="J560" i="1"/>
  <c r="L560" i="1" s="1"/>
  <c r="J561" i="1"/>
  <c r="L561" i="1" s="1"/>
  <c r="J562" i="1"/>
  <c r="L562" i="1" s="1"/>
  <c r="J563" i="1"/>
  <c r="L563" i="1" s="1"/>
  <c r="J564" i="1"/>
  <c r="L564" i="1" s="1"/>
  <c r="J565" i="1"/>
  <c r="L565" i="1" s="1"/>
  <c r="J566" i="1"/>
  <c r="L566" i="1" s="1"/>
  <c r="J567" i="1"/>
  <c r="L567" i="1" s="1"/>
  <c r="J568" i="1"/>
  <c r="L568" i="1" s="1"/>
  <c r="J569" i="1"/>
  <c r="L569" i="1" s="1"/>
  <c r="J570" i="1"/>
  <c r="L570" i="1" s="1"/>
  <c r="J571" i="1"/>
  <c r="L571" i="1" s="1"/>
  <c r="J572" i="1"/>
  <c r="L572" i="1" s="1"/>
  <c r="J573" i="1"/>
  <c r="L573" i="1" s="1"/>
  <c r="J574" i="1"/>
  <c r="L574" i="1" s="1"/>
  <c r="J575" i="1"/>
  <c r="L575" i="1" s="1"/>
  <c r="J576" i="1"/>
  <c r="L576" i="1" s="1"/>
  <c r="J577" i="1"/>
  <c r="L577" i="1" s="1"/>
  <c r="J578" i="1"/>
  <c r="L578" i="1" s="1"/>
  <c r="J579" i="1"/>
  <c r="L579" i="1" s="1"/>
  <c r="J580" i="1"/>
  <c r="L580" i="1" s="1"/>
  <c r="J581" i="1"/>
  <c r="L581" i="1" s="1"/>
  <c r="J582" i="1"/>
  <c r="L582" i="1" s="1"/>
  <c r="J583" i="1"/>
  <c r="L583" i="1" s="1"/>
  <c r="J584" i="1"/>
  <c r="L584" i="1" s="1"/>
  <c r="J585" i="1"/>
  <c r="L585" i="1" s="1"/>
  <c r="J586" i="1"/>
  <c r="L586" i="1" s="1"/>
  <c r="J587" i="1"/>
  <c r="L587" i="1" s="1"/>
  <c r="J588" i="1"/>
  <c r="L588" i="1" s="1"/>
  <c r="J590" i="1"/>
  <c r="L590" i="1" s="1"/>
  <c r="J591" i="1"/>
  <c r="L591" i="1" s="1"/>
  <c r="J592" i="1"/>
  <c r="L592" i="1" s="1"/>
  <c r="J593" i="1"/>
  <c r="L593" i="1" s="1"/>
  <c r="J594" i="1"/>
  <c r="L594" i="1" s="1"/>
  <c r="J595" i="1"/>
  <c r="L595" i="1" s="1"/>
  <c r="J596" i="1"/>
  <c r="L596" i="1" s="1"/>
  <c r="J597" i="1"/>
  <c r="L597" i="1" s="1"/>
  <c r="J598" i="1"/>
  <c r="L598" i="1" s="1"/>
  <c r="J599" i="1"/>
  <c r="L599" i="1" s="1"/>
  <c r="J600" i="1"/>
  <c r="L600" i="1" s="1"/>
  <c r="J601" i="1"/>
  <c r="L601" i="1" s="1"/>
  <c r="J602" i="1"/>
  <c r="L602" i="1" s="1"/>
  <c r="J603" i="1"/>
  <c r="L603" i="1" s="1"/>
  <c r="J604" i="1"/>
  <c r="L604" i="1" s="1"/>
  <c r="J605" i="1"/>
  <c r="L605" i="1" s="1"/>
  <c r="J606" i="1"/>
  <c r="L606" i="1" s="1"/>
  <c r="J607" i="1"/>
  <c r="L607" i="1" s="1"/>
  <c r="J608" i="1"/>
  <c r="L608" i="1" s="1"/>
  <c r="J609" i="1"/>
  <c r="L609" i="1" s="1"/>
  <c r="J610" i="1"/>
  <c r="L610" i="1" s="1"/>
  <c r="J611" i="1"/>
  <c r="L611" i="1" s="1"/>
  <c r="J612" i="1"/>
  <c r="L612" i="1" s="1"/>
  <c r="J613" i="1"/>
  <c r="L613" i="1" s="1"/>
  <c r="J614" i="1"/>
  <c r="L614" i="1" s="1"/>
  <c r="J615" i="1"/>
  <c r="L615" i="1" s="1"/>
  <c r="J616" i="1"/>
  <c r="L616" i="1" s="1"/>
  <c r="J617" i="1"/>
  <c r="L617" i="1" s="1"/>
  <c r="J618" i="1"/>
  <c r="L618" i="1" s="1"/>
  <c r="J619" i="1"/>
  <c r="L619" i="1" s="1"/>
  <c r="J620" i="1"/>
  <c r="L620" i="1" s="1"/>
  <c r="J621" i="1"/>
  <c r="L621" i="1" s="1"/>
  <c r="J622" i="1"/>
  <c r="L622" i="1" s="1"/>
  <c r="J623" i="1"/>
  <c r="L623" i="1" s="1"/>
  <c r="J624" i="1"/>
  <c r="L624" i="1" s="1"/>
  <c r="J625" i="1"/>
  <c r="L625" i="1" s="1"/>
  <c r="J626" i="1"/>
  <c r="L626" i="1" s="1"/>
  <c r="J627" i="1"/>
  <c r="L627" i="1" s="1"/>
  <c r="J628" i="1"/>
  <c r="L628" i="1" s="1"/>
  <c r="J629" i="1"/>
  <c r="L629" i="1" s="1"/>
  <c r="J630" i="1"/>
  <c r="L630" i="1" s="1"/>
  <c r="J631" i="1"/>
  <c r="L631" i="1" s="1"/>
  <c r="J632" i="1"/>
  <c r="L632" i="1" s="1"/>
  <c r="J633" i="1"/>
  <c r="L633" i="1" s="1"/>
  <c r="J634" i="1"/>
  <c r="L634" i="1" s="1"/>
  <c r="J635" i="1"/>
  <c r="L635" i="1" s="1"/>
  <c r="J636" i="1"/>
  <c r="L636" i="1" s="1"/>
  <c r="J637" i="1"/>
  <c r="L637" i="1" s="1"/>
  <c r="J638" i="1"/>
  <c r="L638" i="1" s="1"/>
  <c r="J639" i="1"/>
  <c r="L639" i="1" s="1"/>
  <c r="J640" i="1"/>
  <c r="L640" i="1" s="1"/>
  <c r="J641" i="1"/>
  <c r="L641" i="1" s="1"/>
  <c r="J642" i="1"/>
  <c r="L642" i="1" s="1"/>
  <c r="J643" i="1"/>
  <c r="L643" i="1" s="1"/>
  <c r="J644" i="1"/>
  <c r="L644" i="1" s="1"/>
  <c r="J645" i="1"/>
  <c r="L645" i="1" s="1"/>
  <c r="J646" i="1"/>
  <c r="L646" i="1" s="1"/>
  <c r="J647" i="1"/>
  <c r="L647" i="1" s="1"/>
  <c r="J649" i="1"/>
  <c r="L649" i="1" s="1"/>
  <c r="J650" i="1"/>
  <c r="L650" i="1" s="1"/>
  <c r="J651" i="1"/>
  <c r="L651" i="1" s="1"/>
  <c r="J652" i="1"/>
  <c r="L652" i="1" s="1"/>
  <c r="J653" i="1"/>
  <c r="L653" i="1" s="1"/>
  <c r="J654" i="1"/>
  <c r="L654" i="1" s="1"/>
  <c r="J655" i="1"/>
  <c r="L655" i="1" s="1"/>
  <c r="J656" i="1"/>
  <c r="L656" i="1" s="1"/>
  <c r="J657" i="1"/>
  <c r="L657" i="1" s="1"/>
  <c r="J658" i="1"/>
  <c r="L658" i="1" s="1"/>
  <c r="L659" i="1"/>
  <c r="J660" i="1"/>
  <c r="L660" i="1" s="1"/>
  <c r="J661" i="1"/>
  <c r="L661" i="1" s="1"/>
  <c r="J662" i="1"/>
  <c r="L662" i="1" s="1"/>
  <c r="J663" i="1"/>
  <c r="L663" i="1" s="1"/>
  <c r="J664" i="1"/>
  <c r="L664" i="1" s="1"/>
  <c r="J665" i="1"/>
  <c r="L665" i="1" s="1"/>
  <c r="J666" i="1"/>
  <c r="L666" i="1" s="1"/>
  <c r="J667" i="1"/>
  <c r="L667" i="1" s="1"/>
  <c r="J668" i="1"/>
  <c r="L668" i="1" s="1"/>
  <c r="J669" i="1"/>
  <c r="L669" i="1" s="1"/>
  <c r="J670" i="1"/>
  <c r="L670" i="1" s="1"/>
  <c r="J671" i="1"/>
  <c r="L671" i="1" s="1"/>
  <c r="J672" i="1"/>
  <c r="L672" i="1" s="1"/>
  <c r="J673" i="1"/>
  <c r="L673" i="1" s="1"/>
  <c r="J674" i="1"/>
  <c r="L674" i="1" s="1"/>
  <c r="J678" i="1"/>
  <c r="L678" i="1" s="1"/>
  <c r="J679" i="1"/>
  <c r="L679" i="1" s="1"/>
  <c r="J680" i="1"/>
  <c r="L680" i="1" s="1"/>
  <c r="J681" i="1"/>
  <c r="L681" i="1" s="1"/>
  <c r="L682" i="1"/>
  <c r="J683" i="1"/>
  <c r="L683" i="1" s="1"/>
  <c r="J684" i="1"/>
  <c r="L684" i="1" s="1"/>
  <c r="J685" i="1"/>
  <c r="L685" i="1" s="1"/>
  <c r="J686" i="1"/>
  <c r="L686" i="1" s="1"/>
  <c r="J687" i="1"/>
  <c r="L687" i="1" s="1"/>
  <c r="J688" i="1"/>
  <c r="L688" i="1" s="1"/>
  <c r="J689" i="1"/>
  <c r="L689" i="1" s="1"/>
  <c r="J690" i="1"/>
  <c r="L690" i="1" s="1"/>
  <c r="J691" i="1"/>
  <c r="L691" i="1" s="1"/>
  <c r="J692" i="1"/>
  <c r="L692" i="1" s="1"/>
  <c r="J693" i="1"/>
  <c r="L693" i="1" s="1"/>
  <c r="J694" i="1"/>
  <c r="L694" i="1" s="1"/>
  <c r="J695" i="1"/>
  <c r="L695" i="1" s="1"/>
  <c r="J696" i="1"/>
  <c r="L696" i="1" s="1"/>
  <c r="J697" i="1"/>
  <c r="L697" i="1" s="1"/>
  <c r="J698" i="1"/>
  <c r="L698" i="1" s="1"/>
  <c r="J699" i="1"/>
  <c r="L699" i="1" s="1"/>
  <c r="J700" i="1"/>
  <c r="L700" i="1" s="1"/>
  <c r="J701" i="1"/>
  <c r="L701" i="1" s="1"/>
  <c r="J702" i="1"/>
  <c r="L702" i="1" s="1"/>
  <c r="J703" i="1"/>
  <c r="L703" i="1" s="1"/>
  <c r="J704" i="1"/>
  <c r="L704" i="1" s="1"/>
  <c r="J705" i="1"/>
  <c r="L705" i="1" s="1"/>
  <c r="J706" i="1"/>
  <c r="L706" i="1" s="1"/>
  <c r="J707" i="1"/>
  <c r="L707" i="1" s="1"/>
  <c r="J708" i="1"/>
  <c r="L708" i="1" s="1"/>
  <c r="J709" i="1"/>
  <c r="L709" i="1" s="1"/>
  <c r="J710" i="1"/>
  <c r="L710" i="1" s="1"/>
  <c r="J711" i="1"/>
  <c r="L711" i="1" s="1"/>
  <c r="J712" i="1"/>
  <c r="L712" i="1" s="1"/>
  <c r="J713" i="1"/>
  <c r="L713" i="1" s="1"/>
  <c r="J714" i="1"/>
  <c r="L714" i="1" s="1"/>
  <c r="J715" i="1"/>
  <c r="L715" i="1" s="1"/>
  <c r="J716" i="1"/>
  <c r="L716" i="1" s="1"/>
  <c r="J717" i="1"/>
  <c r="L717" i="1" s="1"/>
  <c r="J718" i="1"/>
  <c r="L718" i="1" s="1"/>
  <c r="J719" i="1"/>
  <c r="L719" i="1" s="1"/>
  <c r="J720" i="1"/>
  <c r="L720" i="1" s="1"/>
  <c r="J721" i="1"/>
  <c r="L721" i="1" s="1"/>
  <c r="J723" i="1"/>
  <c r="L723" i="1" s="1"/>
  <c r="J724" i="1"/>
  <c r="L724" i="1" s="1"/>
  <c r="J725" i="1"/>
  <c r="L725" i="1" s="1"/>
  <c r="J726" i="1"/>
  <c r="L726" i="1" s="1"/>
  <c r="J727" i="1"/>
  <c r="L727" i="1" s="1"/>
  <c r="J728" i="1"/>
  <c r="L728" i="1" s="1"/>
  <c r="J729" i="1"/>
  <c r="L729" i="1" s="1"/>
  <c r="J730" i="1"/>
  <c r="L730" i="1" s="1"/>
  <c r="J731" i="1"/>
  <c r="L731" i="1" s="1"/>
  <c r="J732" i="1"/>
  <c r="L732" i="1" s="1"/>
  <c r="J733" i="1"/>
  <c r="L733" i="1" s="1"/>
  <c r="J734" i="1"/>
  <c r="L734" i="1" s="1"/>
  <c r="J735" i="1"/>
  <c r="L735" i="1" s="1"/>
  <c r="J736" i="1"/>
  <c r="L736" i="1" s="1"/>
  <c r="J737" i="1"/>
  <c r="L737" i="1" s="1"/>
  <c r="J738" i="1"/>
  <c r="L738" i="1" s="1"/>
  <c r="J739" i="1"/>
  <c r="L739" i="1" s="1"/>
  <c r="J740" i="1"/>
  <c r="L740" i="1" s="1"/>
  <c r="J741" i="1"/>
  <c r="L741" i="1" s="1"/>
  <c r="J742" i="1"/>
  <c r="L742" i="1" s="1"/>
  <c r="J743" i="1"/>
  <c r="L743" i="1" s="1"/>
  <c r="J745" i="1"/>
  <c r="L745" i="1" s="1"/>
  <c r="J746" i="1"/>
  <c r="L746" i="1" s="1"/>
  <c r="J747" i="1"/>
  <c r="L747" i="1" s="1"/>
  <c r="J748" i="1"/>
  <c r="L748" i="1" s="1"/>
  <c r="J749" i="1"/>
  <c r="L749" i="1" s="1"/>
  <c r="J750" i="1"/>
  <c r="L750" i="1" s="1"/>
  <c r="J751" i="1"/>
  <c r="L751" i="1" s="1"/>
  <c r="J752" i="1"/>
  <c r="L752" i="1" s="1"/>
  <c r="J753" i="1"/>
  <c r="L753" i="1" s="1"/>
  <c r="J754" i="1"/>
  <c r="L754" i="1" s="1"/>
  <c r="J755" i="1"/>
  <c r="L755" i="1" s="1"/>
  <c r="J756" i="1"/>
  <c r="L756" i="1" s="1"/>
  <c r="J757" i="1"/>
  <c r="L757" i="1" s="1"/>
  <c r="J758" i="1"/>
  <c r="L758" i="1" s="1"/>
  <c r="J759" i="1"/>
  <c r="L759" i="1" s="1"/>
  <c r="J760" i="1"/>
  <c r="L760" i="1" s="1"/>
  <c r="J761" i="1"/>
  <c r="L761" i="1" s="1"/>
  <c r="J762" i="1"/>
  <c r="L762" i="1" s="1"/>
  <c r="J763" i="1"/>
  <c r="L763" i="1" s="1"/>
  <c r="J764" i="1"/>
  <c r="L764" i="1" s="1"/>
  <c r="J765" i="1"/>
  <c r="L765" i="1" s="1"/>
  <c r="J766" i="1"/>
  <c r="L766" i="1" s="1"/>
  <c r="J767" i="1"/>
  <c r="L767" i="1" s="1"/>
  <c r="J768" i="1"/>
  <c r="L768" i="1" s="1"/>
  <c r="J769" i="1"/>
  <c r="L769" i="1" s="1"/>
  <c r="J770" i="1"/>
  <c r="L770" i="1" s="1"/>
  <c r="J771" i="1"/>
  <c r="L771" i="1" s="1"/>
  <c r="J772" i="1"/>
  <c r="L772" i="1" s="1"/>
  <c r="J773" i="1"/>
  <c r="L773" i="1" s="1"/>
  <c r="J774" i="1"/>
  <c r="L774" i="1" s="1"/>
  <c r="J775" i="1"/>
  <c r="L775" i="1" s="1"/>
  <c r="J776" i="1"/>
  <c r="L776" i="1" s="1"/>
  <c r="J777" i="1"/>
  <c r="L777" i="1" s="1"/>
  <c r="J778" i="1"/>
  <c r="L778" i="1" s="1"/>
  <c r="J780" i="1"/>
  <c r="L780" i="1" s="1"/>
  <c r="J781" i="1"/>
  <c r="L781" i="1" s="1"/>
  <c r="J782" i="1"/>
  <c r="L782" i="1" s="1"/>
  <c r="J783" i="1"/>
  <c r="L783" i="1" s="1"/>
  <c r="J784" i="1"/>
  <c r="L784" i="1" s="1"/>
  <c r="J785" i="1"/>
  <c r="L785" i="1" s="1"/>
  <c r="J786" i="1"/>
  <c r="L786" i="1" s="1"/>
  <c r="J789" i="1"/>
  <c r="L789" i="1" s="1"/>
  <c r="J790" i="1"/>
  <c r="L790" i="1" s="1"/>
  <c r="J791" i="1"/>
  <c r="L791" i="1" s="1"/>
  <c r="J792" i="1"/>
  <c r="L792" i="1" s="1"/>
  <c r="J793" i="1"/>
  <c r="L793" i="1" s="1"/>
  <c r="J794" i="1"/>
  <c r="L794" i="1" s="1"/>
  <c r="J795" i="1"/>
  <c r="L795" i="1" s="1"/>
  <c r="J796" i="1"/>
  <c r="L796" i="1" s="1"/>
  <c r="J797" i="1"/>
  <c r="L797" i="1" s="1"/>
  <c r="J798" i="1"/>
  <c r="L798" i="1" s="1"/>
  <c r="J799" i="1"/>
  <c r="L799" i="1" s="1"/>
  <c r="J800" i="1"/>
  <c r="L800" i="1" s="1"/>
  <c r="J801" i="1"/>
  <c r="L801" i="1" s="1"/>
  <c r="J802" i="1"/>
  <c r="L802" i="1" s="1"/>
  <c r="J803" i="1"/>
  <c r="L803" i="1" s="1"/>
  <c r="J804" i="1"/>
  <c r="L804" i="1" s="1"/>
  <c r="J806" i="1"/>
  <c r="L806" i="1" s="1"/>
  <c r="J807" i="1"/>
  <c r="L807" i="1" s="1"/>
  <c r="J808" i="1"/>
  <c r="L808" i="1" s="1"/>
  <c r="J809" i="1"/>
  <c r="L809" i="1" s="1"/>
  <c r="J810" i="1"/>
  <c r="L810" i="1" s="1"/>
  <c r="J811" i="1"/>
  <c r="L811" i="1" s="1"/>
  <c r="J812" i="1"/>
  <c r="L812" i="1" s="1"/>
  <c r="J813" i="1"/>
  <c r="L813" i="1" s="1"/>
  <c r="J814" i="1"/>
  <c r="L814" i="1" s="1"/>
  <c r="J815" i="1"/>
  <c r="L815" i="1" s="1"/>
  <c r="J816" i="1"/>
  <c r="L816" i="1" s="1"/>
  <c r="J817" i="1"/>
  <c r="L817" i="1" s="1"/>
  <c r="J818" i="1"/>
  <c r="L818" i="1" s="1"/>
  <c r="J819" i="1"/>
  <c r="L819" i="1" s="1"/>
  <c r="J820" i="1"/>
  <c r="L820" i="1" s="1"/>
  <c r="J821" i="1"/>
  <c r="L821" i="1" s="1"/>
  <c r="J822" i="1"/>
  <c r="L822" i="1" s="1"/>
  <c r="J823" i="1"/>
  <c r="L823" i="1" s="1"/>
  <c r="J825" i="1"/>
  <c r="L825" i="1" s="1"/>
  <c r="J826" i="1"/>
  <c r="L826" i="1" s="1"/>
  <c r="J827" i="1"/>
  <c r="L827" i="1" s="1"/>
  <c r="J828" i="1"/>
  <c r="L828" i="1" s="1"/>
  <c r="J829" i="1"/>
  <c r="L829" i="1" s="1"/>
  <c r="J830" i="1"/>
  <c r="L830" i="1" s="1"/>
  <c r="J831" i="1"/>
  <c r="L831" i="1" s="1"/>
  <c r="J832" i="1"/>
  <c r="L832" i="1" s="1"/>
  <c r="J833" i="1"/>
  <c r="L833" i="1" s="1"/>
  <c r="J834" i="1"/>
  <c r="L834" i="1" s="1"/>
  <c r="J835" i="1"/>
  <c r="L835" i="1" s="1"/>
  <c r="J836" i="1"/>
  <c r="L836" i="1" s="1"/>
  <c r="J837" i="1"/>
  <c r="L837" i="1" s="1"/>
  <c r="J838" i="1"/>
  <c r="L838" i="1" s="1"/>
  <c r="J839" i="1"/>
  <c r="L839" i="1" s="1"/>
  <c r="J840" i="1"/>
  <c r="L840" i="1" s="1"/>
  <c r="J841" i="1"/>
  <c r="L841" i="1" s="1"/>
  <c r="J842" i="1"/>
  <c r="L842" i="1" s="1"/>
  <c r="J843" i="1"/>
  <c r="L843" i="1" s="1"/>
  <c r="J844" i="1"/>
  <c r="L844" i="1" s="1"/>
  <c r="J845" i="1"/>
  <c r="L845" i="1" s="1"/>
  <c r="J846" i="1"/>
  <c r="L846" i="1" s="1"/>
  <c r="J847" i="1"/>
  <c r="L847" i="1" s="1"/>
  <c r="J848" i="1"/>
  <c r="L848" i="1" s="1"/>
  <c r="J849" i="1"/>
  <c r="L849" i="1" s="1"/>
  <c r="J850" i="1"/>
  <c r="L850" i="1" s="1"/>
  <c r="J851" i="1"/>
  <c r="L851" i="1" s="1"/>
  <c r="J852" i="1"/>
  <c r="L852" i="1" s="1"/>
  <c r="J853" i="1"/>
  <c r="L853" i="1" s="1"/>
  <c r="J855" i="1"/>
  <c r="L855" i="1" s="1"/>
  <c r="J856" i="1"/>
  <c r="L856" i="1" s="1"/>
  <c r="J857" i="1"/>
  <c r="L857" i="1" s="1"/>
  <c r="J858" i="1"/>
  <c r="L858" i="1" s="1"/>
  <c r="J859" i="1"/>
  <c r="L859" i="1" s="1"/>
  <c r="J861" i="1"/>
  <c r="L861" i="1" s="1"/>
  <c r="J862" i="1"/>
  <c r="L862" i="1" s="1"/>
  <c r="J863" i="1"/>
  <c r="L863" i="1" s="1"/>
  <c r="J864" i="1"/>
  <c r="L864" i="1" s="1"/>
  <c r="J865" i="1"/>
  <c r="L865" i="1" s="1"/>
  <c r="J866" i="1"/>
  <c r="L866" i="1" s="1"/>
  <c r="J867" i="1"/>
  <c r="L867" i="1" s="1"/>
  <c r="J868" i="1"/>
  <c r="L868" i="1" s="1"/>
  <c r="J869" i="1"/>
  <c r="L869" i="1" s="1"/>
  <c r="J870" i="1"/>
  <c r="L870" i="1" s="1"/>
  <c r="J871" i="1"/>
  <c r="L871" i="1" s="1"/>
  <c r="J872" i="1"/>
  <c r="L872" i="1" s="1"/>
  <c r="J873" i="1"/>
  <c r="L873" i="1" s="1"/>
  <c r="J874" i="1"/>
  <c r="L874" i="1" s="1"/>
  <c r="J875" i="1"/>
  <c r="L875" i="1" s="1"/>
  <c r="J876" i="1"/>
  <c r="L876" i="1" s="1"/>
  <c r="J877" i="1"/>
  <c r="L877" i="1" s="1"/>
  <c r="J878" i="1"/>
  <c r="L878" i="1" s="1"/>
  <c r="J879" i="1"/>
  <c r="L879" i="1" s="1"/>
  <c r="J880" i="1"/>
  <c r="L880" i="1" s="1"/>
  <c r="J881" i="1"/>
  <c r="L881" i="1" s="1"/>
  <c r="J882" i="1"/>
  <c r="L882" i="1" s="1"/>
  <c r="J883" i="1"/>
  <c r="L883" i="1" s="1"/>
  <c r="J884" i="1"/>
  <c r="L884" i="1" s="1"/>
  <c r="J885" i="1"/>
  <c r="L885" i="1" s="1"/>
  <c r="J886" i="1"/>
  <c r="L886" i="1" s="1"/>
  <c r="J887" i="1"/>
  <c r="L887" i="1" s="1"/>
  <c r="J888" i="1"/>
  <c r="L888" i="1" s="1"/>
  <c r="J889" i="1"/>
  <c r="L889" i="1" s="1"/>
  <c r="J890" i="1"/>
  <c r="L890" i="1" s="1"/>
  <c r="J891" i="1"/>
  <c r="L891" i="1" s="1"/>
  <c r="J892" i="1"/>
  <c r="L892" i="1" s="1"/>
  <c r="J893" i="1"/>
  <c r="L893" i="1" s="1"/>
  <c r="J894" i="1"/>
  <c r="L894" i="1" s="1"/>
  <c r="J895" i="1"/>
  <c r="L895" i="1" s="1"/>
  <c r="J896" i="1"/>
  <c r="L896" i="1" s="1"/>
  <c r="J897" i="1"/>
  <c r="L897" i="1" s="1"/>
  <c r="J898" i="1"/>
  <c r="L898" i="1" s="1"/>
  <c r="J899" i="1"/>
  <c r="L899" i="1" s="1"/>
  <c r="J900" i="1"/>
  <c r="L900" i="1" s="1"/>
  <c r="J901" i="1"/>
  <c r="L901" i="1" s="1"/>
  <c r="J902" i="1"/>
  <c r="L902" i="1" s="1"/>
  <c r="J903" i="1"/>
  <c r="L903" i="1" s="1"/>
  <c r="J904" i="1"/>
  <c r="L904" i="1" s="1"/>
  <c r="J905" i="1"/>
  <c r="L905" i="1" s="1"/>
  <c r="J906" i="1"/>
  <c r="L906" i="1" s="1"/>
  <c r="J907" i="1"/>
  <c r="L907" i="1" s="1"/>
  <c r="J908" i="1"/>
  <c r="L908" i="1" s="1"/>
  <c r="J909" i="1"/>
  <c r="L909" i="1" s="1"/>
  <c r="J910" i="1"/>
  <c r="J911" i="1"/>
  <c r="L911" i="1" s="1"/>
  <c r="J912" i="1"/>
  <c r="L912" i="1" s="1"/>
  <c r="J913" i="1"/>
  <c r="L913" i="1" s="1"/>
  <c r="J914" i="1"/>
  <c r="L914" i="1" s="1"/>
  <c r="J915" i="1"/>
  <c r="J916" i="1"/>
  <c r="L916" i="1" s="1"/>
  <c r="J917" i="1"/>
  <c r="L917" i="1" s="1"/>
  <c r="J918" i="1"/>
  <c r="L918" i="1" s="1"/>
  <c r="J919" i="1"/>
  <c r="L919" i="1" s="1"/>
  <c r="J920" i="1"/>
  <c r="L920" i="1" s="1"/>
  <c r="J921" i="1"/>
  <c r="L921" i="1" s="1"/>
  <c r="J922" i="1"/>
  <c r="L922" i="1" s="1"/>
  <c r="J923" i="1"/>
  <c r="J924" i="1"/>
  <c r="L924" i="1" s="1"/>
  <c r="J925" i="1"/>
  <c r="L925" i="1" s="1"/>
  <c r="J926" i="1"/>
  <c r="L926" i="1" s="1"/>
  <c r="J927" i="1"/>
  <c r="L927" i="1" s="1"/>
  <c r="J928" i="1"/>
  <c r="L928" i="1" s="1"/>
  <c r="J929" i="1"/>
  <c r="L929" i="1" s="1"/>
  <c r="J930" i="1"/>
  <c r="L930" i="1" s="1"/>
  <c r="J931" i="1"/>
  <c r="L931" i="1" s="1"/>
  <c r="J932" i="1"/>
  <c r="J933" i="1"/>
  <c r="J934" i="1"/>
  <c r="J935" i="1"/>
  <c r="L935" i="1" s="1"/>
  <c r="J936" i="1"/>
  <c r="L936" i="1" s="1"/>
  <c r="J937" i="1"/>
  <c r="L937" i="1" s="1"/>
  <c r="J938" i="1"/>
  <c r="J939" i="1"/>
  <c r="L939" i="1" s="1"/>
  <c r="J940" i="1"/>
  <c r="L940" i="1" s="1"/>
  <c r="J941" i="1"/>
  <c r="L941" i="1" s="1"/>
  <c r="J942" i="1"/>
  <c r="L942" i="1" s="1"/>
  <c r="J943" i="1"/>
  <c r="J945" i="1"/>
  <c r="L945" i="1" s="1"/>
  <c r="J946" i="1"/>
  <c r="L946" i="1" s="1"/>
  <c r="J947" i="1"/>
  <c r="L947" i="1" s="1"/>
  <c r="J948" i="1"/>
  <c r="L948" i="1" s="1"/>
  <c r="J949" i="1"/>
  <c r="L949" i="1" s="1"/>
  <c r="J950" i="1"/>
  <c r="L950" i="1" s="1"/>
  <c r="J951" i="1"/>
  <c r="L951" i="1" s="1"/>
  <c r="J952" i="1"/>
  <c r="L952" i="1" s="1"/>
  <c r="J953" i="1"/>
  <c r="L953" i="1" s="1"/>
  <c r="J954" i="1"/>
  <c r="L954" i="1" s="1"/>
  <c r="J955" i="1"/>
  <c r="L955" i="1" s="1"/>
  <c r="J956" i="1"/>
  <c r="L956" i="1" s="1"/>
  <c r="J957" i="1"/>
  <c r="L957" i="1" s="1"/>
  <c r="J958" i="1"/>
  <c r="L958" i="1" s="1"/>
  <c r="J959" i="1"/>
  <c r="L959" i="1" s="1"/>
  <c r="J960" i="1"/>
  <c r="L960" i="1" s="1"/>
  <c r="J962" i="1"/>
  <c r="J963" i="1"/>
  <c r="J964" i="1"/>
  <c r="J965" i="1"/>
  <c r="L965" i="1" s="1"/>
  <c r="J966" i="1"/>
  <c r="J967" i="1"/>
  <c r="L967" i="1" s="1"/>
  <c r="J968" i="1"/>
  <c r="L968" i="1" s="1"/>
  <c r="J969" i="1"/>
  <c r="L969" i="1" s="1"/>
  <c r="J970" i="1"/>
  <c r="L970" i="1" s="1"/>
  <c r="J971" i="1"/>
  <c r="L971" i="1" s="1"/>
  <c r="J972" i="1"/>
  <c r="J973" i="1"/>
  <c r="J974" i="1"/>
  <c r="L974" i="1" s="1"/>
  <c r="J975" i="1"/>
  <c r="L975" i="1" s="1"/>
  <c r="J976" i="1"/>
  <c r="L976" i="1" s="1"/>
  <c r="J979" i="1"/>
  <c r="J980" i="1"/>
  <c r="J981" i="1"/>
  <c r="J982" i="1"/>
  <c r="J983" i="1"/>
  <c r="J984" i="1"/>
  <c r="L984" i="1" s="1"/>
  <c r="J985" i="1"/>
  <c r="L985" i="1" s="1"/>
  <c r="J986" i="1"/>
  <c r="L986" i="1" s="1"/>
  <c r="J987" i="1"/>
  <c r="L987" i="1" s="1"/>
  <c r="J988" i="1"/>
  <c r="J989" i="1"/>
  <c r="L989" i="1" s="1"/>
  <c r="J990" i="1"/>
  <c r="L990" i="1" s="1"/>
  <c r="J991" i="1"/>
  <c r="L991" i="1" s="1"/>
  <c r="J994" i="1"/>
  <c r="J995" i="1"/>
  <c r="J996" i="1"/>
  <c r="J997" i="1"/>
  <c r="J998" i="1"/>
  <c r="J999" i="1"/>
  <c r="J1000" i="1"/>
  <c r="L1000" i="1" s="1"/>
  <c r="J1001" i="1"/>
  <c r="L1001" i="1" s="1"/>
  <c r="J1002" i="1"/>
  <c r="L1002" i="1" s="1"/>
  <c r="J1003" i="1"/>
  <c r="L1003" i="1" s="1"/>
  <c r="J1004" i="1"/>
  <c r="J1005" i="1"/>
  <c r="J1006" i="1"/>
  <c r="J1007" i="1"/>
  <c r="J1008" i="1"/>
  <c r="L1008" i="1" s="1"/>
  <c r="J1009" i="1"/>
  <c r="L1009" i="1" s="1"/>
  <c r="J1010" i="1"/>
  <c r="J1011" i="1"/>
  <c r="J1012" i="1"/>
  <c r="L1012" i="1" s="1"/>
  <c r="J1013" i="1"/>
  <c r="L1013" i="1" s="1"/>
  <c r="J1014" i="1"/>
  <c r="L1014" i="1" s="1"/>
  <c r="J1016" i="1"/>
  <c r="J1017" i="1"/>
  <c r="L1017" i="1" s="1"/>
  <c r="J1018" i="1"/>
  <c r="L1018" i="1" s="1"/>
  <c r="J1019" i="1"/>
  <c r="L1019" i="1" s="1"/>
  <c r="J1020" i="1"/>
  <c r="L1020" i="1" s="1"/>
  <c r="J1021" i="1"/>
  <c r="L1021" i="1" s="1"/>
  <c r="J1022" i="1"/>
  <c r="J1024" i="1"/>
  <c r="J1025" i="1"/>
  <c r="J1026" i="1"/>
  <c r="J1027" i="1"/>
  <c r="L1027" i="1" s="1"/>
  <c r="J1028" i="1"/>
  <c r="L1028" i="1" s="1"/>
  <c r="J1029" i="1"/>
  <c r="L1029" i="1" s="1"/>
  <c r="J1030" i="1"/>
  <c r="L1030" i="1" s="1"/>
  <c r="J1031" i="1"/>
  <c r="L1031" i="1" s="1"/>
  <c r="J1032" i="1"/>
  <c r="L1032" i="1" s="1"/>
  <c r="J1033" i="1"/>
  <c r="J1034" i="1"/>
  <c r="L1034" i="1" s="1"/>
  <c r="J1035" i="1"/>
  <c r="L1035" i="1" s="1"/>
  <c r="J1036" i="1"/>
  <c r="J1037" i="1"/>
  <c r="L1037" i="1" s="1"/>
  <c r="J1040" i="1"/>
  <c r="L1040" i="1" s="1"/>
  <c r="J1041" i="1"/>
  <c r="L1041" i="1" s="1"/>
  <c r="J1042" i="1"/>
  <c r="L1042" i="1" s="1"/>
  <c r="J1043" i="1"/>
  <c r="L1043" i="1" s="1"/>
  <c r="J1044" i="1"/>
  <c r="L1044" i="1" s="1"/>
  <c r="J1045" i="1"/>
  <c r="L1045" i="1" s="1"/>
  <c r="J1046" i="1"/>
  <c r="L1046" i="1" s="1"/>
  <c r="J1048" i="1"/>
  <c r="J1049" i="1"/>
  <c r="L1049" i="1" s="1"/>
  <c r="J1050" i="1"/>
  <c r="L1050" i="1" s="1"/>
  <c r="J1051" i="1"/>
  <c r="L1051" i="1" s="1"/>
  <c r="J1052" i="1"/>
  <c r="J1053" i="1"/>
  <c r="L1053" i="1" s="1"/>
  <c r="J1054" i="1"/>
  <c r="L1054" i="1" s="1"/>
  <c r="J1055" i="1"/>
  <c r="L1055" i="1" s="1"/>
  <c r="J1056" i="1"/>
  <c r="J1057" i="1"/>
  <c r="J1058" i="1"/>
  <c r="L1058" i="1" s="1"/>
  <c r="J1059" i="1"/>
  <c r="L1059" i="1" s="1"/>
  <c r="J1060" i="1"/>
  <c r="L1060" i="1" s="1"/>
  <c r="J1061" i="1"/>
  <c r="J1062" i="1"/>
  <c r="J1063" i="1"/>
  <c r="J1064" i="1"/>
  <c r="J1065" i="1"/>
  <c r="L1065" i="1" s="1"/>
  <c r="J1066" i="1"/>
  <c r="L1066" i="1" s="1"/>
  <c r="J1067" i="1"/>
  <c r="L1067" i="1" s="1"/>
  <c r="J1071" i="1"/>
  <c r="J1072" i="1"/>
  <c r="L1072" i="1" s="1"/>
  <c r="J1073" i="1"/>
  <c r="L1073" i="1" s="1"/>
  <c r="J1074" i="1"/>
  <c r="L1074" i="1" s="1"/>
  <c r="J1075" i="1"/>
  <c r="L1075" i="1" s="1"/>
  <c r="J1076" i="1"/>
  <c r="L1076" i="1" s="1"/>
  <c r="J1077" i="1"/>
  <c r="L1077" i="1" s="1"/>
  <c r="J1078" i="1"/>
  <c r="J1079" i="1"/>
  <c r="J1080" i="1"/>
  <c r="J1081" i="1"/>
  <c r="J1082" i="1"/>
  <c r="L1082" i="1" s="1"/>
  <c r="J1083" i="1"/>
  <c r="L1083" i="1" s="1"/>
  <c r="J1084" i="1"/>
  <c r="L1084" i="1" s="1"/>
  <c r="J1085" i="1"/>
  <c r="L1085" i="1" s="1"/>
  <c r="J1086" i="1"/>
  <c r="L1086" i="1" s="1"/>
  <c r="J1087" i="1"/>
  <c r="L1087" i="1" s="1"/>
  <c r="J1088" i="1"/>
  <c r="L1088" i="1" s="1"/>
  <c r="J1089" i="1"/>
  <c r="L1089" i="1" s="1"/>
  <c r="J1090" i="1"/>
  <c r="J1091" i="1"/>
  <c r="L1091" i="1" s="1"/>
  <c r="J1092" i="1"/>
  <c r="L1092" i="1" s="1"/>
  <c r="J1093" i="1"/>
  <c r="J1094" i="1"/>
  <c r="L1094" i="1" s="1"/>
  <c r="J1095" i="1"/>
  <c r="L1095" i="1" s="1"/>
  <c r="J1096" i="1"/>
  <c r="L1096" i="1" s="1"/>
  <c r="J1097" i="1"/>
  <c r="L1097" i="1" s="1"/>
  <c r="J1098" i="1"/>
  <c r="L1098" i="1" s="1"/>
  <c r="J1099" i="1"/>
  <c r="L1099" i="1" s="1"/>
  <c r="J1100" i="1"/>
  <c r="L1100" i="1" s="1"/>
  <c r="J1101" i="1"/>
  <c r="L1101" i="1" s="1"/>
  <c r="J1102" i="1"/>
  <c r="L1102" i="1" s="1"/>
  <c r="J1103" i="1"/>
  <c r="L1103" i="1" s="1"/>
  <c r="J1104" i="1"/>
  <c r="J1105" i="1"/>
  <c r="L1105" i="1" s="1"/>
  <c r="J1106" i="1"/>
  <c r="J1107" i="1"/>
  <c r="J1108" i="1"/>
  <c r="L1108" i="1" s="1"/>
  <c r="J1109" i="1"/>
  <c r="L1109" i="1" s="1"/>
  <c r="J1110" i="1"/>
  <c r="J1111" i="1"/>
  <c r="L1111" i="1" s="1"/>
  <c r="J1112" i="1"/>
  <c r="L1112" i="1" s="1"/>
  <c r="J1113" i="1"/>
  <c r="J1115" i="1"/>
  <c r="J1116" i="1"/>
  <c r="J1117" i="1"/>
  <c r="J1118" i="1"/>
  <c r="L1118" i="1" s="1"/>
  <c r="J1119" i="1"/>
  <c r="J1120" i="1"/>
  <c r="J1121" i="1"/>
  <c r="J1122" i="1"/>
  <c r="J1123" i="1"/>
  <c r="J1124" i="1"/>
  <c r="J1125" i="1"/>
  <c r="J1126" i="1"/>
  <c r="J1127" i="1"/>
  <c r="J1128" i="1"/>
  <c r="J1129" i="1"/>
  <c r="L1129" i="1" s="1"/>
  <c r="J1130" i="1"/>
  <c r="L1130" i="1" s="1"/>
  <c r="J1131" i="1"/>
  <c r="L1131" i="1" s="1"/>
  <c r="J1132" i="1"/>
  <c r="L1132" i="1" s="1"/>
  <c r="J1133" i="1"/>
  <c r="L1133" i="1" s="1"/>
  <c r="J1135" i="1"/>
  <c r="L1135" i="1" s="1"/>
  <c r="J1136" i="1"/>
  <c r="L1136" i="1" s="1"/>
  <c r="J1137" i="1"/>
  <c r="L1137" i="1" s="1"/>
  <c r="J1138" i="1"/>
  <c r="L1138" i="1" s="1"/>
  <c r="J1139" i="1"/>
  <c r="L1139" i="1" s="1"/>
  <c r="J1140" i="1"/>
  <c r="L1140" i="1" s="1"/>
  <c r="J1141" i="1"/>
  <c r="L1141" i="1" s="1"/>
  <c r="J1142" i="1"/>
  <c r="L1142" i="1" s="1"/>
  <c r="J1143" i="1"/>
  <c r="L1143" i="1" s="1"/>
  <c r="J1144" i="1"/>
  <c r="L1144" i="1" s="1"/>
  <c r="J1145" i="1"/>
  <c r="L1145" i="1" s="1"/>
  <c r="J1146" i="1"/>
  <c r="J1147" i="1"/>
  <c r="L1147" i="1" s="1"/>
  <c r="J1148" i="1"/>
  <c r="L1148" i="1" s="1"/>
  <c r="J1149" i="1"/>
  <c r="L1149" i="1" s="1"/>
  <c r="J1150" i="1"/>
  <c r="L1150" i="1" s="1"/>
  <c r="L1152" i="1"/>
  <c r="J1153" i="1"/>
  <c r="J1154" i="1"/>
  <c r="J1155" i="1"/>
  <c r="L1155" i="1" s="1"/>
  <c r="L1156" i="1"/>
  <c r="J1157" i="1"/>
  <c r="L1157" i="1" s="1"/>
  <c r="J1158" i="1"/>
  <c r="J1159" i="1"/>
  <c r="J1160" i="1"/>
  <c r="J1161" i="1"/>
  <c r="L1161" i="1" s="1"/>
  <c r="J1165" i="1"/>
  <c r="L1165" i="1" s="1"/>
  <c r="J1166" i="1"/>
  <c r="L1166" i="1" s="1"/>
  <c r="J1167" i="1"/>
  <c r="J1168" i="1"/>
  <c r="J1169" i="1"/>
  <c r="L1169" i="1" s="1"/>
  <c r="J1170" i="1"/>
  <c r="L1170" i="1" s="1"/>
  <c r="J1171" i="1"/>
  <c r="L1171" i="1" s="1"/>
  <c r="J1172" i="1"/>
  <c r="L1172" i="1" s="1"/>
  <c r="J1173" i="1"/>
  <c r="L1173" i="1" s="1"/>
  <c r="J1175" i="1"/>
  <c r="J1176" i="1"/>
  <c r="J1177" i="1"/>
  <c r="L1177" i="1" s="1"/>
  <c r="J1178" i="1"/>
  <c r="L1178" i="1" s="1"/>
  <c r="J1179" i="1"/>
  <c r="L1179" i="1" s="1"/>
  <c r="J1180" i="1"/>
  <c r="L1180" i="1" s="1"/>
  <c r="J1181" i="1"/>
  <c r="L1181" i="1" s="1"/>
  <c r="J1182" i="1"/>
  <c r="J1174" i="1"/>
  <c r="L1174" i="1" s="1"/>
  <c r="J1183" i="1"/>
  <c r="L1183" i="1" s="1"/>
  <c r="J1184" i="1"/>
  <c r="J1185" i="1"/>
  <c r="J1186" i="1"/>
  <c r="L1186" i="1" s="1"/>
  <c r="J1187" i="1"/>
  <c r="L1187" i="1" s="1"/>
  <c r="J1188" i="1"/>
  <c r="L1188" i="1" s="1"/>
  <c r="J1189" i="1"/>
  <c r="L1189" i="1" s="1"/>
  <c r="J1190" i="1"/>
  <c r="L1190" i="1" s="1"/>
  <c r="J1191" i="1"/>
  <c r="L1191" i="1" s="1"/>
  <c r="J1192" i="1"/>
  <c r="J1193" i="1"/>
  <c r="J1194" i="1"/>
  <c r="J1195" i="1"/>
  <c r="J1196" i="1"/>
  <c r="J1197" i="1"/>
  <c r="J1198" i="1"/>
  <c r="J1199" i="1"/>
  <c r="J1200" i="1"/>
  <c r="L1200" i="1" s="1"/>
  <c r="J1201" i="1"/>
  <c r="L1201" i="1" s="1"/>
  <c r="J1202" i="1"/>
  <c r="J1203" i="1"/>
  <c r="L1203" i="1" s="1"/>
  <c r="J1204" i="1"/>
  <c r="L1204" i="1" s="1"/>
  <c r="J1205" i="1"/>
  <c r="L1205" i="1" s="1"/>
  <c r="J1206" i="1"/>
  <c r="L1206" i="1" s="1"/>
  <c r="J1207" i="1"/>
  <c r="L1207" i="1" s="1"/>
  <c r="J1208" i="1"/>
  <c r="L1208" i="1" s="1"/>
  <c r="J1209" i="1"/>
  <c r="L1209" i="1" s="1"/>
  <c r="J1210" i="1"/>
  <c r="J1211" i="1"/>
  <c r="L1211" i="1" s="1"/>
  <c r="J1212" i="1"/>
  <c r="L1212" i="1" s="1"/>
  <c r="J1213" i="1"/>
  <c r="J1214" i="1"/>
  <c r="L1214" i="1" s="1"/>
  <c r="J1215" i="1"/>
  <c r="L1215" i="1" s="1"/>
  <c r="J1216" i="1"/>
  <c r="L1216" i="1" s="1"/>
  <c r="J1217" i="1"/>
  <c r="L1217" i="1" s="1"/>
  <c r="J1218" i="1"/>
  <c r="L1218" i="1" s="1"/>
  <c r="J1219" i="1"/>
  <c r="L1219" i="1" s="1"/>
  <c r="J1220" i="1"/>
  <c r="L1220" i="1" s="1"/>
  <c r="J1221" i="1"/>
  <c r="L1221" i="1" s="1"/>
  <c r="J1222" i="1"/>
  <c r="L1222" i="1" s="1"/>
  <c r="J1223" i="1"/>
  <c r="L1223" i="1" s="1"/>
  <c r="J1224" i="1"/>
  <c r="L1224" i="1" s="1"/>
  <c r="J1225" i="1"/>
  <c r="L1225" i="1" s="1"/>
  <c r="J1226" i="1"/>
  <c r="L1226" i="1" s="1"/>
  <c r="J1227" i="1"/>
  <c r="L1227" i="1" s="1"/>
  <c r="J1228" i="1"/>
  <c r="L1228" i="1" s="1"/>
  <c r="J1229" i="1"/>
  <c r="L1229" i="1" s="1"/>
  <c r="J1230" i="1"/>
  <c r="L1230" i="1" s="1"/>
  <c r="J1231" i="1"/>
  <c r="L1231" i="1" s="1"/>
  <c r="J1232" i="1"/>
  <c r="L1232" i="1" s="1"/>
  <c r="J1233" i="1"/>
  <c r="L1233" i="1" s="1"/>
  <c r="J1234" i="1"/>
  <c r="L1234" i="1" s="1"/>
  <c r="J1235" i="1"/>
  <c r="L1235" i="1" s="1"/>
  <c r="J1236" i="1"/>
  <c r="L1236" i="1" s="1"/>
  <c r="J1237" i="1"/>
  <c r="L1237" i="1" s="1"/>
  <c r="J1238" i="1"/>
  <c r="L1238" i="1" s="1"/>
  <c r="J1239" i="1"/>
  <c r="L1239" i="1" s="1"/>
  <c r="J1240" i="1"/>
  <c r="L1240" i="1" s="1"/>
  <c r="J1241" i="1"/>
  <c r="L1241" i="1" s="1"/>
  <c r="J1242" i="1"/>
  <c r="L1242" i="1" s="1"/>
  <c r="J1243" i="1"/>
  <c r="L1243" i="1" s="1"/>
  <c r="J1244" i="1"/>
  <c r="L1244" i="1" s="1"/>
  <c r="J1245" i="1"/>
  <c r="L1245" i="1" s="1"/>
  <c r="J1246" i="1"/>
  <c r="L1246" i="1" s="1"/>
  <c r="J1247" i="1"/>
  <c r="L1247" i="1" s="1"/>
  <c r="J1248" i="1"/>
  <c r="L1248" i="1" s="1"/>
  <c r="J1249" i="1"/>
  <c r="L1249" i="1" s="1"/>
  <c r="J1250" i="1"/>
  <c r="L1250" i="1" s="1"/>
  <c r="J1251" i="1"/>
  <c r="L1251" i="1" s="1"/>
  <c r="J1252" i="1"/>
  <c r="L1252" i="1" s="1"/>
  <c r="J1253" i="1"/>
  <c r="L1253" i="1" s="1"/>
  <c r="J1254" i="1"/>
  <c r="L1254" i="1" s="1"/>
  <c r="J1255" i="1"/>
  <c r="L1255" i="1" s="1"/>
  <c r="J1256" i="1"/>
  <c r="L1256" i="1" s="1"/>
  <c r="J1257" i="1"/>
  <c r="L1257" i="1" s="1"/>
  <c r="J1258" i="1"/>
  <c r="L1258" i="1" s="1"/>
  <c r="J1259" i="1"/>
  <c r="L1259" i="1" s="1"/>
  <c r="J1260" i="1"/>
  <c r="L1260" i="1" s="1"/>
  <c r="J1261" i="1"/>
  <c r="L1261" i="1" s="1"/>
  <c r="J1262" i="1"/>
  <c r="L1262" i="1" s="1"/>
  <c r="J1263" i="1"/>
  <c r="L1263" i="1" s="1"/>
  <c r="J1264" i="1"/>
  <c r="L1264" i="1" s="1"/>
  <c r="J1265" i="1"/>
  <c r="L1265" i="1" s="1"/>
  <c r="J1266" i="1"/>
  <c r="L1266" i="1" s="1"/>
  <c r="J1267" i="1"/>
  <c r="L1267" i="1" s="1"/>
  <c r="J1268" i="1"/>
  <c r="L1268" i="1" s="1"/>
  <c r="J1269" i="1"/>
  <c r="L1269" i="1" s="1"/>
  <c r="J422" i="1"/>
  <c r="L422" i="1" s="1"/>
  <c r="J420" i="1"/>
  <c r="L420" i="1" s="1"/>
  <c r="J166" i="1"/>
  <c r="L166" i="1" s="1"/>
  <c r="J218" i="1"/>
  <c r="L218" i="1" s="1"/>
  <c r="S228" i="1"/>
  <c r="U228" i="1" s="1"/>
  <c r="S218" i="1"/>
  <c r="U218" i="1" s="1"/>
  <c r="P228" i="1"/>
  <c r="R228" i="1" s="1"/>
  <c r="P218" i="1"/>
  <c r="R218" i="1" s="1"/>
  <c r="M228" i="1"/>
  <c r="O228" i="1" s="1"/>
  <c r="M218" i="1"/>
  <c r="O218" i="1" s="1"/>
  <c r="J228" i="1"/>
  <c r="L228" i="1" s="1"/>
  <c r="X2" i="1"/>
  <c r="S2" i="1"/>
  <c r="U2" i="1" s="1"/>
  <c r="S3" i="1"/>
  <c r="U3" i="1" s="1"/>
  <c r="S4" i="1"/>
  <c r="U4" i="1" s="1"/>
  <c r="S5" i="1"/>
  <c r="U5" i="1" s="1"/>
  <c r="S6" i="1"/>
  <c r="U6" i="1" s="1"/>
  <c r="S7" i="1"/>
  <c r="U7" i="1" s="1"/>
  <c r="S8" i="1"/>
  <c r="U8" i="1" s="1"/>
  <c r="S9" i="1"/>
  <c r="U9" i="1" s="1"/>
  <c r="S10" i="1"/>
  <c r="U10" i="1" s="1"/>
  <c r="S11" i="1"/>
  <c r="U11" i="1" s="1"/>
  <c r="S12" i="1"/>
  <c r="U12" i="1" s="1"/>
  <c r="S13" i="1"/>
  <c r="U13" i="1" s="1"/>
  <c r="S14" i="1"/>
  <c r="U14" i="1" s="1"/>
  <c r="S15" i="1"/>
  <c r="U15" i="1" s="1"/>
  <c r="S16" i="1"/>
  <c r="U16" i="1" s="1"/>
  <c r="S17" i="1"/>
  <c r="U17" i="1" s="1"/>
  <c r="S18" i="1"/>
  <c r="U18" i="1" s="1"/>
  <c r="S19" i="1"/>
  <c r="U19" i="1" s="1"/>
  <c r="S22" i="1"/>
  <c r="U22" i="1" s="1"/>
  <c r="S20" i="1"/>
  <c r="U20" i="1" s="1"/>
  <c r="S21" i="1"/>
  <c r="U21" i="1" s="1"/>
  <c r="S23" i="1"/>
  <c r="U23" i="1" s="1"/>
  <c r="S24" i="1"/>
  <c r="U24" i="1" s="1"/>
  <c r="S25" i="1"/>
  <c r="U25" i="1" s="1"/>
  <c r="S26" i="1"/>
  <c r="U26" i="1" s="1"/>
  <c r="S27" i="1"/>
  <c r="U27" i="1" s="1"/>
  <c r="S28" i="1"/>
  <c r="U28" i="1" s="1"/>
  <c r="S30" i="1"/>
  <c r="U30" i="1" s="1"/>
  <c r="S35" i="1"/>
  <c r="U35" i="1" s="1"/>
  <c r="S31" i="1"/>
  <c r="U31" i="1" s="1"/>
  <c r="S32" i="1"/>
  <c r="U32" i="1" s="1"/>
  <c r="S33" i="1"/>
  <c r="U33" i="1" s="1"/>
  <c r="S34" i="1"/>
  <c r="U34" i="1" s="1"/>
  <c r="S29" i="1"/>
  <c r="U29" i="1" s="1"/>
  <c r="S37" i="1"/>
  <c r="U37" i="1" s="1"/>
  <c r="S36" i="1"/>
  <c r="U36" i="1" s="1"/>
  <c r="S38" i="1"/>
  <c r="U38" i="1" s="1"/>
  <c r="S39" i="1"/>
  <c r="U39" i="1" s="1"/>
  <c r="S40" i="1"/>
  <c r="U40" i="1" s="1"/>
  <c r="S41" i="1"/>
  <c r="U41" i="1" s="1"/>
  <c r="S45" i="1"/>
  <c r="U45" i="1" s="1"/>
  <c r="S42" i="1"/>
  <c r="U42" i="1" s="1"/>
  <c r="S43" i="1"/>
  <c r="U43" i="1" s="1"/>
  <c r="S44" i="1"/>
  <c r="U44" i="1" s="1"/>
  <c r="S46" i="1"/>
  <c r="U46" i="1" s="1"/>
  <c r="S47" i="1"/>
  <c r="U47" i="1" s="1"/>
  <c r="S48" i="1"/>
  <c r="U48" i="1" s="1"/>
  <c r="S49" i="1"/>
  <c r="U49" i="1" s="1"/>
  <c r="S50" i="1"/>
  <c r="U50" i="1" s="1"/>
  <c r="S51" i="1"/>
  <c r="U51" i="1" s="1"/>
  <c r="S55" i="1"/>
  <c r="U55" i="1" s="1"/>
  <c r="S52" i="1"/>
  <c r="U52" i="1" s="1"/>
  <c r="S53" i="1"/>
  <c r="U53" i="1" s="1"/>
  <c r="S54" i="1"/>
  <c r="U54" i="1" s="1"/>
  <c r="S56" i="1"/>
  <c r="U56" i="1" s="1"/>
  <c r="S57" i="1"/>
  <c r="U57" i="1" s="1"/>
  <c r="S58" i="1"/>
  <c r="U58" i="1" s="1"/>
  <c r="S59" i="1"/>
  <c r="U59" i="1" s="1"/>
  <c r="S60" i="1"/>
  <c r="U60" i="1" s="1"/>
  <c r="S61" i="1"/>
  <c r="U61" i="1" s="1"/>
  <c r="S62" i="1"/>
  <c r="U62" i="1" s="1"/>
  <c r="S63" i="1"/>
  <c r="U63" i="1" s="1"/>
  <c r="S64" i="1"/>
  <c r="U64" i="1" s="1"/>
  <c r="S68" i="1"/>
  <c r="U68" i="1" s="1"/>
  <c r="S65" i="1"/>
  <c r="U65" i="1" s="1"/>
  <c r="S66" i="1"/>
  <c r="U66" i="1" s="1"/>
  <c r="S67" i="1"/>
  <c r="U67" i="1" s="1"/>
  <c r="S70" i="1"/>
  <c r="U70" i="1" s="1"/>
  <c r="S76" i="1"/>
  <c r="U76" i="1" s="1"/>
  <c r="S79" i="1"/>
  <c r="U79" i="1" s="1"/>
  <c r="S71" i="1"/>
  <c r="U71" i="1" s="1"/>
  <c r="S72" i="1"/>
  <c r="U72" i="1" s="1"/>
  <c r="S73" i="1"/>
  <c r="U73" i="1" s="1"/>
  <c r="S74" i="1"/>
  <c r="U74" i="1" s="1"/>
  <c r="S77" i="1"/>
  <c r="U77" i="1" s="1"/>
  <c r="S75" i="1"/>
  <c r="U75" i="1" s="1"/>
  <c r="S78" i="1"/>
  <c r="U78" i="1" s="1"/>
  <c r="U69" i="1"/>
  <c r="S80" i="1"/>
  <c r="U80" i="1" s="1"/>
  <c r="S81" i="1"/>
  <c r="U81" i="1" s="1"/>
  <c r="S82" i="1"/>
  <c r="U82" i="1" s="1"/>
  <c r="S83" i="1"/>
  <c r="U83" i="1" s="1"/>
  <c r="S84" i="1"/>
  <c r="U84" i="1" s="1"/>
  <c r="S85" i="1"/>
  <c r="U85" i="1" s="1"/>
  <c r="S86" i="1"/>
  <c r="U86" i="1" s="1"/>
  <c r="S87" i="1"/>
  <c r="U87" i="1" s="1"/>
  <c r="S88" i="1"/>
  <c r="U88" i="1" s="1"/>
  <c r="S89" i="1"/>
  <c r="U89" i="1" s="1"/>
  <c r="S90" i="1"/>
  <c r="U90" i="1" s="1"/>
  <c r="S91" i="1"/>
  <c r="U91" i="1" s="1"/>
  <c r="S92" i="1"/>
  <c r="U92" i="1" s="1"/>
  <c r="S93" i="1"/>
  <c r="U93" i="1" s="1"/>
  <c r="S94" i="1"/>
  <c r="U94" i="1" s="1"/>
  <c r="S95" i="1"/>
  <c r="U95" i="1" s="1"/>
  <c r="S96" i="1"/>
  <c r="U96" i="1" s="1"/>
  <c r="S97" i="1"/>
  <c r="U97" i="1" s="1"/>
  <c r="S98" i="1"/>
  <c r="U98" i="1" s="1"/>
  <c r="U99" i="1"/>
  <c r="S100" i="1"/>
  <c r="U100" i="1" s="1"/>
  <c r="S101" i="1"/>
  <c r="U101" i="1" s="1"/>
  <c r="S102" i="1"/>
  <c r="U102" i="1" s="1"/>
  <c r="S103" i="1"/>
  <c r="U103" i="1" s="1"/>
  <c r="S104" i="1"/>
  <c r="U104" i="1" s="1"/>
  <c r="S105" i="1"/>
  <c r="U105" i="1" s="1"/>
  <c r="S106" i="1"/>
  <c r="U106" i="1" s="1"/>
  <c r="S107" i="1"/>
  <c r="U107" i="1" s="1"/>
  <c r="S108" i="1"/>
  <c r="U108" i="1" s="1"/>
  <c r="S109" i="1"/>
  <c r="U109" i="1" s="1"/>
  <c r="S110" i="1"/>
  <c r="U110" i="1" s="1"/>
  <c r="S111" i="1"/>
  <c r="U111" i="1" s="1"/>
  <c r="S112" i="1"/>
  <c r="U112" i="1" s="1"/>
  <c r="S113" i="1"/>
  <c r="U113" i="1" s="1"/>
  <c r="S114" i="1"/>
  <c r="U114" i="1" s="1"/>
  <c r="S115" i="1"/>
  <c r="U115" i="1" s="1"/>
  <c r="S116" i="1"/>
  <c r="U116" i="1" s="1"/>
  <c r="S127" i="1"/>
  <c r="U127" i="1" s="1"/>
  <c r="S118" i="1"/>
  <c r="U118" i="1" s="1"/>
  <c r="S119" i="1"/>
  <c r="U119" i="1" s="1"/>
  <c r="S120" i="1"/>
  <c r="U120" i="1" s="1"/>
  <c r="S121" i="1"/>
  <c r="U121" i="1" s="1"/>
  <c r="S122" i="1"/>
  <c r="U122" i="1" s="1"/>
  <c r="S123" i="1"/>
  <c r="U123" i="1" s="1"/>
  <c r="S124" i="1"/>
  <c r="U124" i="1" s="1"/>
  <c r="S128" i="1"/>
  <c r="U128" i="1" s="1"/>
  <c r="S125" i="1"/>
  <c r="U125" i="1" s="1"/>
  <c r="S126" i="1"/>
  <c r="U126" i="1" s="1"/>
  <c r="S117" i="1"/>
  <c r="U117" i="1" s="1"/>
  <c r="S130" i="1"/>
  <c r="U130" i="1" s="1"/>
  <c r="S131" i="1"/>
  <c r="U131" i="1" s="1"/>
  <c r="S129" i="1"/>
  <c r="U129" i="1" s="1"/>
  <c r="S132" i="1"/>
  <c r="U132" i="1" s="1"/>
  <c r="S137" i="1"/>
  <c r="U137" i="1" s="1"/>
  <c r="S138" i="1"/>
  <c r="U138" i="1" s="1"/>
  <c r="S139" i="1"/>
  <c r="U139" i="1" s="1"/>
  <c r="S141" i="1"/>
  <c r="U141" i="1" s="1"/>
  <c r="S140" i="1"/>
  <c r="U140" i="1" s="1"/>
  <c r="S142" i="1"/>
  <c r="U142" i="1" s="1"/>
  <c r="S143" i="1"/>
  <c r="U143" i="1" s="1"/>
  <c r="S144" i="1"/>
  <c r="U144" i="1" s="1"/>
  <c r="S145" i="1"/>
  <c r="U145" i="1" s="1"/>
  <c r="S146" i="1"/>
  <c r="U146" i="1" s="1"/>
  <c r="S147" i="1"/>
  <c r="U147" i="1" s="1"/>
  <c r="S148" i="1"/>
  <c r="U148" i="1" s="1"/>
  <c r="S149" i="1"/>
  <c r="U149" i="1" s="1"/>
  <c r="S151" i="1"/>
  <c r="U151" i="1" s="1"/>
  <c r="S152" i="1"/>
  <c r="U152" i="1" s="1"/>
  <c r="S153" i="1"/>
  <c r="U153" i="1" s="1"/>
  <c r="S154" i="1"/>
  <c r="U154" i="1" s="1"/>
  <c r="S155" i="1"/>
  <c r="U155" i="1" s="1"/>
  <c r="S156" i="1"/>
  <c r="U156" i="1" s="1"/>
  <c r="S157" i="1"/>
  <c r="U157" i="1" s="1"/>
  <c r="S158" i="1"/>
  <c r="U158" i="1" s="1"/>
  <c r="S159" i="1"/>
  <c r="U159" i="1" s="1"/>
  <c r="S160" i="1"/>
  <c r="U160" i="1" s="1"/>
  <c r="S161" i="1"/>
  <c r="U161" i="1" s="1"/>
  <c r="S163" i="1"/>
  <c r="U163" i="1" s="1"/>
  <c r="S166" i="1"/>
  <c r="U166" i="1" s="1"/>
  <c r="S164" i="1"/>
  <c r="U164" i="1" s="1"/>
  <c r="S165" i="1"/>
  <c r="U165" i="1" s="1"/>
  <c r="S162" i="1"/>
  <c r="U162" i="1" s="1"/>
  <c r="S167" i="1"/>
  <c r="U167" i="1" s="1"/>
  <c r="S150" i="1"/>
  <c r="U150" i="1" s="1"/>
  <c r="S168" i="1"/>
  <c r="U168" i="1" s="1"/>
  <c r="S169" i="1"/>
  <c r="U169" i="1" s="1"/>
  <c r="S171" i="1"/>
  <c r="U171" i="1" s="1"/>
  <c r="S170" i="1"/>
  <c r="U170" i="1" s="1"/>
  <c r="S172" i="1"/>
  <c r="U172" i="1" s="1"/>
  <c r="S173" i="1"/>
  <c r="U173" i="1" s="1"/>
  <c r="S174" i="1"/>
  <c r="U174" i="1" s="1"/>
  <c r="S176" i="1"/>
  <c r="U176" i="1" s="1"/>
  <c r="S175" i="1"/>
  <c r="U175" i="1" s="1"/>
  <c r="S177" i="1"/>
  <c r="U177" i="1" s="1"/>
  <c r="S178" i="1"/>
  <c r="U178" i="1" s="1"/>
  <c r="S180" i="1"/>
  <c r="U180" i="1" s="1"/>
  <c r="S179" i="1"/>
  <c r="U179" i="1" s="1"/>
  <c r="S181" i="1"/>
  <c r="U181" i="1" s="1"/>
  <c r="S182" i="1"/>
  <c r="U182" i="1" s="1"/>
  <c r="S183" i="1"/>
  <c r="U183" i="1" s="1"/>
  <c r="S184" i="1"/>
  <c r="U184" i="1" s="1"/>
  <c r="S185" i="1"/>
  <c r="U185" i="1" s="1"/>
  <c r="S186" i="1"/>
  <c r="U186" i="1" s="1"/>
  <c r="S187" i="1"/>
  <c r="U187" i="1" s="1"/>
  <c r="S188" i="1"/>
  <c r="U188" i="1" s="1"/>
  <c r="S189" i="1"/>
  <c r="U189" i="1" s="1"/>
  <c r="S190" i="1"/>
  <c r="U190" i="1" s="1"/>
  <c r="S191" i="1"/>
  <c r="U191" i="1" s="1"/>
  <c r="S192" i="1"/>
  <c r="U192" i="1" s="1"/>
  <c r="S193" i="1"/>
  <c r="U193" i="1" s="1"/>
  <c r="S194" i="1"/>
  <c r="U194" i="1" s="1"/>
  <c r="S195" i="1"/>
  <c r="U195" i="1" s="1"/>
  <c r="S196" i="1"/>
  <c r="U196" i="1" s="1"/>
  <c r="S197" i="1"/>
  <c r="U197" i="1" s="1"/>
  <c r="S198" i="1"/>
  <c r="U198" i="1" s="1"/>
  <c r="S133" i="1"/>
  <c r="U133" i="1" s="1"/>
  <c r="S134" i="1"/>
  <c r="U134" i="1" s="1"/>
  <c r="S135" i="1"/>
  <c r="U135" i="1" s="1"/>
  <c r="S136" i="1"/>
  <c r="U136" i="1" s="1"/>
  <c r="S201" i="1"/>
  <c r="U201" i="1" s="1"/>
  <c r="S200" i="1"/>
  <c r="U200" i="1" s="1"/>
  <c r="S199" i="1"/>
  <c r="U199" i="1" s="1"/>
  <c r="S202" i="1"/>
  <c r="U202" i="1" s="1"/>
  <c r="S203" i="1"/>
  <c r="U203" i="1" s="1"/>
  <c r="S302" i="1"/>
  <c r="U302" i="1" s="1"/>
  <c r="S204" i="1"/>
  <c r="U204" i="1" s="1"/>
  <c r="S205" i="1"/>
  <c r="U205" i="1" s="1"/>
  <c r="S206" i="1"/>
  <c r="U206" i="1" s="1"/>
  <c r="S207" i="1"/>
  <c r="U207" i="1" s="1"/>
  <c r="S209" i="1"/>
  <c r="U209" i="1" s="1"/>
  <c r="S208" i="1"/>
  <c r="U208" i="1" s="1"/>
  <c r="S210" i="1"/>
  <c r="U210" i="1" s="1"/>
  <c r="S212" i="1"/>
  <c r="U212" i="1" s="1"/>
  <c r="S211" i="1"/>
  <c r="U211" i="1" s="1"/>
  <c r="S213" i="1"/>
  <c r="U213" i="1" s="1"/>
  <c r="S214" i="1"/>
  <c r="U214" i="1" s="1"/>
  <c r="S215" i="1"/>
  <c r="U215" i="1" s="1"/>
  <c r="S216" i="1"/>
  <c r="U216" i="1" s="1"/>
  <c r="S217" i="1"/>
  <c r="U217" i="1" s="1"/>
  <c r="S220" i="1"/>
  <c r="U220" i="1" s="1"/>
  <c r="S219" i="1"/>
  <c r="U219" i="1" s="1"/>
  <c r="S221" i="1"/>
  <c r="U221" i="1" s="1"/>
  <c r="S222" i="1"/>
  <c r="U222" i="1" s="1"/>
  <c r="S224" i="1"/>
  <c r="U224" i="1" s="1"/>
  <c r="S223" i="1"/>
  <c r="U223" i="1" s="1"/>
  <c r="S225" i="1"/>
  <c r="U225" i="1" s="1"/>
  <c r="S226" i="1"/>
  <c r="U226" i="1" s="1"/>
  <c r="S227" i="1"/>
  <c r="U227" i="1" s="1"/>
  <c r="S230" i="1"/>
  <c r="U230" i="1" s="1"/>
  <c r="S229" i="1"/>
  <c r="U229" i="1" s="1"/>
  <c r="S231" i="1"/>
  <c r="U231" i="1" s="1"/>
  <c r="S232" i="1"/>
  <c r="U232" i="1" s="1"/>
  <c r="S233" i="1"/>
  <c r="U233" i="1" s="1"/>
  <c r="S234" i="1"/>
  <c r="U234" i="1" s="1"/>
  <c r="S235" i="1"/>
  <c r="U235" i="1" s="1"/>
  <c r="S236" i="1"/>
  <c r="U236" i="1" s="1"/>
  <c r="S237" i="1"/>
  <c r="U237" i="1" s="1"/>
  <c r="S238" i="1"/>
  <c r="U238" i="1" s="1"/>
  <c r="S239" i="1"/>
  <c r="U239" i="1" s="1"/>
  <c r="S240" i="1"/>
  <c r="U240" i="1" s="1"/>
  <c r="S241" i="1"/>
  <c r="U241" i="1" s="1"/>
  <c r="S242" i="1"/>
  <c r="U242" i="1" s="1"/>
  <c r="S243" i="1"/>
  <c r="U243" i="1" s="1"/>
  <c r="S244" i="1"/>
  <c r="U244" i="1" s="1"/>
  <c r="S246" i="1"/>
  <c r="U246" i="1" s="1"/>
  <c r="S247" i="1"/>
  <c r="U247" i="1" s="1"/>
  <c r="S248" i="1"/>
  <c r="U248" i="1" s="1"/>
  <c r="S249" i="1"/>
  <c r="U249" i="1" s="1"/>
  <c r="S245" i="1"/>
  <c r="U245" i="1" s="1"/>
  <c r="S250" i="1"/>
  <c r="U250" i="1" s="1"/>
  <c r="S251" i="1"/>
  <c r="U251" i="1" s="1"/>
  <c r="S254" i="1"/>
  <c r="U254" i="1" s="1"/>
  <c r="S252" i="1"/>
  <c r="U252" i="1" s="1"/>
  <c r="S253" i="1"/>
  <c r="U253" i="1" s="1"/>
  <c r="S255" i="1"/>
  <c r="U255" i="1" s="1"/>
  <c r="S256" i="1"/>
  <c r="U256" i="1" s="1"/>
  <c r="S257" i="1"/>
  <c r="U257" i="1" s="1"/>
  <c r="S258" i="1"/>
  <c r="U258" i="1" s="1"/>
  <c r="S261" i="1"/>
  <c r="U261" i="1" s="1"/>
  <c r="S262" i="1"/>
  <c r="U262" i="1" s="1"/>
  <c r="S263" i="1"/>
  <c r="U263" i="1" s="1"/>
  <c r="S264" i="1"/>
  <c r="U264" i="1" s="1"/>
  <c r="S265" i="1"/>
  <c r="U265" i="1" s="1"/>
  <c r="S266" i="1"/>
  <c r="U266" i="1" s="1"/>
  <c r="S267" i="1"/>
  <c r="U267" i="1" s="1"/>
  <c r="S268" i="1"/>
  <c r="U268" i="1" s="1"/>
  <c r="S269" i="1"/>
  <c r="U269" i="1" s="1"/>
  <c r="S270" i="1"/>
  <c r="U270" i="1" s="1"/>
  <c r="S271" i="1"/>
  <c r="U271" i="1" s="1"/>
  <c r="S272" i="1"/>
  <c r="U272" i="1" s="1"/>
  <c r="S273" i="1"/>
  <c r="U273" i="1" s="1"/>
  <c r="S274" i="1"/>
  <c r="U274" i="1" s="1"/>
  <c r="S275" i="1"/>
  <c r="U275" i="1" s="1"/>
  <c r="S276" i="1"/>
  <c r="U276" i="1" s="1"/>
  <c r="S277" i="1"/>
  <c r="U277" i="1" s="1"/>
  <c r="S278" i="1"/>
  <c r="U278" i="1" s="1"/>
  <c r="S279" i="1"/>
  <c r="U279" i="1" s="1"/>
  <c r="S280" i="1"/>
  <c r="U280" i="1" s="1"/>
  <c r="S281" i="1"/>
  <c r="U281" i="1" s="1"/>
  <c r="S282" i="1"/>
  <c r="U282" i="1" s="1"/>
  <c r="S283" i="1"/>
  <c r="U283" i="1" s="1"/>
  <c r="S284" i="1"/>
  <c r="U284" i="1" s="1"/>
  <c r="S285" i="1"/>
  <c r="U285" i="1" s="1"/>
  <c r="S286" i="1"/>
  <c r="U286" i="1" s="1"/>
  <c r="S287" i="1"/>
  <c r="U287" i="1" s="1"/>
  <c r="S288" i="1"/>
  <c r="U288" i="1" s="1"/>
  <c r="S289" i="1"/>
  <c r="U289" i="1" s="1"/>
  <c r="S290" i="1"/>
  <c r="U290" i="1" s="1"/>
  <c r="S291" i="1"/>
  <c r="U291" i="1" s="1"/>
  <c r="S292" i="1"/>
  <c r="U292" i="1" s="1"/>
  <c r="S293" i="1"/>
  <c r="U293" i="1" s="1"/>
  <c r="S294" i="1"/>
  <c r="U294" i="1" s="1"/>
  <c r="S295" i="1"/>
  <c r="U295" i="1" s="1"/>
  <c r="S297" i="1"/>
  <c r="U297" i="1" s="1"/>
  <c r="S298" i="1"/>
  <c r="U298" i="1" s="1"/>
  <c r="S299" i="1"/>
  <c r="U299" i="1" s="1"/>
  <c r="S300" i="1"/>
  <c r="U300" i="1" s="1"/>
  <c r="S301" i="1"/>
  <c r="U301" i="1" s="1"/>
  <c r="S303" i="1"/>
  <c r="U303" i="1" s="1"/>
  <c r="S304" i="1"/>
  <c r="U304" i="1" s="1"/>
  <c r="S305" i="1"/>
  <c r="U305" i="1" s="1"/>
  <c r="S306" i="1"/>
  <c r="U306" i="1" s="1"/>
  <c r="S307" i="1"/>
  <c r="U307" i="1" s="1"/>
  <c r="S383" i="1"/>
  <c r="U383" i="1" s="1"/>
  <c r="S308" i="1"/>
  <c r="U308" i="1" s="1"/>
  <c r="S309" i="1"/>
  <c r="U309" i="1" s="1"/>
  <c r="S310" i="1"/>
  <c r="U310" i="1" s="1"/>
  <c r="S311" i="1"/>
  <c r="U311" i="1" s="1"/>
  <c r="S312" i="1"/>
  <c r="U312" i="1" s="1"/>
  <c r="S313" i="1"/>
  <c r="U313" i="1" s="1"/>
  <c r="S314" i="1"/>
  <c r="U314" i="1" s="1"/>
  <c r="S315" i="1"/>
  <c r="U315" i="1" s="1"/>
  <c r="S316" i="1"/>
  <c r="U316" i="1" s="1"/>
  <c r="S317" i="1"/>
  <c r="U317" i="1" s="1"/>
  <c r="S318" i="1"/>
  <c r="U318" i="1" s="1"/>
  <c r="S319" i="1"/>
  <c r="U319" i="1" s="1"/>
  <c r="S320" i="1"/>
  <c r="U320" i="1" s="1"/>
  <c r="S321" i="1"/>
  <c r="U321" i="1" s="1"/>
  <c r="S322" i="1"/>
  <c r="U322" i="1" s="1"/>
  <c r="S323" i="1"/>
  <c r="U323" i="1" s="1"/>
  <c r="S324" i="1"/>
  <c r="U324" i="1" s="1"/>
  <c r="S325" i="1"/>
  <c r="U325" i="1" s="1"/>
  <c r="S326" i="1"/>
  <c r="U326" i="1" s="1"/>
  <c r="S327" i="1"/>
  <c r="U327" i="1" s="1"/>
  <c r="S328" i="1"/>
  <c r="U328" i="1" s="1"/>
  <c r="S329" i="1"/>
  <c r="U329" i="1" s="1"/>
  <c r="S330" i="1"/>
  <c r="U330" i="1" s="1"/>
  <c r="S331" i="1"/>
  <c r="U331" i="1" s="1"/>
  <c r="S332" i="1"/>
  <c r="U332" i="1" s="1"/>
  <c r="S333" i="1"/>
  <c r="U333" i="1" s="1"/>
  <c r="S334" i="1"/>
  <c r="U334" i="1" s="1"/>
  <c r="S335" i="1"/>
  <c r="U335" i="1" s="1"/>
  <c r="S336" i="1"/>
  <c r="U336" i="1" s="1"/>
  <c r="S337" i="1"/>
  <c r="U337" i="1" s="1"/>
  <c r="S338" i="1"/>
  <c r="U338" i="1" s="1"/>
  <c r="S339" i="1"/>
  <c r="U339" i="1" s="1"/>
  <c r="S340" i="1"/>
  <c r="U340" i="1" s="1"/>
  <c r="S341" i="1"/>
  <c r="U341" i="1" s="1"/>
  <c r="S342" i="1"/>
  <c r="U342" i="1" s="1"/>
  <c r="S343" i="1"/>
  <c r="U343" i="1" s="1"/>
  <c r="S344" i="1"/>
  <c r="U344" i="1" s="1"/>
  <c r="S345" i="1"/>
  <c r="U345" i="1" s="1"/>
  <c r="S346" i="1"/>
  <c r="U346" i="1" s="1"/>
  <c r="S347" i="1"/>
  <c r="U347" i="1" s="1"/>
  <c r="S348" i="1"/>
  <c r="U348" i="1" s="1"/>
  <c r="S349" i="1"/>
  <c r="U349" i="1" s="1"/>
  <c r="S350" i="1"/>
  <c r="U350" i="1" s="1"/>
  <c r="S351" i="1"/>
  <c r="U351" i="1" s="1"/>
  <c r="S352" i="1"/>
  <c r="U352" i="1" s="1"/>
  <c r="S353" i="1"/>
  <c r="U353" i="1" s="1"/>
  <c r="S354" i="1"/>
  <c r="U354" i="1" s="1"/>
  <c r="S355" i="1"/>
  <c r="U355" i="1" s="1"/>
  <c r="S356" i="1"/>
  <c r="U356" i="1" s="1"/>
  <c r="S357" i="1"/>
  <c r="U357" i="1" s="1"/>
  <c r="S358" i="1"/>
  <c r="U358" i="1" s="1"/>
  <c r="S359" i="1"/>
  <c r="U359" i="1" s="1"/>
  <c r="S360" i="1"/>
  <c r="U360" i="1" s="1"/>
  <c r="S361" i="1"/>
  <c r="U361" i="1" s="1"/>
  <c r="S362" i="1"/>
  <c r="U362" i="1" s="1"/>
  <c r="S363" i="1"/>
  <c r="U363" i="1" s="1"/>
  <c r="S364" i="1"/>
  <c r="U364" i="1" s="1"/>
  <c r="S365" i="1"/>
  <c r="U365" i="1" s="1"/>
  <c r="S369" i="1"/>
  <c r="U369" i="1" s="1"/>
  <c r="S296" i="1"/>
  <c r="U296" i="1" s="1"/>
  <c r="S372" i="1"/>
  <c r="U372" i="1" s="1"/>
  <c r="S377" i="1"/>
  <c r="U377" i="1" s="1"/>
  <c r="S378" i="1"/>
  <c r="U378" i="1" s="1"/>
  <c r="S380" i="1"/>
  <c r="U380" i="1" s="1"/>
  <c r="S381" i="1"/>
  <c r="U381" i="1" s="1"/>
  <c r="S384" i="1"/>
  <c r="U384" i="1" s="1"/>
  <c r="S388" i="1"/>
  <c r="U388" i="1" s="1"/>
  <c r="S391" i="1"/>
  <c r="U391" i="1" s="1"/>
  <c r="S394" i="1"/>
  <c r="U394" i="1" s="1"/>
  <c r="S395" i="1"/>
  <c r="U395" i="1" s="1"/>
  <c r="S396" i="1"/>
  <c r="U396" i="1" s="1"/>
  <c r="S397" i="1"/>
  <c r="U397" i="1" s="1"/>
  <c r="S398" i="1"/>
  <c r="U398" i="1" s="1"/>
  <c r="S399" i="1"/>
  <c r="U399" i="1" s="1"/>
  <c r="S400" i="1"/>
  <c r="U400" i="1" s="1"/>
  <c r="S401" i="1"/>
  <c r="U401" i="1" s="1"/>
  <c r="S402" i="1"/>
  <c r="U402" i="1" s="1"/>
  <c r="S403" i="1"/>
  <c r="U403" i="1" s="1"/>
  <c r="S404" i="1"/>
  <c r="U404" i="1" s="1"/>
  <c r="S405" i="1"/>
  <c r="U405" i="1" s="1"/>
  <c r="S406" i="1"/>
  <c r="U406" i="1" s="1"/>
  <c r="S407" i="1"/>
  <c r="U407" i="1" s="1"/>
  <c r="S408" i="1"/>
  <c r="U408" i="1" s="1"/>
  <c r="S409" i="1"/>
  <c r="U409" i="1" s="1"/>
  <c r="S410" i="1"/>
  <c r="U410" i="1" s="1"/>
  <c r="S411" i="1"/>
  <c r="U411" i="1" s="1"/>
  <c r="S412" i="1"/>
  <c r="U412" i="1" s="1"/>
  <c r="S413" i="1"/>
  <c r="U413" i="1" s="1"/>
  <c r="S414" i="1"/>
  <c r="U414" i="1" s="1"/>
  <c r="S415" i="1"/>
  <c r="U415" i="1" s="1"/>
  <c r="S416" i="1"/>
  <c r="U416" i="1" s="1"/>
  <c r="S418" i="1"/>
  <c r="U418" i="1" s="1"/>
  <c r="S419" i="1"/>
  <c r="U419" i="1" s="1"/>
  <c r="P2" i="1"/>
  <c r="R2" i="1" s="1"/>
  <c r="P3" i="1"/>
  <c r="R3" i="1" s="1"/>
  <c r="P4" i="1"/>
  <c r="R4" i="1" s="1"/>
  <c r="P5" i="1"/>
  <c r="R5" i="1" s="1"/>
  <c r="P6" i="1"/>
  <c r="R6" i="1" s="1"/>
  <c r="R7" i="1"/>
  <c r="P8" i="1"/>
  <c r="R8" i="1" s="1"/>
  <c r="P9" i="1"/>
  <c r="R9" i="1" s="1"/>
  <c r="P10" i="1"/>
  <c r="R10" i="1" s="1"/>
  <c r="P11" i="1"/>
  <c r="R11" i="1" s="1"/>
  <c r="P12" i="1"/>
  <c r="R12" i="1" s="1"/>
  <c r="P13" i="1"/>
  <c r="R13" i="1" s="1"/>
  <c r="P14" i="1"/>
  <c r="R14" i="1" s="1"/>
  <c r="P15" i="1"/>
  <c r="R15" i="1" s="1"/>
  <c r="P16" i="1"/>
  <c r="R16" i="1" s="1"/>
  <c r="P17" i="1"/>
  <c r="R17" i="1" s="1"/>
  <c r="P18" i="1"/>
  <c r="R18" i="1" s="1"/>
  <c r="P19" i="1"/>
  <c r="R19" i="1" s="1"/>
  <c r="P22" i="1"/>
  <c r="R22" i="1" s="1"/>
  <c r="P20" i="1"/>
  <c r="R20" i="1" s="1"/>
  <c r="P21" i="1"/>
  <c r="R21" i="1" s="1"/>
  <c r="P23" i="1"/>
  <c r="R23" i="1" s="1"/>
  <c r="P24" i="1"/>
  <c r="R24" i="1" s="1"/>
  <c r="P25" i="1"/>
  <c r="R25" i="1" s="1"/>
  <c r="P26" i="1"/>
  <c r="R26" i="1" s="1"/>
  <c r="P27" i="1"/>
  <c r="R27" i="1" s="1"/>
  <c r="P28" i="1"/>
  <c r="R28" i="1" s="1"/>
  <c r="P30" i="1"/>
  <c r="R30" i="1" s="1"/>
  <c r="P35" i="1"/>
  <c r="R35" i="1" s="1"/>
  <c r="P31" i="1"/>
  <c r="R31" i="1" s="1"/>
  <c r="P32" i="1"/>
  <c r="R32" i="1" s="1"/>
  <c r="P33" i="1"/>
  <c r="R33" i="1" s="1"/>
  <c r="P34" i="1"/>
  <c r="R34" i="1" s="1"/>
  <c r="P29" i="1"/>
  <c r="R29" i="1" s="1"/>
  <c r="P37" i="1"/>
  <c r="R37" i="1" s="1"/>
  <c r="P36" i="1"/>
  <c r="R36" i="1" s="1"/>
  <c r="P38" i="1"/>
  <c r="R38" i="1" s="1"/>
  <c r="P39" i="1"/>
  <c r="R39" i="1" s="1"/>
  <c r="P40" i="1"/>
  <c r="R40" i="1" s="1"/>
  <c r="P41" i="1"/>
  <c r="R41" i="1" s="1"/>
  <c r="P45" i="1"/>
  <c r="R45" i="1" s="1"/>
  <c r="P42" i="1"/>
  <c r="R42" i="1" s="1"/>
  <c r="P43" i="1"/>
  <c r="R43" i="1" s="1"/>
  <c r="P44" i="1"/>
  <c r="R44" i="1" s="1"/>
  <c r="P46" i="1"/>
  <c r="R46" i="1" s="1"/>
  <c r="P47" i="1"/>
  <c r="R47" i="1" s="1"/>
  <c r="P48" i="1"/>
  <c r="R48" i="1" s="1"/>
  <c r="P49" i="1"/>
  <c r="R49" i="1" s="1"/>
  <c r="P50" i="1"/>
  <c r="R50" i="1" s="1"/>
  <c r="P51" i="1"/>
  <c r="R51" i="1" s="1"/>
  <c r="P55" i="1"/>
  <c r="R55" i="1" s="1"/>
  <c r="P52" i="1"/>
  <c r="R52" i="1" s="1"/>
  <c r="P53" i="1"/>
  <c r="R53" i="1" s="1"/>
  <c r="P54" i="1"/>
  <c r="R54" i="1" s="1"/>
  <c r="P56" i="1"/>
  <c r="R56" i="1" s="1"/>
  <c r="P57" i="1"/>
  <c r="R57" i="1" s="1"/>
  <c r="P58" i="1"/>
  <c r="R58" i="1" s="1"/>
  <c r="P59" i="1"/>
  <c r="R59" i="1" s="1"/>
  <c r="P60" i="1"/>
  <c r="R60" i="1" s="1"/>
  <c r="P61" i="1"/>
  <c r="R61" i="1" s="1"/>
  <c r="P62" i="1"/>
  <c r="R62" i="1" s="1"/>
  <c r="P63" i="1"/>
  <c r="R63" i="1" s="1"/>
  <c r="P64" i="1"/>
  <c r="R64" i="1" s="1"/>
  <c r="P68" i="1"/>
  <c r="R68" i="1" s="1"/>
  <c r="P65" i="1"/>
  <c r="R65" i="1" s="1"/>
  <c r="P66" i="1"/>
  <c r="R66" i="1" s="1"/>
  <c r="P67" i="1"/>
  <c r="R67" i="1" s="1"/>
  <c r="P70" i="1"/>
  <c r="R70" i="1" s="1"/>
  <c r="P76" i="1"/>
  <c r="R76" i="1" s="1"/>
  <c r="P79" i="1"/>
  <c r="R79" i="1" s="1"/>
  <c r="P71" i="1"/>
  <c r="R71" i="1" s="1"/>
  <c r="P72" i="1"/>
  <c r="R72" i="1" s="1"/>
  <c r="P73" i="1"/>
  <c r="R73" i="1" s="1"/>
  <c r="P74" i="1"/>
  <c r="R74" i="1" s="1"/>
  <c r="P77" i="1"/>
  <c r="R77" i="1" s="1"/>
  <c r="P75" i="1"/>
  <c r="R75" i="1" s="1"/>
  <c r="P78" i="1"/>
  <c r="R78" i="1" s="1"/>
  <c r="P69" i="1"/>
  <c r="R69" i="1" s="1"/>
  <c r="P80" i="1"/>
  <c r="R80" i="1" s="1"/>
  <c r="P81" i="1"/>
  <c r="R81" i="1" s="1"/>
  <c r="P82" i="1"/>
  <c r="R82" i="1" s="1"/>
  <c r="P83" i="1"/>
  <c r="R83" i="1" s="1"/>
  <c r="P84" i="1"/>
  <c r="R84" i="1" s="1"/>
  <c r="P85" i="1"/>
  <c r="R85" i="1" s="1"/>
  <c r="P86" i="1"/>
  <c r="R86" i="1" s="1"/>
  <c r="P87" i="1"/>
  <c r="R87" i="1" s="1"/>
  <c r="P88" i="1"/>
  <c r="R88" i="1" s="1"/>
  <c r="P89" i="1"/>
  <c r="R89" i="1" s="1"/>
  <c r="P90" i="1"/>
  <c r="R90" i="1" s="1"/>
  <c r="P91" i="1"/>
  <c r="R91" i="1" s="1"/>
  <c r="P92" i="1"/>
  <c r="R92" i="1" s="1"/>
  <c r="P93" i="1"/>
  <c r="R93" i="1" s="1"/>
  <c r="P94" i="1"/>
  <c r="R94" i="1" s="1"/>
  <c r="P95" i="1"/>
  <c r="R95" i="1" s="1"/>
  <c r="P96" i="1"/>
  <c r="R96" i="1" s="1"/>
  <c r="P97" i="1"/>
  <c r="R97" i="1" s="1"/>
  <c r="P98" i="1"/>
  <c r="R98" i="1" s="1"/>
  <c r="P99" i="1"/>
  <c r="R99" i="1" s="1"/>
  <c r="P100" i="1"/>
  <c r="R100" i="1" s="1"/>
  <c r="P101" i="1"/>
  <c r="R101" i="1" s="1"/>
  <c r="P102" i="1"/>
  <c r="R102" i="1" s="1"/>
  <c r="P103" i="1"/>
  <c r="R103" i="1" s="1"/>
  <c r="P104" i="1"/>
  <c r="R104" i="1" s="1"/>
  <c r="P105" i="1"/>
  <c r="R105" i="1" s="1"/>
  <c r="P106" i="1"/>
  <c r="R106" i="1" s="1"/>
  <c r="P107" i="1"/>
  <c r="R107" i="1" s="1"/>
  <c r="P108" i="1"/>
  <c r="R108" i="1" s="1"/>
  <c r="P109" i="1"/>
  <c r="R109" i="1" s="1"/>
  <c r="P110" i="1"/>
  <c r="R110" i="1" s="1"/>
  <c r="P111" i="1"/>
  <c r="R111" i="1" s="1"/>
  <c r="P112" i="1"/>
  <c r="R112" i="1" s="1"/>
  <c r="P113" i="1"/>
  <c r="R113" i="1" s="1"/>
  <c r="P114" i="1"/>
  <c r="R114" i="1" s="1"/>
  <c r="P115" i="1"/>
  <c r="R115" i="1" s="1"/>
  <c r="P116" i="1"/>
  <c r="R116" i="1" s="1"/>
  <c r="P127" i="1"/>
  <c r="R127" i="1" s="1"/>
  <c r="P118" i="1"/>
  <c r="R118" i="1" s="1"/>
  <c r="P119" i="1"/>
  <c r="R119" i="1" s="1"/>
  <c r="P120" i="1"/>
  <c r="R120" i="1" s="1"/>
  <c r="P121" i="1"/>
  <c r="R121" i="1" s="1"/>
  <c r="P122" i="1"/>
  <c r="R122" i="1" s="1"/>
  <c r="P123" i="1"/>
  <c r="R123" i="1" s="1"/>
  <c r="P124" i="1"/>
  <c r="R124" i="1" s="1"/>
  <c r="P128" i="1"/>
  <c r="R128" i="1" s="1"/>
  <c r="P125" i="1"/>
  <c r="R125" i="1" s="1"/>
  <c r="P126" i="1"/>
  <c r="R126" i="1" s="1"/>
  <c r="P117" i="1"/>
  <c r="R117" i="1" s="1"/>
  <c r="P130" i="1"/>
  <c r="R130" i="1" s="1"/>
  <c r="P131" i="1"/>
  <c r="R131" i="1" s="1"/>
  <c r="P129" i="1"/>
  <c r="R129" i="1" s="1"/>
  <c r="P132" i="1"/>
  <c r="R132" i="1" s="1"/>
  <c r="P137" i="1"/>
  <c r="R137" i="1" s="1"/>
  <c r="P138" i="1"/>
  <c r="R138" i="1" s="1"/>
  <c r="P139" i="1"/>
  <c r="R139" i="1" s="1"/>
  <c r="P141" i="1"/>
  <c r="R141" i="1" s="1"/>
  <c r="P140" i="1"/>
  <c r="R140" i="1" s="1"/>
  <c r="P142" i="1"/>
  <c r="R142" i="1" s="1"/>
  <c r="P143" i="1"/>
  <c r="R143" i="1" s="1"/>
  <c r="P144" i="1"/>
  <c r="R144" i="1" s="1"/>
  <c r="P145" i="1"/>
  <c r="R145" i="1" s="1"/>
  <c r="P146" i="1"/>
  <c r="R146" i="1" s="1"/>
  <c r="P147" i="1"/>
  <c r="R147" i="1" s="1"/>
  <c r="P148" i="1"/>
  <c r="R148" i="1" s="1"/>
  <c r="P149" i="1"/>
  <c r="R149" i="1" s="1"/>
  <c r="P151" i="1"/>
  <c r="R151" i="1" s="1"/>
  <c r="P152" i="1"/>
  <c r="R152" i="1" s="1"/>
  <c r="P153" i="1"/>
  <c r="R153" i="1" s="1"/>
  <c r="P154" i="1"/>
  <c r="R154" i="1" s="1"/>
  <c r="P155" i="1"/>
  <c r="R155" i="1" s="1"/>
  <c r="P156" i="1"/>
  <c r="R156" i="1" s="1"/>
  <c r="P157" i="1"/>
  <c r="R157" i="1" s="1"/>
  <c r="P158" i="1"/>
  <c r="R158" i="1" s="1"/>
  <c r="P159" i="1"/>
  <c r="R159" i="1" s="1"/>
  <c r="P160" i="1"/>
  <c r="R160" i="1" s="1"/>
  <c r="P161" i="1"/>
  <c r="R161" i="1" s="1"/>
  <c r="P163" i="1"/>
  <c r="R163" i="1" s="1"/>
  <c r="P166" i="1"/>
  <c r="R166" i="1" s="1"/>
  <c r="P164" i="1"/>
  <c r="R164" i="1" s="1"/>
  <c r="P165" i="1"/>
  <c r="R165" i="1" s="1"/>
  <c r="P162" i="1"/>
  <c r="R162" i="1" s="1"/>
  <c r="P167" i="1"/>
  <c r="R167" i="1" s="1"/>
  <c r="P150" i="1"/>
  <c r="R150" i="1" s="1"/>
  <c r="P168" i="1"/>
  <c r="R168" i="1" s="1"/>
  <c r="P169" i="1"/>
  <c r="R169" i="1" s="1"/>
  <c r="P171" i="1"/>
  <c r="R171" i="1" s="1"/>
  <c r="P170" i="1"/>
  <c r="R170" i="1" s="1"/>
  <c r="P172" i="1"/>
  <c r="R172" i="1" s="1"/>
  <c r="P173" i="1"/>
  <c r="R173" i="1" s="1"/>
  <c r="P174" i="1"/>
  <c r="R174" i="1" s="1"/>
  <c r="P176" i="1"/>
  <c r="R176" i="1" s="1"/>
  <c r="P175" i="1"/>
  <c r="R175" i="1" s="1"/>
  <c r="P177" i="1"/>
  <c r="R177" i="1" s="1"/>
  <c r="P178" i="1"/>
  <c r="R178" i="1" s="1"/>
  <c r="P180" i="1"/>
  <c r="R180" i="1" s="1"/>
  <c r="P179" i="1"/>
  <c r="R179" i="1" s="1"/>
  <c r="P181" i="1"/>
  <c r="R181" i="1" s="1"/>
  <c r="P182" i="1"/>
  <c r="R182" i="1" s="1"/>
  <c r="P183" i="1"/>
  <c r="R183" i="1" s="1"/>
  <c r="P184" i="1"/>
  <c r="R184" i="1" s="1"/>
  <c r="P185" i="1"/>
  <c r="R185" i="1" s="1"/>
  <c r="P186" i="1"/>
  <c r="R186" i="1" s="1"/>
  <c r="P187" i="1"/>
  <c r="R187" i="1" s="1"/>
  <c r="P188" i="1"/>
  <c r="R188" i="1" s="1"/>
  <c r="P189" i="1"/>
  <c r="R189" i="1" s="1"/>
  <c r="P190" i="1"/>
  <c r="R190" i="1" s="1"/>
  <c r="P191" i="1"/>
  <c r="R191" i="1" s="1"/>
  <c r="P192" i="1"/>
  <c r="R192" i="1" s="1"/>
  <c r="P193" i="1"/>
  <c r="R193" i="1" s="1"/>
  <c r="P194" i="1"/>
  <c r="R194" i="1" s="1"/>
  <c r="P195" i="1"/>
  <c r="R195" i="1" s="1"/>
  <c r="P196" i="1"/>
  <c r="R196" i="1" s="1"/>
  <c r="P197" i="1"/>
  <c r="R197" i="1" s="1"/>
  <c r="P198" i="1"/>
  <c r="R198" i="1" s="1"/>
  <c r="P133" i="1"/>
  <c r="R133" i="1" s="1"/>
  <c r="P134" i="1"/>
  <c r="R134" i="1" s="1"/>
  <c r="P135" i="1"/>
  <c r="R135" i="1" s="1"/>
  <c r="P136" i="1"/>
  <c r="R136" i="1" s="1"/>
  <c r="P201" i="1"/>
  <c r="R201" i="1" s="1"/>
  <c r="P200" i="1"/>
  <c r="R200" i="1" s="1"/>
  <c r="P199" i="1"/>
  <c r="R199" i="1" s="1"/>
  <c r="P202" i="1"/>
  <c r="R202" i="1" s="1"/>
  <c r="P203" i="1"/>
  <c r="R203" i="1" s="1"/>
  <c r="P302" i="1"/>
  <c r="R302" i="1" s="1"/>
  <c r="P204" i="1"/>
  <c r="R204" i="1" s="1"/>
  <c r="P205" i="1"/>
  <c r="R205" i="1" s="1"/>
  <c r="P206" i="1"/>
  <c r="R206" i="1" s="1"/>
  <c r="P207" i="1"/>
  <c r="R207" i="1" s="1"/>
  <c r="P209" i="1"/>
  <c r="R209" i="1" s="1"/>
  <c r="P208" i="1"/>
  <c r="R208" i="1" s="1"/>
  <c r="P210" i="1"/>
  <c r="R210" i="1" s="1"/>
  <c r="P212" i="1"/>
  <c r="R212" i="1" s="1"/>
  <c r="P211" i="1"/>
  <c r="R211" i="1" s="1"/>
  <c r="P213" i="1"/>
  <c r="R213" i="1" s="1"/>
  <c r="P214" i="1"/>
  <c r="R214" i="1" s="1"/>
  <c r="P215" i="1"/>
  <c r="R215" i="1" s="1"/>
  <c r="P216" i="1"/>
  <c r="R216" i="1" s="1"/>
  <c r="P217" i="1"/>
  <c r="R217" i="1" s="1"/>
  <c r="P220" i="1"/>
  <c r="R220" i="1" s="1"/>
  <c r="P219" i="1"/>
  <c r="R219" i="1" s="1"/>
  <c r="P221" i="1"/>
  <c r="R221" i="1" s="1"/>
  <c r="P222" i="1"/>
  <c r="R222" i="1" s="1"/>
  <c r="P224" i="1"/>
  <c r="R224" i="1" s="1"/>
  <c r="P223" i="1"/>
  <c r="R223" i="1" s="1"/>
  <c r="P225" i="1"/>
  <c r="R225" i="1" s="1"/>
  <c r="P226" i="1"/>
  <c r="R226" i="1" s="1"/>
  <c r="P227" i="1"/>
  <c r="R227" i="1" s="1"/>
  <c r="P230" i="1"/>
  <c r="R230" i="1" s="1"/>
  <c r="P229" i="1"/>
  <c r="R229" i="1" s="1"/>
  <c r="P231" i="1"/>
  <c r="R231" i="1" s="1"/>
  <c r="P232" i="1"/>
  <c r="R232" i="1" s="1"/>
  <c r="P233" i="1"/>
  <c r="R233" i="1" s="1"/>
  <c r="P234" i="1"/>
  <c r="R234" i="1" s="1"/>
  <c r="P235" i="1"/>
  <c r="R235" i="1" s="1"/>
  <c r="P236" i="1"/>
  <c r="R236" i="1" s="1"/>
  <c r="P237" i="1"/>
  <c r="R237" i="1" s="1"/>
  <c r="P238" i="1"/>
  <c r="R238" i="1" s="1"/>
  <c r="P239" i="1"/>
  <c r="R239" i="1" s="1"/>
  <c r="P240" i="1"/>
  <c r="R240" i="1" s="1"/>
  <c r="P241" i="1"/>
  <c r="R241" i="1" s="1"/>
  <c r="P242" i="1"/>
  <c r="R242" i="1" s="1"/>
  <c r="P243" i="1"/>
  <c r="R243" i="1" s="1"/>
  <c r="P244" i="1"/>
  <c r="R244" i="1" s="1"/>
  <c r="P246" i="1"/>
  <c r="R246" i="1" s="1"/>
  <c r="P247" i="1"/>
  <c r="R247" i="1" s="1"/>
  <c r="P248" i="1"/>
  <c r="R248" i="1" s="1"/>
  <c r="P249" i="1"/>
  <c r="R249" i="1" s="1"/>
  <c r="P245" i="1"/>
  <c r="R245" i="1" s="1"/>
  <c r="P250" i="1"/>
  <c r="R250" i="1" s="1"/>
  <c r="P251" i="1"/>
  <c r="R251" i="1" s="1"/>
  <c r="P254" i="1"/>
  <c r="R254" i="1" s="1"/>
  <c r="P252" i="1"/>
  <c r="R252" i="1" s="1"/>
  <c r="P253" i="1"/>
  <c r="R253" i="1" s="1"/>
  <c r="P255" i="1"/>
  <c r="R255" i="1" s="1"/>
  <c r="P256" i="1"/>
  <c r="R256" i="1" s="1"/>
  <c r="P257" i="1"/>
  <c r="R257" i="1" s="1"/>
  <c r="P258" i="1"/>
  <c r="R258" i="1" s="1"/>
  <c r="P259" i="1"/>
  <c r="R259" i="1" s="1"/>
  <c r="P260" i="1"/>
  <c r="R260" i="1" s="1"/>
  <c r="P261" i="1"/>
  <c r="R261" i="1" s="1"/>
  <c r="P262" i="1"/>
  <c r="R262" i="1" s="1"/>
  <c r="P263" i="1"/>
  <c r="R263" i="1" s="1"/>
  <c r="P264" i="1"/>
  <c r="R264" i="1" s="1"/>
  <c r="P265" i="1"/>
  <c r="R265" i="1" s="1"/>
  <c r="P266" i="1"/>
  <c r="R266" i="1" s="1"/>
  <c r="P267" i="1"/>
  <c r="R267" i="1" s="1"/>
  <c r="P268" i="1"/>
  <c r="R268" i="1" s="1"/>
  <c r="P269" i="1"/>
  <c r="R269" i="1" s="1"/>
  <c r="P270" i="1"/>
  <c r="R270" i="1" s="1"/>
  <c r="P271" i="1"/>
  <c r="R271" i="1" s="1"/>
  <c r="P272" i="1"/>
  <c r="R272" i="1" s="1"/>
  <c r="P273" i="1"/>
  <c r="R273" i="1" s="1"/>
  <c r="P274" i="1"/>
  <c r="R274" i="1" s="1"/>
  <c r="P275" i="1"/>
  <c r="R275" i="1" s="1"/>
  <c r="P276" i="1"/>
  <c r="R276" i="1" s="1"/>
  <c r="P277" i="1"/>
  <c r="R277" i="1" s="1"/>
  <c r="P278" i="1"/>
  <c r="R278" i="1" s="1"/>
  <c r="P279" i="1"/>
  <c r="R279" i="1" s="1"/>
  <c r="P280" i="1"/>
  <c r="R280" i="1" s="1"/>
  <c r="P281" i="1"/>
  <c r="R281" i="1" s="1"/>
  <c r="P282" i="1"/>
  <c r="R282" i="1" s="1"/>
  <c r="P283" i="1"/>
  <c r="R283" i="1" s="1"/>
  <c r="P284" i="1"/>
  <c r="R284" i="1" s="1"/>
  <c r="P285" i="1"/>
  <c r="R285" i="1" s="1"/>
  <c r="P286" i="1"/>
  <c r="R286" i="1" s="1"/>
  <c r="P287" i="1"/>
  <c r="R287" i="1" s="1"/>
  <c r="P288" i="1"/>
  <c r="R288" i="1" s="1"/>
  <c r="P289" i="1"/>
  <c r="R289" i="1" s="1"/>
  <c r="P290" i="1"/>
  <c r="R290" i="1" s="1"/>
  <c r="P291" i="1"/>
  <c r="R291" i="1" s="1"/>
  <c r="P292" i="1"/>
  <c r="R292" i="1" s="1"/>
  <c r="P293" i="1"/>
  <c r="R293" i="1" s="1"/>
  <c r="P294" i="1"/>
  <c r="R294" i="1" s="1"/>
  <c r="P295" i="1"/>
  <c r="R295" i="1" s="1"/>
  <c r="P297" i="1"/>
  <c r="R297" i="1" s="1"/>
  <c r="P298" i="1"/>
  <c r="R298" i="1" s="1"/>
  <c r="P299" i="1"/>
  <c r="R299" i="1" s="1"/>
  <c r="P300" i="1"/>
  <c r="R300" i="1" s="1"/>
  <c r="P301" i="1"/>
  <c r="R301" i="1" s="1"/>
  <c r="P303" i="1"/>
  <c r="R303" i="1" s="1"/>
  <c r="P304" i="1"/>
  <c r="R304" i="1" s="1"/>
  <c r="P305" i="1"/>
  <c r="R305" i="1" s="1"/>
  <c r="P306" i="1"/>
  <c r="R306" i="1" s="1"/>
  <c r="P307" i="1"/>
  <c r="R307" i="1" s="1"/>
  <c r="P383" i="1"/>
  <c r="R383" i="1" s="1"/>
  <c r="P308" i="1"/>
  <c r="R308" i="1" s="1"/>
  <c r="P309" i="1"/>
  <c r="R309" i="1" s="1"/>
  <c r="P310" i="1"/>
  <c r="R310" i="1" s="1"/>
  <c r="P311" i="1"/>
  <c r="R311" i="1" s="1"/>
  <c r="P312" i="1"/>
  <c r="R312" i="1" s="1"/>
  <c r="P313" i="1"/>
  <c r="R313" i="1" s="1"/>
  <c r="P314" i="1"/>
  <c r="R314" i="1" s="1"/>
  <c r="P315" i="1"/>
  <c r="R315" i="1" s="1"/>
  <c r="P316" i="1"/>
  <c r="R316" i="1" s="1"/>
  <c r="P317" i="1"/>
  <c r="R317" i="1" s="1"/>
  <c r="P318" i="1"/>
  <c r="R318" i="1" s="1"/>
  <c r="P319" i="1"/>
  <c r="R319" i="1" s="1"/>
  <c r="P320" i="1"/>
  <c r="R320" i="1" s="1"/>
  <c r="P321" i="1"/>
  <c r="R321" i="1" s="1"/>
  <c r="P322" i="1"/>
  <c r="R322" i="1" s="1"/>
  <c r="P323" i="1"/>
  <c r="R323" i="1" s="1"/>
  <c r="P324" i="1"/>
  <c r="R324" i="1" s="1"/>
  <c r="P325" i="1"/>
  <c r="R325" i="1" s="1"/>
  <c r="P326" i="1"/>
  <c r="R326" i="1" s="1"/>
  <c r="P327" i="1"/>
  <c r="R327" i="1" s="1"/>
  <c r="P328" i="1"/>
  <c r="R328" i="1" s="1"/>
  <c r="P329" i="1"/>
  <c r="R329" i="1" s="1"/>
  <c r="P330" i="1"/>
  <c r="R330" i="1" s="1"/>
  <c r="P331" i="1"/>
  <c r="R331" i="1" s="1"/>
  <c r="P332" i="1"/>
  <c r="R332" i="1" s="1"/>
  <c r="P333" i="1"/>
  <c r="R333" i="1" s="1"/>
  <c r="P334" i="1"/>
  <c r="R334" i="1" s="1"/>
  <c r="P335" i="1"/>
  <c r="R335" i="1" s="1"/>
  <c r="P336" i="1"/>
  <c r="R336" i="1" s="1"/>
  <c r="P337" i="1"/>
  <c r="R337" i="1" s="1"/>
  <c r="P338" i="1"/>
  <c r="R338" i="1" s="1"/>
  <c r="P339" i="1"/>
  <c r="R339" i="1" s="1"/>
  <c r="P340" i="1"/>
  <c r="R340" i="1" s="1"/>
  <c r="P341" i="1"/>
  <c r="R341" i="1" s="1"/>
  <c r="P342" i="1"/>
  <c r="R342" i="1" s="1"/>
  <c r="P343" i="1"/>
  <c r="R343" i="1" s="1"/>
  <c r="P344" i="1"/>
  <c r="R344" i="1" s="1"/>
  <c r="P345" i="1"/>
  <c r="R345" i="1" s="1"/>
  <c r="P346" i="1"/>
  <c r="R346" i="1" s="1"/>
  <c r="P347" i="1"/>
  <c r="R347" i="1" s="1"/>
  <c r="P348" i="1"/>
  <c r="R348" i="1" s="1"/>
  <c r="P349" i="1"/>
  <c r="R349" i="1" s="1"/>
  <c r="P350" i="1"/>
  <c r="R350" i="1" s="1"/>
  <c r="P351" i="1"/>
  <c r="R351" i="1" s="1"/>
  <c r="P352" i="1"/>
  <c r="R352" i="1" s="1"/>
  <c r="P353" i="1"/>
  <c r="R353" i="1" s="1"/>
  <c r="P354" i="1"/>
  <c r="R354" i="1" s="1"/>
  <c r="P355" i="1"/>
  <c r="R355" i="1" s="1"/>
  <c r="P356" i="1"/>
  <c r="R356" i="1" s="1"/>
  <c r="P357" i="1"/>
  <c r="R357" i="1" s="1"/>
  <c r="P358" i="1"/>
  <c r="R358" i="1" s="1"/>
  <c r="P359" i="1"/>
  <c r="R359" i="1" s="1"/>
  <c r="P360" i="1"/>
  <c r="R360" i="1" s="1"/>
  <c r="P361" i="1"/>
  <c r="R361" i="1" s="1"/>
  <c r="P362" i="1"/>
  <c r="R362" i="1" s="1"/>
  <c r="P363" i="1"/>
  <c r="R363" i="1" s="1"/>
  <c r="P364" i="1"/>
  <c r="R364" i="1" s="1"/>
  <c r="P365" i="1"/>
  <c r="R365" i="1" s="1"/>
  <c r="P369" i="1"/>
  <c r="R369" i="1" s="1"/>
  <c r="P296" i="1"/>
  <c r="R296" i="1" s="1"/>
  <c r="P372" i="1"/>
  <c r="R372" i="1" s="1"/>
  <c r="P377" i="1"/>
  <c r="R377" i="1" s="1"/>
  <c r="P378" i="1"/>
  <c r="R378" i="1" s="1"/>
  <c r="P380" i="1"/>
  <c r="R380" i="1" s="1"/>
  <c r="P381" i="1"/>
  <c r="R381" i="1" s="1"/>
  <c r="P384" i="1"/>
  <c r="R384" i="1" s="1"/>
  <c r="P388" i="1"/>
  <c r="R388" i="1" s="1"/>
  <c r="P391" i="1"/>
  <c r="R391" i="1" s="1"/>
  <c r="P394" i="1"/>
  <c r="R394" i="1" s="1"/>
  <c r="P395" i="1"/>
  <c r="R395" i="1" s="1"/>
  <c r="P396" i="1"/>
  <c r="R396" i="1" s="1"/>
  <c r="P397" i="1"/>
  <c r="R397" i="1" s="1"/>
  <c r="P398" i="1"/>
  <c r="R398" i="1" s="1"/>
  <c r="P399" i="1"/>
  <c r="R399" i="1" s="1"/>
  <c r="P400" i="1"/>
  <c r="R400" i="1" s="1"/>
  <c r="P401" i="1"/>
  <c r="R401" i="1" s="1"/>
  <c r="P402" i="1"/>
  <c r="R402" i="1" s="1"/>
  <c r="P403" i="1"/>
  <c r="R403" i="1" s="1"/>
  <c r="P404" i="1"/>
  <c r="R404" i="1" s="1"/>
  <c r="P405" i="1"/>
  <c r="R405" i="1" s="1"/>
  <c r="P406" i="1"/>
  <c r="R406" i="1" s="1"/>
  <c r="P407" i="1"/>
  <c r="R407" i="1" s="1"/>
  <c r="P408" i="1"/>
  <c r="R408" i="1" s="1"/>
  <c r="P409" i="1"/>
  <c r="R409" i="1" s="1"/>
  <c r="P410" i="1"/>
  <c r="R410" i="1" s="1"/>
  <c r="P411" i="1"/>
  <c r="R411" i="1" s="1"/>
  <c r="P412" i="1"/>
  <c r="R412" i="1" s="1"/>
  <c r="P413" i="1"/>
  <c r="R413" i="1" s="1"/>
  <c r="P414" i="1"/>
  <c r="R414" i="1" s="1"/>
  <c r="P415" i="1"/>
  <c r="R415" i="1" s="1"/>
  <c r="P416" i="1"/>
  <c r="R416" i="1" s="1"/>
  <c r="P417" i="1"/>
  <c r="R417" i="1" s="1"/>
  <c r="P418" i="1"/>
  <c r="R418" i="1" s="1"/>
  <c r="P419" i="1"/>
  <c r="R419" i="1" s="1"/>
  <c r="M2" i="1"/>
  <c r="O2" i="1" s="1"/>
  <c r="M3" i="1"/>
  <c r="O3" i="1" s="1"/>
  <c r="M4" i="1"/>
  <c r="O4" i="1" s="1"/>
  <c r="M5" i="1"/>
  <c r="O5" i="1" s="1"/>
  <c r="M6" i="1"/>
  <c r="O6" i="1" s="1"/>
  <c r="M7" i="1"/>
  <c r="O7" i="1" s="1"/>
  <c r="M8" i="1"/>
  <c r="O8" i="1" s="1"/>
  <c r="M9" i="1"/>
  <c r="O9" i="1" s="1"/>
  <c r="M10" i="1"/>
  <c r="O10" i="1" s="1"/>
  <c r="M11" i="1"/>
  <c r="O11" i="1" s="1"/>
  <c r="M12" i="1"/>
  <c r="O12" i="1" s="1"/>
  <c r="M13" i="1"/>
  <c r="O13" i="1" s="1"/>
  <c r="M14" i="1"/>
  <c r="O14" i="1" s="1"/>
  <c r="M15" i="1"/>
  <c r="O15" i="1" s="1"/>
  <c r="M16" i="1"/>
  <c r="O16" i="1" s="1"/>
  <c r="M17" i="1"/>
  <c r="O17" i="1" s="1"/>
  <c r="M18" i="1"/>
  <c r="O18" i="1" s="1"/>
  <c r="M19" i="1"/>
  <c r="O19" i="1" s="1"/>
  <c r="M22" i="1"/>
  <c r="O22" i="1" s="1"/>
  <c r="M20" i="1"/>
  <c r="O20" i="1" s="1"/>
  <c r="M21" i="1"/>
  <c r="O21" i="1" s="1"/>
  <c r="M23" i="1"/>
  <c r="O23" i="1" s="1"/>
  <c r="M24" i="1"/>
  <c r="O24" i="1" s="1"/>
  <c r="M25" i="1"/>
  <c r="O25" i="1" s="1"/>
  <c r="M26" i="1"/>
  <c r="O26" i="1" s="1"/>
  <c r="M27" i="1"/>
  <c r="O27" i="1" s="1"/>
  <c r="M28" i="1"/>
  <c r="O28" i="1" s="1"/>
  <c r="M30" i="1"/>
  <c r="O30" i="1" s="1"/>
  <c r="M35" i="1"/>
  <c r="O35" i="1" s="1"/>
  <c r="M31" i="1"/>
  <c r="O31" i="1" s="1"/>
  <c r="M32" i="1"/>
  <c r="O32" i="1" s="1"/>
  <c r="M33" i="1"/>
  <c r="O33" i="1" s="1"/>
  <c r="M34" i="1"/>
  <c r="O34" i="1" s="1"/>
  <c r="M29" i="1"/>
  <c r="O29" i="1" s="1"/>
  <c r="M37" i="1"/>
  <c r="O37" i="1" s="1"/>
  <c r="M36" i="1"/>
  <c r="O36" i="1" s="1"/>
  <c r="M38" i="1"/>
  <c r="O38" i="1" s="1"/>
  <c r="M39" i="1"/>
  <c r="O39" i="1" s="1"/>
  <c r="M40" i="1"/>
  <c r="O40" i="1" s="1"/>
  <c r="M41" i="1"/>
  <c r="O41" i="1" s="1"/>
  <c r="M45" i="1"/>
  <c r="O45" i="1" s="1"/>
  <c r="M42" i="1"/>
  <c r="O42" i="1" s="1"/>
  <c r="M43" i="1"/>
  <c r="O43" i="1" s="1"/>
  <c r="M44" i="1"/>
  <c r="O44" i="1" s="1"/>
  <c r="M46" i="1"/>
  <c r="O46" i="1" s="1"/>
  <c r="M47" i="1"/>
  <c r="O47" i="1" s="1"/>
  <c r="M48" i="1"/>
  <c r="O48" i="1" s="1"/>
  <c r="M49" i="1"/>
  <c r="O49" i="1" s="1"/>
  <c r="M50" i="1"/>
  <c r="O50" i="1" s="1"/>
  <c r="M51" i="1"/>
  <c r="O51" i="1" s="1"/>
  <c r="M55" i="1"/>
  <c r="O55" i="1" s="1"/>
  <c r="M52" i="1"/>
  <c r="O52" i="1" s="1"/>
  <c r="M53" i="1"/>
  <c r="O53" i="1" s="1"/>
  <c r="M54" i="1"/>
  <c r="O54" i="1" s="1"/>
  <c r="M56" i="1"/>
  <c r="O56" i="1" s="1"/>
  <c r="M57" i="1"/>
  <c r="O57" i="1" s="1"/>
  <c r="M58" i="1"/>
  <c r="O58" i="1" s="1"/>
  <c r="M59" i="1"/>
  <c r="O59" i="1" s="1"/>
  <c r="M60" i="1"/>
  <c r="O60" i="1" s="1"/>
  <c r="M61" i="1"/>
  <c r="O61" i="1" s="1"/>
  <c r="M62" i="1"/>
  <c r="O62" i="1" s="1"/>
  <c r="M63" i="1"/>
  <c r="O63" i="1" s="1"/>
  <c r="M64" i="1"/>
  <c r="O64" i="1" s="1"/>
  <c r="M68" i="1"/>
  <c r="O68" i="1" s="1"/>
  <c r="M65" i="1"/>
  <c r="O65" i="1" s="1"/>
  <c r="M66" i="1"/>
  <c r="O66" i="1" s="1"/>
  <c r="M67" i="1"/>
  <c r="O67" i="1" s="1"/>
  <c r="M70" i="1"/>
  <c r="O70" i="1" s="1"/>
  <c r="M76" i="1"/>
  <c r="O76" i="1" s="1"/>
  <c r="M79" i="1"/>
  <c r="O79" i="1" s="1"/>
  <c r="M71" i="1"/>
  <c r="O71" i="1" s="1"/>
  <c r="M72" i="1"/>
  <c r="O72" i="1" s="1"/>
  <c r="M73" i="1"/>
  <c r="O73" i="1" s="1"/>
  <c r="M74" i="1"/>
  <c r="O74" i="1" s="1"/>
  <c r="M77" i="1"/>
  <c r="O77" i="1" s="1"/>
  <c r="M75" i="1"/>
  <c r="O75" i="1" s="1"/>
  <c r="M78" i="1"/>
  <c r="O78" i="1" s="1"/>
  <c r="M69" i="1"/>
  <c r="O69" i="1" s="1"/>
  <c r="M80" i="1"/>
  <c r="O80" i="1" s="1"/>
  <c r="M81" i="1"/>
  <c r="O81" i="1" s="1"/>
  <c r="M82" i="1"/>
  <c r="O82" i="1" s="1"/>
  <c r="M83" i="1"/>
  <c r="O83" i="1" s="1"/>
  <c r="M84" i="1"/>
  <c r="O84" i="1" s="1"/>
  <c r="M85" i="1"/>
  <c r="O85" i="1" s="1"/>
  <c r="M86" i="1"/>
  <c r="O86" i="1" s="1"/>
  <c r="M87" i="1"/>
  <c r="O87" i="1" s="1"/>
  <c r="M88" i="1"/>
  <c r="O88" i="1" s="1"/>
  <c r="M89" i="1"/>
  <c r="O89" i="1" s="1"/>
  <c r="M90" i="1"/>
  <c r="O90" i="1" s="1"/>
  <c r="M91" i="1"/>
  <c r="O91" i="1" s="1"/>
  <c r="M92" i="1"/>
  <c r="O92" i="1" s="1"/>
  <c r="M93" i="1"/>
  <c r="O93" i="1" s="1"/>
  <c r="M94" i="1"/>
  <c r="O94" i="1" s="1"/>
  <c r="M95" i="1"/>
  <c r="O95" i="1" s="1"/>
  <c r="M96" i="1"/>
  <c r="O96" i="1" s="1"/>
  <c r="M97" i="1"/>
  <c r="O97" i="1" s="1"/>
  <c r="M98" i="1"/>
  <c r="O98" i="1" s="1"/>
  <c r="M99" i="1"/>
  <c r="O99" i="1" s="1"/>
  <c r="M100" i="1"/>
  <c r="O100" i="1" s="1"/>
  <c r="M101" i="1"/>
  <c r="O101" i="1" s="1"/>
  <c r="M102" i="1"/>
  <c r="O102" i="1" s="1"/>
  <c r="M103" i="1"/>
  <c r="O103" i="1" s="1"/>
  <c r="M104" i="1"/>
  <c r="O104" i="1" s="1"/>
  <c r="M105" i="1"/>
  <c r="O105" i="1" s="1"/>
  <c r="M106" i="1"/>
  <c r="O106" i="1" s="1"/>
  <c r="M107" i="1"/>
  <c r="O107" i="1" s="1"/>
  <c r="M108" i="1"/>
  <c r="O108" i="1" s="1"/>
  <c r="M109" i="1"/>
  <c r="O109" i="1" s="1"/>
  <c r="M110" i="1"/>
  <c r="O110" i="1" s="1"/>
  <c r="M111" i="1"/>
  <c r="O111" i="1" s="1"/>
  <c r="M112" i="1"/>
  <c r="O112" i="1" s="1"/>
  <c r="M113" i="1"/>
  <c r="O113" i="1" s="1"/>
  <c r="M114" i="1"/>
  <c r="O114" i="1" s="1"/>
  <c r="M115" i="1"/>
  <c r="O115" i="1" s="1"/>
  <c r="M116" i="1"/>
  <c r="O116" i="1" s="1"/>
  <c r="M127" i="1"/>
  <c r="O127" i="1" s="1"/>
  <c r="M118" i="1"/>
  <c r="O118" i="1" s="1"/>
  <c r="M119" i="1"/>
  <c r="O119" i="1" s="1"/>
  <c r="M120" i="1"/>
  <c r="O120" i="1" s="1"/>
  <c r="M121" i="1"/>
  <c r="O121" i="1" s="1"/>
  <c r="M122" i="1"/>
  <c r="O122" i="1" s="1"/>
  <c r="M123" i="1"/>
  <c r="O123" i="1" s="1"/>
  <c r="M124" i="1"/>
  <c r="O124" i="1" s="1"/>
  <c r="M128" i="1"/>
  <c r="O128" i="1" s="1"/>
  <c r="M125" i="1"/>
  <c r="O125" i="1" s="1"/>
  <c r="M126" i="1"/>
  <c r="O126" i="1" s="1"/>
  <c r="M117" i="1"/>
  <c r="O117" i="1" s="1"/>
  <c r="M130" i="1"/>
  <c r="O130" i="1" s="1"/>
  <c r="M131" i="1"/>
  <c r="O131" i="1" s="1"/>
  <c r="M129" i="1"/>
  <c r="O129" i="1" s="1"/>
  <c r="M132" i="1"/>
  <c r="O132" i="1" s="1"/>
  <c r="M137" i="1"/>
  <c r="O137" i="1" s="1"/>
  <c r="M138" i="1"/>
  <c r="O138" i="1" s="1"/>
  <c r="M139" i="1"/>
  <c r="O139" i="1" s="1"/>
  <c r="M141" i="1"/>
  <c r="O141" i="1" s="1"/>
  <c r="M140" i="1"/>
  <c r="O140" i="1" s="1"/>
  <c r="M142" i="1"/>
  <c r="O142" i="1" s="1"/>
  <c r="M143" i="1"/>
  <c r="O143" i="1" s="1"/>
  <c r="M144" i="1"/>
  <c r="O144" i="1" s="1"/>
  <c r="M145" i="1"/>
  <c r="O145" i="1" s="1"/>
  <c r="M146" i="1"/>
  <c r="O146" i="1" s="1"/>
  <c r="M147" i="1"/>
  <c r="O147" i="1" s="1"/>
  <c r="M148" i="1"/>
  <c r="O148" i="1" s="1"/>
  <c r="M149" i="1"/>
  <c r="O149" i="1" s="1"/>
  <c r="M151" i="1"/>
  <c r="O151" i="1" s="1"/>
  <c r="M152" i="1"/>
  <c r="O152" i="1" s="1"/>
  <c r="M153" i="1"/>
  <c r="O153" i="1" s="1"/>
  <c r="M154" i="1"/>
  <c r="O154" i="1" s="1"/>
  <c r="M155" i="1"/>
  <c r="O155" i="1" s="1"/>
  <c r="M156" i="1"/>
  <c r="O156" i="1" s="1"/>
  <c r="M157" i="1"/>
  <c r="O157" i="1" s="1"/>
  <c r="M158" i="1"/>
  <c r="O158" i="1" s="1"/>
  <c r="M159" i="1"/>
  <c r="O159" i="1" s="1"/>
  <c r="M160" i="1"/>
  <c r="O160" i="1" s="1"/>
  <c r="M161" i="1"/>
  <c r="O161" i="1" s="1"/>
  <c r="M163" i="1"/>
  <c r="O163" i="1" s="1"/>
  <c r="M166" i="1"/>
  <c r="O166" i="1" s="1"/>
  <c r="M164" i="1"/>
  <c r="O164" i="1" s="1"/>
  <c r="M165" i="1"/>
  <c r="O165" i="1" s="1"/>
  <c r="M162" i="1"/>
  <c r="O162" i="1" s="1"/>
  <c r="M167" i="1"/>
  <c r="O167" i="1" s="1"/>
  <c r="M150" i="1"/>
  <c r="O150" i="1" s="1"/>
  <c r="M168" i="1"/>
  <c r="O168" i="1" s="1"/>
  <c r="M169" i="1"/>
  <c r="O169" i="1" s="1"/>
  <c r="M171" i="1"/>
  <c r="O171" i="1" s="1"/>
  <c r="M170" i="1"/>
  <c r="O170" i="1" s="1"/>
  <c r="M172" i="1"/>
  <c r="O172" i="1" s="1"/>
  <c r="M173" i="1"/>
  <c r="O173" i="1" s="1"/>
  <c r="M174" i="1"/>
  <c r="O174" i="1" s="1"/>
  <c r="M176" i="1"/>
  <c r="O176" i="1" s="1"/>
  <c r="M175" i="1"/>
  <c r="O175" i="1" s="1"/>
  <c r="M177" i="1"/>
  <c r="O177" i="1" s="1"/>
  <c r="M178" i="1"/>
  <c r="O178" i="1" s="1"/>
  <c r="M180" i="1"/>
  <c r="O180" i="1" s="1"/>
  <c r="M179" i="1"/>
  <c r="O179" i="1" s="1"/>
  <c r="M181" i="1"/>
  <c r="O181" i="1" s="1"/>
  <c r="M182" i="1"/>
  <c r="O182" i="1" s="1"/>
  <c r="M183" i="1"/>
  <c r="O183" i="1" s="1"/>
  <c r="M184" i="1"/>
  <c r="O184" i="1" s="1"/>
  <c r="M185" i="1"/>
  <c r="O185" i="1" s="1"/>
  <c r="M186" i="1"/>
  <c r="O186" i="1" s="1"/>
  <c r="M187" i="1"/>
  <c r="O187" i="1" s="1"/>
  <c r="M188" i="1"/>
  <c r="O188" i="1" s="1"/>
  <c r="M189" i="1"/>
  <c r="O189" i="1" s="1"/>
  <c r="M190" i="1"/>
  <c r="O190" i="1" s="1"/>
  <c r="M191" i="1"/>
  <c r="O191" i="1" s="1"/>
  <c r="M192" i="1"/>
  <c r="O192" i="1" s="1"/>
  <c r="M193" i="1"/>
  <c r="O193" i="1" s="1"/>
  <c r="M194" i="1"/>
  <c r="O194" i="1" s="1"/>
  <c r="M195" i="1"/>
  <c r="O195" i="1" s="1"/>
  <c r="M196" i="1"/>
  <c r="O196" i="1" s="1"/>
  <c r="M197" i="1"/>
  <c r="O197" i="1" s="1"/>
  <c r="M198" i="1"/>
  <c r="O198" i="1" s="1"/>
  <c r="M133" i="1"/>
  <c r="O133" i="1" s="1"/>
  <c r="M134" i="1"/>
  <c r="O134" i="1" s="1"/>
  <c r="M135" i="1"/>
  <c r="O135" i="1" s="1"/>
  <c r="M136" i="1"/>
  <c r="O136" i="1" s="1"/>
  <c r="M201" i="1"/>
  <c r="O201" i="1" s="1"/>
  <c r="M200" i="1"/>
  <c r="O200" i="1" s="1"/>
  <c r="M199" i="1"/>
  <c r="O199" i="1" s="1"/>
  <c r="M202" i="1"/>
  <c r="O202" i="1" s="1"/>
  <c r="M203" i="1"/>
  <c r="O203" i="1" s="1"/>
  <c r="M302" i="1"/>
  <c r="O302" i="1" s="1"/>
  <c r="M204" i="1"/>
  <c r="O204" i="1" s="1"/>
  <c r="M205" i="1"/>
  <c r="O205" i="1" s="1"/>
  <c r="M206" i="1"/>
  <c r="O206" i="1" s="1"/>
  <c r="M207" i="1"/>
  <c r="O207" i="1" s="1"/>
  <c r="M209" i="1"/>
  <c r="O209" i="1" s="1"/>
  <c r="M208" i="1"/>
  <c r="O208" i="1" s="1"/>
  <c r="M210" i="1"/>
  <c r="O210" i="1" s="1"/>
  <c r="M212" i="1"/>
  <c r="O212" i="1" s="1"/>
  <c r="M211" i="1"/>
  <c r="O211" i="1" s="1"/>
  <c r="M213" i="1"/>
  <c r="O213" i="1" s="1"/>
  <c r="M214" i="1"/>
  <c r="O214" i="1" s="1"/>
  <c r="M215" i="1"/>
  <c r="O215" i="1" s="1"/>
  <c r="M216" i="1"/>
  <c r="O216" i="1" s="1"/>
  <c r="M217" i="1"/>
  <c r="O217" i="1" s="1"/>
  <c r="M220" i="1"/>
  <c r="O220" i="1" s="1"/>
  <c r="M219" i="1"/>
  <c r="O219" i="1" s="1"/>
  <c r="M221" i="1"/>
  <c r="O221" i="1" s="1"/>
  <c r="M222" i="1"/>
  <c r="O222" i="1" s="1"/>
  <c r="M224" i="1"/>
  <c r="O224" i="1" s="1"/>
  <c r="M223" i="1"/>
  <c r="O223" i="1" s="1"/>
  <c r="M225" i="1"/>
  <c r="O225" i="1" s="1"/>
  <c r="M226" i="1"/>
  <c r="O226" i="1" s="1"/>
  <c r="M227" i="1"/>
  <c r="O227" i="1" s="1"/>
  <c r="M230" i="1"/>
  <c r="O230" i="1" s="1"/>
  <c r="M229" i="1"/>
  <c r="O229" i="1" s="1"/>
  <c r="M231" i="1"/>
  <c r="O231" i="1" s="1"/>
  <c r="M232" i="1"/>
  <c r="O232" i="1" s="1"/>
  <c r="M233" i="1"/>
  <c r="O233" i="1" s="1"/>
  <c r="M234" i="1"/>
  <c r="O234" i="1" s="1"/>
  <c r="M235" i="1"/>
  <c r="O235" i="1" s="1"/>
  <c r="M236" i="1"/>
  <c r="O236" i="1" s="1"/>
  <c r="M237" i="1"/>
  <c r="O237" i="1" s="1"/>
  <c r="M238" i="1"/>
  <c r="O238" i="1" s="1"/>
  <c r="M239" i="1"/>
  <c r="O239" i="1" s="1"/>
  <c r="M240" i="1"/>
  <c r="O240" i="1" s="1"/>
  <c r="M241" i="1"/>
  <c r="O241" i="1" s="1"/>
  <c r="M242" i="1"/>
  <c r="O242" i="1" s="1"/>
  <c r="M243" i="1"/>
  <c r="O243" i="1" s="1"/>
  <c r="M244" i="1"/>
  <c r="O244" i="1" s="1"/>
  <c r="M246" i="1"/>
  <c r="O246" i="1" s="1"/>
  <c r="M247" i="1"/>
  <c r="O247" i="1" s="1"/>
  <c r="M248" i="1"/>
  <c r="O248" i="1" s="1"/>
  <c r="M249" i="1"/>
  <c r="O249" i="1" s="1"/>
  <c r="M245" i="1"/>
  <c r="O245" i="1" s="1"/>
  <c r="M250" i="1"/>
  <c r="O250" i="1" s="1"/>
  <c r="M251" i="1"/>
  <c r="O251" i="1" s="1"/>
  <c r="M254" i="1"/>
  <c r="O254" i="1" s="1"/>
  <c r="M252" i="1"/>
  <c r="O252" i="1" s="1"/>
  <c r="M253" i="1"/>
  <c r="O253" i="1" s="1"/>
  <c r="M255" i="1"/>
  <c r="O255" i="1" s="1"/>
  <c r="M256" i="1"/>
  <c r="O256" i="1" s="1"/>
  <c r="M257" i="1"/>
  <c r="O257" i="1" s="1"/>
  <c r="M258" i="1"/>
  <c r="O258" i="1" s="1"/>
  <c r="M259" i="1"/>
  <c r="O259" i="1" s="1"/>
  <c r="M260" i="1"/>
  <c r="O260" i="1" s="1"/>
  <c r="M261" i="1"/>
  <c r="O261" i="1" s="1"/>
  <c r="M262" i="1"/>
  <c r="O262" i="1" s="1"/>
  <c r="M263" i="1"/>
  <c r="O263" i="1" s="1"/>
  <c r="M264" i="1"/>
  <c r="O264" i="1" s="1"/>
  <c r="M265" i="1"/>
  <c r="O265" i="1" s="1"/>
  <c r="M266" i="1"/>
  <c r="O266" i="1" s="1"/>
  <c r="M267" i="1"/>
  <c r="O267" i="1" s="1"/>
  <c r="M268" i="1"/>
  <c r="O268" i="1" s="1"/>
  <c r="M269" i="1"/>
  <c r="O269" i="1" s="1"/>
  <c r="M270" i="1"/>
  <c r="O270" i="1" s="1"/>
  <c r="M271" i="1"/>
  <c r="O271" i="1" s="1"/>
  <c r="M272" i="1"/>
  <c r="O272" i="1" s="1"/>
  <c r="M273" i="1"/>
  <c r="O273" i="1" s="1"/>
  <c r="M274" i="1"/>
  <c r="O274" i="1" s="1"/>
  <c r="M275" i="1"/>
  <c r="O275" i="1" s="1"/>
  <c r="M276" i="1"/>
  <c r="O276" i="1" s="1"/>
  <c r="M277" i="1"/>
  <c r="O277" i="1" s="1"/>
  <c r="M278" i="1"/>
  <c r="O278" i="1" s="1"/>
  <c r="M279" i="1"/>
  <c r="O279" i="1" s="1"/>
  <c r="M280" i="1"/>
  <c r="O280" i="1" s="1"/>
  <c r="M281" i="1"/>
  <c r="O281" i="1" s="1"/>
  <c r="M282" i="1"/>
  <c r="O282" i="1" s="1"/>
  <c r="M283" i="1"/>
  <c r="O283" i="1" s="1"/>
  <c r="M284" i="1"/>
  <c r="O284" i="1" s="1"/>
  <c r="M285" i="1"/>
  <c r="O285" i="1" s="1"/>
  <c r="M286" i="1"/>
  <c r="O286" i="1" s="1"/>
  <c r="M287" i="1"/>
  <c r="O287" i="1" s="1"/>
  <c r="M288" i="1"/>
  <c r="O288" i="1" s="1"/>
  <c r="M289" i="1"/>
  <c r="O289" i="1" s="1"/>
  <c r="M290" i="1"/>
  <c r="O290" i="1" s="1"/>
  <c r="M291" i="1"/>
  <c r="O291" i="1" s="1"/>
  <c r="M292" i="1"/>
  <c r="O292" i="1" s="1"/>
  <c r="M293" i="1"/>
  <c r="O293" i="1" s="1"/>
  <c r="M294" i="1"/>
  <c r="O294" i="1" s="1"/>
  <c r="M295" i="1"/>
  <c r="O295" i="1" s="1"/>
  <c r="M297" i="1"/>
  <c r="O297" i="1" s="1"/>
  <c r="M298" i="1"/>
  <c r="O298" i="1" s="1"/>
  <c r="M299" i="1"/>
  <c r="O299" i="1" s="1"/>
  <c r="M300" i="1"/>
  <c r="O300" i="1" s="1"/>
  <c r="M301" i="1"/>
  <c r="O301" i="1" s="1"/>
  <c r="M303" i="1"/>
  <c r="O303" i="1" s="1"/>
  <c r="M304" i="1"/>
  <c r="O304" i="1" s="1"/>
  <c r="M305" i="1"/>
  <c r="O305" i="1" s="1"/>
  <c r="M306" i="1"/>
  <c r="O306" i="1" s="1"/>
  <c r="M307" i="1"/>
  <c r="O307" i="1" s="1"/>
  <c r="M383" i="1"/>
  <c r="O383" i="1" s="1"/>
  <c r="M308" i="1"/>
  <c r="O308" i="1" s="1"/>
  <c r="M309" i="1"/>
  <c r="O309" i="1" s="1"/>
  <c r="M310" i="1"/>
  <c r="O310" i="1" s="1"/>
  <c r="M311" i="1"/>
  <c r="O311" i="1" s="1"/>
  <c r="M312" i="1"/>
  <c r="O312" i="1" s="1"/>
  <c r="M313" i="1"/>
  <c r="O313" i="1" s="1"/>
  <c r="M314" i="1"/>
  <c r="O314" i="1" s="1"/>
  <c r="M315" i="1"/>
  <c r="O315" i="1" s="1"/>
  <c r="M316" i="1"/>
  <c r="O316" i="1" s="1"/>
  <c r="M317" i="1"/>
  <c r="O317" i="1" s="1"/>
  <c r="M318" i="1"/>
  <c r="O318" i="1" s="1"/>
  <c r="M319" i="1"/>
  <c r="O319" i="1" s="1"/>
  <c r="M320" i="1"/>
  <c r="O320" i="1" s="1"/>
  <c r="M321" i="1"/>
  <c r="O321" i="1" s="1"/>
  <c r="M322" i="1"/>
  <c r="O322" i="1" s="1"/>
  <c r="M323" i="1"/>
  <c r="O323" i="1" s="1"/>
  <c r="M324" i="1"/>
  <c r="O324" i="1" s="1"/>
  <c r="M325" i="1"/>
  <c r="O325" i="1" s="1"/>
  <c r="M326" i="1"/>
  <c r="O326" i="1" s="1"/>
  <c r="M327" i="1"/>
  <c r="O327" i="1" s="1"/>
  <c r="M328" i="1"/>
  <c r="O328" i="1" s="1"/>
  <c r="M329" i="1"/>
  <c r="O329" i="1" s="1"/>
  <c r="M330" i="1"/>
  <c r="O330" i="1" s="1"/>
  <c r="M331" i="1"/>
  <c r="O331" i="1" s="1"/>
  <c r="M332" i="1"/>
  <c r="O332" i="1" s="1"/>
  <c r="M333" i="1"/>
  <c r="O333" i="1" s="1"/>
  <c r="M334" i="1"/>
  <c r="O334" i="1" s="1"/>
  <c r="M335" i="1"/>
  <c r="O335" i="1" s="1"/>
  <c r="M336" i="1"/>
  <c r="O336" i="1" s="1"/>
  <c r="M337" i="1"/>
  <c r="O337" i="1" s="1"/>
  <c r="M338" i="1"/>
  <c r="O338" i="1" s="1"/>
  <c r="M339" i="1"/>
  <c r="O339" i="1" s="1"/>
  <c r="M340" i="1"/>
  <c r="O340" i="1" s="1"/>
  <c r="M341" i="1"/>
  <c r="O341" i="1" s="1"/>
  <c r="M342" i="1"/>
  <c r="O342" i="1" s="1"/>
  <c r="M343" i="1"/>
  <c r="O343" i="1" s="1"/>
  <c r="M344" i="1"/>
  <c r="O344" i="1" s="1"/>
  <c r="M345" i="1"/>
  <c r="O345" i="1" s="1"/>
  <c r="M346" i="1"/>
  <c r="O346" i="1" s="1"/>
  <c r="M347" i="1"/>
  <c r="O347" i="1" s="1"/>
  <c r="M348" i="1"/>
  <c r="O348" i="1" s="1"/>
  <c r="M349" i="1"/>
  <c r="O349" i="1" s="1"/>
  <c r="M350" i="1"/>
  <c r="O350" i="1" s="1"/>
  <c r="M351" i="1"/>
  <c r="O351" i="1" s="1"/>
  <c r="M352" i="1"/>
  <c r="O352" i="1" s="1"/>
  <c r="M353" i="1"/>
  <c r="O353" i="1" s="1"/>
  <c r="M354" i="1"/>
  <c r="O354" i="1" s="1"/>
  <c r="M355" i="1"/>
  <c r="O355" i="1" s="1"/>
  <c r="M356" i="1"/>
  <c r="O356" i="1" s="1"/>
  <c r="M357" i="1"/>
  <c r="O357" i="1" s="1"/>
  <c r="M358" i="1"/>
  <c r="O358" i="1" s="1"/>
  <c r="M359" i="1"/>
  <c r="O359" i="1" s="1"/>
  <c r="M360" i="1"/>
  <c r="O360" i="1" s="1"/>
  <c r="M361" i="1"/>
  <c r="O361" i="1" s="1"/>
  <c r="M362" i="1"/>
  <c r="O362" i="1" s="1"/>
  <c r="M363" i="1"/>
  <c r="O363" i="1" s="1"/>
  <c r="M364" i="1"/>
  <c r="O364" i="1" s="1"/>
  <c r="M365" i="1"/>
  <c r="O365" i="1" s="1"/>
  <c r="M369" i="1"/>
  <c r="O369" i="1" s="1"/>
  <c r="M296" i="1"/>
  <c r="O296" i="1" s="1"/>
  <c r="M372" i="1"/>
  <c r="O372" i="1" s="1"/>
  <c r="M377" i="1"/>
  <c r="O377" i="1" s="1"/>
  <c r="M378" i="1"/>
  <c r="O378" i="1" s="1"/>
  <c r="M380" i="1"/>
  <c r="O380" i="1" s="1"/>
  <c r="M381" i="1"/>
  <c r="O381" i="1" s="1"/>
  <c r="M384" i="1"/>
  <c r="O384" i="1" s="1"/>
  <c r="M388" i="1"/>
  <c r="O388" i="1" s="1"/>
  <c r="M391" i="1"/>
  <c r="O391" i="1" s="1"/>
  <c r="M394" i="1"/>
  <c r="O394" i="1" s="1"/>
  <c r="M395" i="1"/>
  <c r="O395" i="1" s="1"/>
  <c r="M396" i="1"/>
  <c r="O396" i="1" s="1"/>
  <c r="M397" i="1"/>
  <c r="O397" i="1" s="1"/>
  <c r="M398" i="1"/>
  <c r="O398" i="1" s="1"/>
  <c r="M399" i="1"/>
  <c r="O399" i="1" s="1"/>
  <c r="M400" i="1"/>
  <c r="O400" i="1" s="1"/>
  <c r="M401" i="1"/>
  <c r="O401" i="1" s="1"/>
  <c r="M402" i="1"/>
  <c r="O402" i="1" s="1"/>
  <c r="M403" i="1"/>
  <c r="O403" i="1" s="1"/>
  <c r="M404" i="1"/>
  <c r="O404" i="1" s="1"/>
  <c r="M405" i="1"/>
  <c r="O405" i="1" s="1"/>
  <c r="M406" i="1"/>
  <c r="O406" i="1" s="1"/>
  <c r="M407" i="1"/>
  <c r="O407" i="1" s="1"/>
  <c r="M408" i="1"/>
  <c r="O408" i="1" s="1"/>
  <c r="M409" i="1"/>
  <c r="O409" i="1" s="1"/>
  <c r="M410" i="1"/>
  <c r="O410" i="1" s="1"/>
  <c r="M411" i="1"/>
  <c r="O411" i="1" s="1"/>
  <c r="M412" i="1"/>
  <c r="O412" i="1" s="1"/>
  <c r="M413" i="1"/>
  <c r="O413" i="1" s="1"/>
  <c r="M414" i="1"/>
  <c r="O414" i="1" s="1"/>
  <c r="M415" i="1"/>
  <c r="O415" i="1" s="1"/>
  <c r="M416" i="1"/>
  <c r="O416" i="1" s="1"/>
  <c r="M417" i="1"/>
  <c r="O417" i="1" s="1"/>
  <c r="M418" i="1"/>
  <c r="O418" i="1" s="1"/>
  <c r="M419" i="1"/>
  <c r="O419" i="1" s="1"/>
  <c r="J2" i="1"/>
  <c r="L2" i="1" s="1"/>
  <c r="J3" i="1"/>
  <c r="L3" i="1" s="1"/>
  <c r="J5" i="1"/>
  <c r="L5" i="1" s="1"/>
  <c r="J6" i="1"/>
  <c r="L6" i="1" s="1"/>
  <c r="J7" i="1"/>
  <c r="L7" i="1" s="1"/>
  <c r="J8" i="1"/>
  <c r="L8" i="1" s="1"/>
  <c r="J9" i="1"/>
  <c r="L9" i="1" s="1"/>
  <c r="J10" i="1"/>
  <c r="L10" i="1" s="1"/>
  <c r="J11" i="1"/>
  <c r="L11" i="1" s="1"/>
  <c r="J12" i="1"/>
  <c r="L12" i="1" s="1"/>
  <c r="J13" i="1"/>
  <c r="L13" i="1" s="1"/>
  <c r="J14" i="1"/>
  <c r="L14" i="1" s="1"/>
  <c r="J15" i="1"/>
  <c r="L15" i="1" s="1"/>
  <c r="J16" i="1"/>
  <c r="L16" i="1" s="1"/>
  <c r="J17" i="1"/>
  <c r="L17" i="1" s="1"/>
  <c r="J18" i="1"/>
  <c r="L18" i="1" s="1"/>
  <c r="J19" i="1"/>
  <c r="L19" i="1" s="1"/>
  <c r="J22" i="1"/>
  <c r="L22" i="1" s="1"/>
  <c r="J20" i="1"/>
  <c r="L20" i="1" s="1"/>
  <c r="J21" i="1"/>
  <c r="L21" i="1" s="1"/>
  <c r="J23" i="1"/>
  <c r="L23" i="1" s="1"/>
  <c r="J24" i="1"/>
  <c r="L24" i="1" s="1"/>
  <c r="J25" i="1"/>
  <c r="L25" i="1" s="1"/>
  <c r="J26" i="1"/>
  <c r="L26" i="1" s="1"/>
  <c r="J27" i="1"/>
  <c r="L27" i="1" s="1"/>
  <c r="J28" i="1"/>
  <c r="L28" i="1" s="1"/>
  <c r="J30" i="1"/>
  <c r="L30" i="1" s="1"/>
  <c r="J35" i="1"/>
  <c r="L35" i="1" s="1"/>
  <c r="J31" i="1"/>
  <c r="L31" i="1" s="1"/>
  <c r="J32" i="1"/>
  <c r="L32" i="1" s="1"/>
  <c r="J33" i="1"/>
  <c r="L33" i="1" s="1"/>
  <c r="J34" i="1"/>
  <c r="L34" i="1" s="1"/>
  <c r="J29" i="1"/>
  <c r="L29" i="1" s="1"/>
  <c r="J37" i="1"/>
  <c r="L37" i="1" s="1"/>
  <c r="J36" i="1"/>
  <c r="L36" i="1" s="1"/>
  <c r="J38" i="1"/>
  <c r="L38" i="1" s="1"/>
  <c r="J39" i="1"/>
  <c r="L39" i="1" s="1"/>
  <c r="J40" i="1"/>
  <c r="L40" i="1" s="1"/>
  <c r="J41" i="1"/>
  <c r="L41" i="1" s="1"/>
  <c r="J45" i="1"/>
  <c r="L45" i="1" s="1"/>
  <c r="J42" i="1"/>
  <c r="L42" i="1" s="1"/>
  <c r="J43" i="1"/>
  <c r="L43" i="1" s="1"/>
  <c r="J44" i="1"/>
  <c r="L44" i="1" s="1"/>
  <c r="J46" i="1"/>
  <c r="L46" i="1" s="1"/>
  <c r="J47" i="1"/>
  <c r="L47" i="1" s="1"/>
  <c r="J48" i="1"/>
  <c r="L48" i="1" s="1"/>
  <c r="J49" i="1"/>
  <c r="L49" i="1" s="1"/>
  <c r="J50" i="1"/>
  <c r="L50" i="1" s="1"/>
  <c r="J51" i="1"/>
  <c r="L51" i="1" s="1"/>
  <c r="J55" i="1"/>
  <c r="L55" i="1" s="1"/>
  <c r="J52" i="1"/>
  <c r="L52" i="1" s="1"/>
  <c r="J53" i="1"/>
  <c r="L53" i="1" s="1"/>
  <c r="J54" i="1"/>
  <c r="L54" i="1" s="1"/>
  <c r="J56" i="1"/>
  <c r="L56" i="1" s="1"/>
  <c r="J57" i="1"/>
  <c r="L57" i="1" s="1"/>
  <c r="J58" i="1"/>
  <c r="L58" i="1" s="1"/>
  <c r="J59" i="1"/>
  <c r="L59" i="1" s="1"/>
  <c r="J60" i="1"/>
  <c r="L60" i="1" s="1"/>
  <c r="J61" i="1"/>
  <c r="L61" i="1" s="1"/>
  <c r="J62" i="1"/>
  <c r="L62" i="1" s="1"/>
  <c r="J63" i="1"/>
  <c r="L63" i="1" s="1"/>
  <c r="J64" i="1"/>
  <c r="L64" i="1" s="1"/>
  <c r="J68" i="1"/>
  <c r="L68" i="1" s="1"/>
  <c r="J65" i="1"/>
  <c r="L65" i="1" s="1"/>
  <c r="J66" i="1"/>
  <c r="L66" i="1" s="1"/>
  <c r="J67" i="1"/>
  <c r="L67" i="1" s="1"/>
  <c r="J70" i="1"/>
  <c r="L70" i="1" s="1"/>
  <c r="J76" i="1"/>
  <c r="L76" i="1" s="1"/>
  <c r="J79" i="1"/>
  <c r="L79" i="1" s="1"/>
  <c r="J71" i="1"/>
  <c r="L71" i="1" s="1"/>
  <c r="J72" i="1"/>
  <c r="L72" i="1" s="1"/>
  <c r="J73" i="1"/>
  <c r="L73" i="1" s="1"/>
  <c r="J74" i="1"/>
  <c r="L74" i="1" s="1"/>
  <c r="J77" i="1"/>
  <c r="L77" i="1" s="1"/>
  <c r="J75" i="1"/>
  <c r="L75" i="1" s="1"/>
  <c r="J78" i="1"/>
  <c r="L78" i="1" s="1"/>
  <c r="J80" i="1"/>
  <c r="L80" i="1" s="1"/>
  <c r="J81" i="1"/>
  <c r="L81" i="1" s="1"/>
  <c r="J82" i="1"/>
  <c r="L82" i="1" s="1"/>
  <c r="J83" i="1"/>
  <c r="L83" i="1" s="1"/>
  <c r="J84" i="1"/>
  <c r="L84" i="1" s="1"/>
  <c r="J85" i="1"/>
  <c r="L85" i="1" s="1"/>
  <c r="J86" i="1"/>
  <c r="L86" i="1" s="1"/>
  <c r="J87" i="1"/>
  <c r="L87" i="1" s="1"/>
  <c r="J88" i="1"/>
  <c r="L88" i="1" s="1"/>
  <c r="J89" i="1"/>
  <c r="L89" i="1" s="1"/>
  <c r="J90" i="1"/>
  <c r="L90" i="1" s="1"/>
  <c r="J91" i="1"/>
  <c r="L91" i="1" s="1"/>
  <c r="J92" i="1"/>
  <c r="L92" i="1" s="1"/>
  <c r="J93" i="1"/>
  <c r="L93" i="1" s="1"/>
  <c r="J94" i="1"/>
  <c r="L94" i="1" s="1"/>
  <c r="J95" i="1"/>
  <c r="L95" i="1" s="1"/>
  <c r="J96" i="1"/>
  <c r="L96" i="1" s="1"/>
  <c r="J97" i="1"/>
  <c r="L97" i="1" s="1"/>
  <c r="J98" i="1"/>
  <c r="L98" i="1" s="1"/>
  <c r="J99" i="1"/>
  <c r="L99" i="1" s="1"/>
  <c r="J100" i="1"/>
  <c r="L100" i="1" s="1"/>
  <c r="J101" i="1"/>
  <c r="L101" i="1" s="1"/>
  <c r="J102" i="1"/>
  <c r="L102" i="1" s="1"/>
  <c r="J103" i="1"/>
  <c r="L103" i="1" s="1"/>
  <c r="J104" i="1"/>
  <c r="L104" i="1" s="1"/>
  <c r="J105" i="1"/>
  <c r="L105" i="1" s="1"/>
  <c r="J106" i="1"/>
  <c r="L106" i="1" s="1"/>
  <c r="J107" i="1"/>
  <c r="L107" i="1" s="1"/>
  <c r="J108" i="1"/>
  <c r="L108" i="1" s="1"/>
  <c r="J109" i="1"/>
  <c r="L109" i="1" s="1"/>
  <c r="J110" i="1"/>
  <c r="L110" i="1" s="1"/>
  <c r="J111" i="1"/>
  <c r="L111" i="1" s="1"/>
  <c r="J112" i="1"/>
  <c r="L112" i="1" s="1"/>
  <c r="J113" i="1"/>
  <c r="L113" i="1" s="1"/>
  <c r="J114" i="1"/>
  <c r="L114" i="1" s="1"/>
  <c r="J115" i="1"/>
  <c r="L115" i="1" s="1"/>
  <c r="J116" i="1"/>
  <c r="L116" i="1" s="1"/>
  <c r="J127" i="1"/>
  <c r="L127" i="1" s="1"/>
  <c r="J118" i="1"/>
  <c r="L118" i="1" s="1"/>
  <c r="J119" i="1"/>
  <c r="L119" i="1" s="1"/>
  <c r="J120" i="1"/>
  <c r="L120" i="1" s="1"/>
  <c r="J121" i="1"/>
  <c r="L121" i="1" s="1"/>
  <c r="J122" i="1"/>
  <c r="L122" i="1" s="1"/>
  <c r="J123" i="1"/>
  <c r="L123" i="1" s="1"/>
  <c r="J124" i="1"/>
  <c r="L124" i="1" s="1"/>
  <c r="J128" i="1"/>
  <c r="L128" i="1" s="1"/>
  <c r="J125" i="1"/>
  <c r="L125" i="1" s="1"/>
  <c r="J126" i="1"/>
  <c r="L126" i="1" s="1"/>
  <c r="J117" i="1"/>
  <c r="L117" i="1" s="1"/>
  <c r="J130" i="1"/>
  <c r="L130" i="1" s="1"/>
  <c r="J131" i="1"/>
  <c r="L131" i="1" s="1"/>
  <c r="J129" i="1"/>
  <c r="L129" i="1" s="1"/>
  <c r="J132" i="1"/>
  <c r="L132" i="1" s="1"/>
  <c r="J137" i="1"/>
  <c r="L137" i="1" s="1"/>
  <c r="J138" i="1"/>
  <c r="L138" i="1" s="1"/>
  <c r="J139" i="1"/>
  <c r="L139" i="1" s="1"/>
  <c r="J141" i="1"/>
  <c r="L141" i="1" s="1"/>
  <c r="J140" i="1"/>
  <c r="L140" i="1" s="1"/>
  <c r="J142" i="1"/>
  <c r="L142" i="1" s="1"/>
  <c r="J143" i="1"/>
  <c r="L143" i="1" s="1"/>
  <c r="J144" i="1"/>
  <c r="L144" i="1" s="1"/>
  <c r="J145" i="1"/>
  <c r="L145" i="1" s="1"/>
  <c r="J146" i="1"/>
  <c r="L146" i="1" s="1"/>
  <c r="J147" i="1"/>
  <c r="L147" i="1" s="1"/>
  <c r="J148" i="1"/>
  <c r="L148" i="1" s="1"/>
  <c r="J149" i="1"/>
  <c r="L149" i="1" s="1"/>
  <c r="J151" i="1"/>
  <c r="L151" i="1" s="1"/>
  <c r="J152" i="1"/>
  <c r="L152" i="1" s="1"/>
  <c r="J153" i="1"/>
  <c r="L153" i="1" s="1"/>
  <c r="J154" i="1"/>
  <c r="L154" i="1" s="1"/>
  <c r="J155" i="1"/>
  <c r="L155" i="1" s="1"/>
  <c r="J156" i="1"/>
  <c r="L156" i="1" s="1"/>
  <c r="J157" i="1"/>
  <c r="L157" i="1" s="1"/>
  <c r="J158" i="1"/>
  <c r="L158" i="1" s="1"/>
  <c r="J159" i="1"/>
  <c r="L159" i="1" s="1"/>
  <c r="J160" i="1"/>
  <c r="L160" i="1" s="1"/>
  <c r="J161" i="1"/>
  <c r="L161" i="1" s="1"/>
  <c r="J163" i="1"/>
  <c r="L163" i="1" s="1"/>
  <c r="J164" i="1"/>
  <c r="L164" i="1" s="1"/>
  <c r="J165" i="1"/>
  <c r="L165" i="1" s="1"/>
  <c r="J162" i="1"/>
  <c r="L162" i="1" s="1"/>
  <c r="J167" i="1"/>
  <c r="L167" i="1" s="1"/>
  <c r="J150" i="1"/>
  <c r="L150" i="1" s="1"/>
  <c r="J168" i="1"/>
  <c r="L168" i="1" s="1"/>
  <c r="J169" i="1"/>
  <c r="L169" i="1" s="1"/>
  <c r="J171" i="1"/>
  <c r="L171" i="1" s="1"/>
  <c r="J170" i="1"/>
  <c r="L170" i="1" s="1"/>
  <c r="J172" i="1"/>
  <c r="L172" i="1" s="1"/>
  <c r="J173" i="1"/>
  <c r="L173" i="1" s="1"/>
  <c r="J174" i="1"/>
  <c r="L174" i="1" s="1"/>
  <c r="J176" i="1"/>
  <c r="L176" i="1" s="1"/>
  <c r="J175" i="1"/>
  <c r="L175" i="1" s="1"/>
  <c r="J177" i="1"/>
  <c r="L177" i="1" s="1"/>
  <c r="J178" i="1"/>
  <c r="L178" i="1" s="1"/>
  <c r="J180" i="1"/>
  <c r="L180" i="1" s="1"/>
  <c r="J179" i="1"/>
  <c r="L179" i="1" s="1"/>
  <c r="J181" i="1"/>
  <c r="L181" i="1" s="1"/>
  <c r="J182" i="1"/>
  <c r="L182" i="1" s="1"/>
  <c r="J183" i="1"/>
  <c r="L183" i="1" s="1"/>
  <c r="J184" i="1"/>
  <c r="L184" i="1" s="1"/>
  <c r="J185" i="1"/>
  <c r="L185" i="1" s="1"/>
  <c r="J186" i="1"/>
  <c r="L186" i="1" s="1"/>
  <c r="J187" i="1"/>
  <c r="L187" i="1" s="1"/>
  <c r="J188" i="1"/>
  <c r="L188" i="1" s="1"/>
  <c r="J189" i="1"/>
  <c r="L189" i="1" s="1"/>
  <c r="J190" i="1"/>
  <c r="L190" i="1" s="1"/>
  <c r="J191" i="1"/>
  <c r="L191" i="1" s="1"/>
  <c r="J192" i="1"/>
  <c r="L192" i="1" s="1"/>
  <c r="J193" i="1"/>
  <c r="L193" i="1" s="1"/>
  <c r="J194" i="1"/>
  <c r="L194" i="1" s="1"/>
  <c r="J195" i="1"/>
  <c r="L195" i="1" s="1"/>
  <c r="J196" i="1"/>
  <c r="L196" i="1" s="1"/>
  <c r="J197" i="1"/>
  <c r="L197" i="1" s="1"/>
  <c r="J198" i="1"/>
  <c r="L198" i="1" s="1"/>
  <c r="J133" i="1"/>
  <c r="L133" i="1" s="1"/>
  <c r="J134" i="1"/>
  <c r="L134" i="1" s="1"/>
  <c r="J135" i="1"/>
  <c r="L135" i="1" s="1"/>
  <c r="J136" i="1"/>
  <c r="L136" i="1" s="1"/>
  <c r="J201" i="1"/>
  <c r="L201" i="1" s="1"/>
  <c r="J200" i="1"/>
  <c r="L200" i="1" s="1"/>
  <c r="J199" i="1"/>
  <c r="L199" i="1" s="1"/>
  <c r="J202" i="1"/>
  <c r="L202" i="1" s="1"/>
  <c r="J203" i="1"/>
  <c r="L203" i="1" s="1"/>
  <c r="J302" i="1"/>
  <c r="L302" i="1" s="1"/>
  <c r="J204" i="1"/>
  <c r="L204" i="1" s="1"/>
  <c r="J205" i="1"/>
  <c r="L205" i="1" s="1"/>
  <c r="J206" i="1"/>
  <c r="L206" i="1" s="1"/>
  <c r="J207" i="1"/>
  <c r="L207" i="1" s="1"/>
  <c r="J209" i="1"/>
  <c r="L209" i="1" s="1"/>
  <c r="J208" i="1"/>
  <c r="L208" i="1" s="1"/>
  <c r="J210" i="1"/>
  <c r="L210" i="1" s="1"/>
  <c r="J212" i="1"/>
  <c r="L212" i="1" s="1"/>
  <c r="J211" i="1"/>
  <c r="L211" i="1" s="1"/>
  <c r="J213" i="1"/>
  <c r="L213" i="1" s="1"/>
  <c r="J214" i="1"/>
  <c r="L214" i="1" s="1"/>
  <c r="J215" i="1"/>
  <c r="L215" i="1" s="1"/>
  <c r="J216" i="1"/>
  <c r="L216" i="1" s="1"/>
  <c r="J217" i="1"/>
  <c r="L217" i="1" s="1"/>
  <c r="J220" i="1"/>
  <c r="L220" i="1" s="1"/>
  <c r="J219" i="1"/>
  <c r="L219" i="1" s="1"/>
  <c r="J221" i="1"/>
  <c r="L221" i="1" s="1"/>
  <c r="J222" i="1"/>
  <c r="L222" i="1" s="1"/>
  <c r="J224" i="1"/>
  <c r="L224" i="1" s="1"/>
  <c r="J223" i="1"/>
  <c r="L223" i="1" s="1"/>
  <c r="J225" i="1"/>
  <c r="L225" i="1" s="1"/>
  <c r="J226" i="1"/>
  <c r="L226" i="1" s="1"/>
  <c r="J227" i="1"/>
  <c r="L227" i="1" s="1"/>
  <c r="J230" i="1"/>
  <c r="L230" i="1" s="1"/>
  <c r="J229" i="1"/>
  <c r="L229" i="1" s="1"/>
  <c r="J231" i="1"/>
  <c r="L231" i="1" s="1"/>
  <c r="J233" i="1"/>
  <c r="L233" i="1" s="1"/>
  <c r="J234" i="1"/>
  <c r="L234" i="1" s="1"/>
  <c r="J235" i="1"/>
  <c r="L235" i="1" s="1"/>
  <c r="J236" i="1"/>
  <c r="L236" i="1" s="1"/>
  <c r="J237" i="1"/>
  <c r="L237" i="1" s="1"/>
  <c r="J238" i="1"/>
  <c r="L238" i="1" s="1"/>
  <c r="J239" i="1"/>
  <c r="L239" i="1" s="1"/>
  <c r="J240" i="1"/>
  <c r="L240" i="1" s="1"/>
  <c r="J241" i="1"/>
  <c r="L241" i="1" s="1"/>
  <c r="J242" i="1"/>
  <c r="L242" i="1" s="1"/>
  <c r="J243" i="1"/>
  <c r="L243" i="1" s="1"/>
  <c r="J244" i="1"/>
  <c r="L244" i="1" s="1"/>
  <c r="J246" i="1"/>
  <c r="L246" i="1" s="1"/>
  <c r="J247" i="1"/>
  <c r="L247" i="1" s="1"/>
  <c r="J248" i="1"/>
  <c r="L248" i="1" s="1"/>
  <c r="J249" i="1"/>
  <c r="L249" i="1" s="1"/>
  <c r="J245" i="1"/>
  <c r="L245" i="1" s="1"/>
  <c r="J250" i="1"/>
  <c r="L250" i="1" s="1"/>
  <c r="J251" i="1"/>
  <c r="L251" i="1" s="1"/>
  <c r="J254" i="1"/>
  <c r="L254" i="1" s="1"/>
  <c r="J252" i="1"/>
  <c r="L252" i="1" s="1"/>
  <c r="J253" i="1"/>
  <c r="L253" i="1" s="1"/>
  <c r="J255" i="1"/>
  <c r="L255" i="1" s="1"/>
  <c r="J256" i="1"/>
  <c r="L256" i="1" s="1"/>
  <c r="J257" i="1"/>
  <c r="L257" i="1" s="1"/>
  <c r="J258" i="1"/>
  <c r="L258" i="1" s="1"/>
  <c r="J259" i="1"/>
  <c r="L259" i="1" s="1"/>
  <c r="J260" i="1"/>
  <c r="L260" i="1" s="1"/>
  <c r="J261" i="1"/>
  <c r="L261" i="1" s="1"/>
  <c r="J262" i="1"/>
  <c r="L262" i="1" s="1"/>
  <c r="J263" i="1"/>
  <c r="L263" i="1" s="1"/>
  <c r="J264" i="1"/>
  <c r="L264" i="1" s="1"/>
  <c r="J265" i="1"/>
  <c r="L265" i="1" s="1"/>
  <c r="J266" i="1"/>
  <c r="L266" i="1" s="1"/>
  <c r="J267" i="1"/>
  <c r="L267" i="1" s="1"/>
  <c r="J268" i="1"/>
  <c r="L268" i="1" s="1"/>
  <c r="J269" i="1"/>
  <c r="L269" i="1" s="1"/>
  <c r="J270" i="1"/>
  <c r="L270" i="1" s="1"/>
  <c r="J271" i="1"/>
  <c r="L271" i="1" s="1"/>
  <c r="J272" i="1"/>
  <c r="L272" i="1" s="1"/>
  <c r="J273" i="1"/>
  <c r="L273" i="1" s="1"/>
  <c r="J274" i="1"/>
  <c r="L274" i="1" s="1"/>
  <c r="J275" i="1"/>
  <c r="L275" i="1" s="1"/>
  <c r="J276" i="1"/>
  <c r="L276" i="1" s="1"/>
  <c r="J277" i="1"/>
  <c r="L277" i="1" s="1"/>
  <c r="J278" i="1"/>
  <c r="L278" i="1" s="1"/>
  <c r="J279" i="1"/>
  <c r="L279" i="1" s="1"/>
  <c r="J280" i="1"/>
  <c r="L280" i="1" s="1"/>
  <c r="J281" i="1"/>
  <c r="L281" i="1" s="1"/>
  <c r="J282" i="1"/>
  <c r="L282" i="1" s="1"/>
  <c r="J283" i="1"/>
  <c r="L283" i="1" s="1"/>
  <c r="J284" i="1"/>
  <c r="L284" i="1" s="1"/>
  <c r="J285" i="1"/>
  <c r="L285" i="1" s="1"/>
  <c r="J286" i="1"/>
  <c r="L286" i="1" s="1"/>
  <c r="J287" i="1"/>
  <c r="L287" i="1" s="1"/>
  <c r="J288" i="1"/>
  <c r="L288" i="1" s="1"/>
  <c r="J289" i="1"/>
  <c r="L289" i="1" s="1"/>
  <c r="J290" i="1"/>
  <c r="L290" i="1" s="1"/>
  <c r="J291" i="1"/>
  <c r="L291" i="1" s="1"/>
  <c r="J292" i="1"/>
  <c r="L292" i="1" s="1"/>
  <c r="J293" i="1"/>
  <c r="L293" i="1" s="1"/>
  <c r="J294" i="1"/>
  <c r="L294" i="1" s="1"/>
  <c r="J295" i="1"/>
  <c r="L295" i="1" s="1"/>
  <c r="J297" i="1"/>
  <c r="L297" i="1" s="1"/>
  <c r="J298" i="1"/>
  <c r="L298" i="1" s="1"/>
  <c r="J299" i="1"/>
  <c r="L299" i="1" s="1"/>
  <c r="J300" i="1"/>
  <c r="L300" i="1" s="1"/>
  <c r="J301" i="1"/>
  <c r="L301" i="1" s="1"/>
  <c r="J303" i="1"/>
  <c r="L303" i="1" s="1"/>
  <c r="J304" i="1"/>
  <c r="L304" i="1" s="1"/>
  <c r="J305" i="1"/>
  <c r="L305" i="1" s="1"/>
  <c r="J306" i="1"/>
  <c r="L306" i="1" s="1"/>
  <c r="J307" i="1"/>
  <c r="L307" i="1" s="1"/>
  <c r="J383" i="1"/>
  <c r="L383" i="1" s="1"/>
  <c r="J308" i="1"/>
  <c r="L308" i="1" s="1"/>
  <c r="J309" i="1"/>
  <c r="L309" i="1" s="1"/>
  <c r="J310" i="1"/>
  <c r="L310" i="1" s="1"/>
  <c r="J311" i="1"/>
  <c r="L311" i="1" s="1"/>
  <c r="J312" i="1"/>
  <c r="L312" i="1" s="1"/>
  <c r="J313" i="1"/>
  <c r="L313" i="1" s="1"/>
  <c r="J314" i="1"/>
  <c r="L314" i="1" s="1"/>
  <c r="J315" i="1"/>
  <c r="L315" i="1" s="1"/>
  <c r="J316" i="1"/>
  <c r="L316" i="1" s="1"/>
  <c r="J317" i="1"/>
  <c r="L317" i="1" s="1"/>
  <c r="J318" i="1"/>
  <c r="L318" i="1" s="1"/>
  <c r="J319" i="1"/>
  <c r="L319" i="1" s="1"/>
  <c r="J320" i="1"/>
  <c r="L320" i="1" s="1"/>
  <c r="J321" i="1"/>
  <c r="L321" i="1" s="1"/>
  <c r="J322" i="1"/>
  <c r="L322" i="1" s="1"/>
  <c r="J323" i="1"/>
  <c r="L323" i="1" s="1"/>
  <c r="J324" i="1"/>
  <c r="L324" i="1" s="1"/>
  <c r="J325" i="1"/>
  <c r="L325" i="1" s="1"/>
  <c r="J326" i="1"/>
  <c r="L326" i="1" s="1"/>
  <c r="J327" i="1"/>
  <c r="L327" i="1" s="1"/>
  <c r="J328" i="1"/>
  <c r="L328" i="1" s="1"/>
  <c r="J329" i="1"/>
  <c r="L329" i="1" s="1"/>
  <c r="J330" i="1"/>
  <c r="L330" i="1" s="1"/>
  <c r="J331" i="1"/>
  <c r="L331" i="1" s="1"/>
  <c r="J332" i="1"/>
  <c r="L332" i="1" s="1"/>
  <c r="J333" i="1"/>
  <c r="L333" i="1" s="1"/>
  <c r="J334" i="1"/>
  <c r="L334" i="1" s="1"/>
  <c r="J335" i="1"/>
  <c r="L335" i="1" s="1"/>
  <c r="J336" i="1"/>
  <c r="L336" i="1" s="1"/>
  <c r="J337" i="1"/>
  <c r="L337" i="1" s="1"/>
  <c r="J338" i="1"/>
  <c r="L338" i="1" s="1"/>
  <c r="J339" i="1"/>
  <c r="L339" i="1" s="1"/>
  <c r="J340" i="1"/>
  <c r="L340" i="1" s="1"/>
  <c r="J341" i="1"/>
  <c r="L341" i="1" s="1"/>
  <c r="J342" i="1"/>
  <c r="L342" i="1" s="1"/>
  <c r="J343" i="1"/>
  <c r="L343" i="1" s="1"/>
  <c r="J344" i="1"/>
  <c r="L344" i="1" s="1"/>
  <c r="J345" i="1"/>
  <c r="L345" i="1" s="1"/>
  <c r="J346" i="1"/>
  <c r="L346" i="1" s="1"/>
  <c r="J347" i="1"/>
  <c r="L347" i="1" s="1"/>
  <c r="J348" i="1"/>
  <c r="L348" i="1" s="1"/>
  <c r="J349" i="1"/>
  <c r="L349" i="1" s="1"/>
  <c r="J350" i="1"/>
  <c r="L350" i="1" s="1"/>
  <c r="J351" i="1"/>
  <c r="L351" i="1" s="1"/>
  <c r="J352" i="1"/>
  <c r="L352" i="1" s="1"/>
  <c r="J353" i="1"/>
  <c r="L353" i="1" s="1"/>
  <c r="J354" i="1"/>
  <c r="L354" i="1" s="1"/>
  <c r="J355" i="1"/>
  <c r="L355" i="1" s="1"/>
  <c r="J356" i="1"/>
  <c r="L356" i="1" s="1"/>
  <c r="J357" i="1"/>
  <c r="L357" i="1" s="1"/>
  <c r="J358" i="1"/>
  <c r="L358" i="1" s="1"/>
  <c r="J359" i="1"/>
  <c r="L359" i="1" s="1"/>
  <c r="J360" i="1"/>
  <c r="L360" i="1" s="1"/>
  <c r="J361" i="1"/>
  <c r="L361" i="1" s="1"/>
  <c r="J362" i="1"/>
  <c r="L362" i="1" s="1"/>
  <c r="J363" i="1"/>
  <c r="L363" i="1" s="1"/>
  <c r="J364" i="1"/>
  <c r="L364" i="1" s="1"/>
  <c r="J365" i="1"/>
  <c r="L365" i="1" s="1"/>
  <c r="J369" i="1"/>
  <c r="L369" i="1" s="1"/>
  <c r="J296" i="1"/>
  <c r="L296" i="1" s="1"/>
  <c r="J368" i="1"/>
  <c r="L368" i="1" s="1"/>
  <c r="J372" i="1"/>
  <c r="L372" i="1" s="1"/>
  <c r="J377" i="1"/>
  <c r="L377" i="1" s="1"/>
  <c r="J378" i="1"/>
  <c r="L378" i="1" s="1"/>
  <c r="J380" i="1"/>
  <c r="L380" i="1" s="1"/>
  <c r="J381" i="1"/>
  <c r="L381" i="1" s="1"/>
  <c r="J384" i="1"/>
  <c r="L384" i="1" s="1"/>
  <c r="J388" i="1"/>
  <c r="L388" i="1" s="1"/>
  <c r="J391" i="1"/>
  <c r="L391" i="1" s="1"/>
  <c r="J394" i="1"/>
  <c r="L394" i="1" s="1"/>
  <c r="J395" i="1"/>
  <c r="L395" i="1" s="1"/>
  <c r="J396" i="1"/>
  <c r="L396" i="1" s="1"/>
  <c r="J397" i="1"/>
  <c r="L397" i="1" s="1"/>
  <c r="J398" i="1"/>
  <c r="L398" i="1" s="1"/>
  <c r="J399" i="1"/>
  <c r="L399" i="1" s="1"/>
  <c r="J400" i="1"/>
  <c r="L400" i="1" s="1"/>
  <c r="J401" i="1"/>
  <c r="L401" i="1" s="1"/>
  <c r="J402" i="1"/>
  <c r="L402" i="1" s="1"/>
  <c r="J403" i="1"/>
  <c r="L403" i="1" s="1"/>
  <c r="J404" i="1"/>
  <c r="L404" i="1" s="1"/>
  <c r="J405" i="1"/>
  <c r="L405" i="1" s="1"/>
  <c r="J406" i="1"/>
  <c r="L406" i="1" s="1"/>
  <c r="J407" i="1"/>
  <c r="L407" i="1" s="1"/>
  <c r="J408" i="1"/>
  <c r="L408" i="1" s="1"/>
  <c r="J409" i="1"/>
  <c r="L409" i="1" s="1"/>
  <c r="J410" i="1"/>
  <c r="L410" i="1" s="1"/>
  <c r="J411" i="1"/>
  <c r="L411" i="1" s="1"/>
  <c r="J412" i="1"/>
  <c r="L412" i="1" s="1"/>
  <c r="J413" i="1"/>
  <c r="L413" i="1" s="1"/>
  <c r="J414" i="1"/>
  <c r="L414" i="1" s="1"/>
  <c r="J415" i="1"/>
  <c r="L415" i="1" s="1"/>
  <c r="J416" i="1"/>
  <c r="L416" i="1" s="1"/>
  <c r="J417" i="1"/>
  <c r="L417" i="1" s="1"/>
  <c r="J418" i="1"/>
  <c r="L418" i="1" s="1"/>
  <c r="J419" i="1"/>
  <c r="L419" i="1" s="1"/>
  <c r="O1268" i="1" l="1"/>
  <c r="O1364" i="1"/>
  <c r="O1267" i="1"/>
  <c r="O1363" i="1"/>
  <c r="O1266" i="1"/>
  <c r="O1362" i="1"/>
  <c r="O1265" i="1"/>
  <c r="O1361" i="1"/>
  <c r="O1264" i="1"/>
  <c r="O1360" i="1"/>
  <c r="O1263" i="1"/>
  <c r="O1359" i="1"/>
  <c r="O1262" i="1"/>
  <c r="O1358" i="1"/>
  <c r="O1261" i="1"/>
  <c r="O1357" i="1"/>
  <c r="O1260" i="1"/>
  <c r="O1356" i="1"/>
  <c r="O1259" i="1"/>
  <c r="O1355" i="1"/>
  <c r="O1258" i="1"/>
  <c r="O1354" i="1"/>
  <c r="O1257" i="1"/>
  <c r="O1353" i="1"/>
  <c r="O1256" i="1"/>
  <c r="O1352" i="1"/>
  <c r="O1255" i="1"/>
  <c r="O1351" i="1"/>
  <c r="O1174" i="1"/>
  <c r="O1350" i="1"/>
  <c r="O1254" i="1"/>
  <c r="O1349" i="1"/>
  <c r="O1253" i="1"/>
  <c r="O1348" i="1"/>
  <c r="O1252" i="1"/>
  <c r="O1347" i="1"/>
  <c r="O1251" i="1"/>
  <c r="O1346" i="1"/>
  <c r="O1250" i="1"/>
  <c r="O1345" i="1"/>
  <c r="O1249" i="1"/>
  <c r="O1344" i="1"/>
  <c r="O1248" i="1"/>
  <c r="O1343" i="1"/>
  <c r="O1247" i="1"/>
  <c r="O1342" i="1"/>
  <c r="O1246" i="1"/>
  <c r="O1341" i="1"/>
  <c r="O1245" i="1"/>
  <c r="O1340" i="1"/>
  <c r="O1244" i="1"/>
  <c r="O1339" i="1"/>
  <c r="O1243" i="1"/>
  <c r="O1338" i="1"/>
  <c r="O1242" i="1"/>
  <c r="O1337" i="1"/>
  <c r="O1241" i="1"/>
  <c r="O1336" i="1"/>
  <c r="O1240" i="1"/>
  <c r="O1335" i="1"/>
  <c r="O1239" i="1"/>
  <c r="O1334" i="1"/>
  <c r="O1238" i="1"/>
  <c r="O1333" i="1"/>
  <c r="O1237" i="1"/>
  <c r="O1332" i="1"/>
  <c r="O1236" i="1"/>
  <c r="O1331" i="1"/>
  <c r="O1235" i="1"/>
  <c r="O1330" i="1"/>
  <c r="O1234" i="1"/>
  <c r="O1329" i="1"/>
  <c r="O1233" i="1"/>
  <c r="O1328" i="1"/>
  <c r="O1232" i="1"/>
  <c r="O1327" i="1"/>
  <c r="O1231" i="1"/>
  <c r="O1326" i="1"/>
  <c r="O1230" i="1"/>
  <c r="O1325" i="1"/>
  <c r="O1229" i="1"/>
  <c r="O1324" i="1"/>
  <c r="O1228" i="1"/>
  <c r="O1323" i="1"/>
  <c r="O1227" i="1"/>
  <c r="O1322" i="1"/>
  <c r="O1226" i="1"/>
  <c r="O1321" i="1"/>
  <c r="O1225" i="1"/>
  <c r="O1320" i="1"/>
  <c r="O1224" i="1"/>
  <c r="O1319" i="1"/>
  <c r="O1223" i="1"/>
  <c r="O1318" i="1"/>
  <c r="O1222" i="1"/>
  <c r="O1317" i="1"/>
  <c r="O1221" i="1"/>
  <c r="O1316" i="1"/>
  <c r="O1220" i="1"/>
  <c r="O1315" i="1"/>
  <c r="O1219" i="1"/>
  <c r="O1314" i="1"/>
  <c r="O1218" i="1"/>
  <c r="O1313" i="1"/>
  <c r="O1217" i="1"/>
  <c r="O1312" i="1"/>
  <c r="O1216" i="1"/>
  <c r="O1311" i="1"/>
  <c r="O1215" i="1"/>
  <c r="O1310" i="1"/>
  <c r="O1214" i="1"/>
  <c r="O1309" i="1"/>
  <c r="O1213" i="1"/>
  <c r="O1308" i="1"/>
  <c r="O1212" i="1"/>
  <c r="O1307" i="1"/>
  <c r="O1211" i="1"/>
  <c r="O1306" i="1"/>
  <c r="O1210" i="1"/>
  <c r="O1305" i="1"/>
  <c r="O1209" i="1"/>
  <c r="O1304" i="1"/>
  <c r="O1208" i="1"/>
  <c r="O1303" i="1"/>
  <c r="O1207" i="1"/>
  <c r="O1302" i="1"/>
  <c r="O1206" i="1"/>
  <c r="O1301" i="1"/>
  <c r="O1205" i="1"/>
  <c r="O1300" i="1"/>
  <c r="O1204" i="1"/>
  <c r="O1299" i="1"/>
  <c r="O1203" i="1"/>
  <c r="O1298" i="1"/>
  <c r="O1202" i="1"/>
  <c r="O1297" i="1"/>
  <c r="O1201" i="1"/>
  <c r="O1296" i="1"/>
  <c r="O1200" i="1"/>
  <c r="O1295" i="1"/>
  <c r="O1199" i="1"/>
  <c r="O1294" i="1"/>
  <c r="O1198" i="1"/>
  <c r="O1293" i="1"/>
  <c r="O1197" i="1"/>
  <c r="O1292" i="1"/>
  <c r="O1196" i="1"/>
  <c r="O1291" i="1"/>
  <c r="O1195" i="1"/>
  <c r="O1290" i="1"/>
  <c r="O1194" i="1"/>
  <c r="O1289" i="1"/>
  <c r="O1193" i="1"/>
  <c r="O1288" i="1"/>
  <c r="O1192" i="1"/>
  <c r="O1287" i="1"/>
  <c r="O1191" i="1"/>
  <c r="O1286" i="1"/>
  <c r="O1190" i="1"/>
  <c r="O1285" i="1"/>
  <c r="O1189" i="1"/>
  <c r="O1284" i="1"/>
  <c r="O1188" i="1"/>
  <c r="O1283" i="1"/>
  <c r="O1187" i="1"/>
  <c r="O1282" i="1"/>
  <c r="O1186" i="1"/>
  <c r="O1281" i="1"/>
  <c r="O1183" i="1"/>
  <c r="O1278" i="1"/>
  <c r="O1181" i="1"/>
  <c r="O1276" i="1"/>
  <c r="O1180" i="1"/>
  <c r="O1275" i="1"/>
  <c r="O1179" i="1"/>
  <c r="O1274" i="1"/>
  <c r="O1178" i="1"/>
  <c r="O1273" i="1"/>
  <c r="O1177" i="1"/>
  <c r="O1272" i="1"/>
  <c r="L1202" i="1"/>
  <c r="U1106" i="1"/>
  <c r="R1116" i="1"/>
  <c r="L1199" i="1"/>
  <c r="O1167" i="1"/>
  <c r="U1113" i="1"/>
  <c r="AF915" i="1"/>
  <c r="R1117" i="1"/>
  <c r="X1011" i="1"/>
  <c r="O1168" i="1"/>
  <c r="O1153" i="1"/>
  <c r="U1107" i="1"/>
  <c r="L1210" i="1"/>
  <c r="L1198" i="1"/>
  <c r="U1115" i="1"/>
  <c r="L1192" i="1"/>
  <c r="U1104" i="1"/>
  <c r="O1182" i="1"/>
  <c r="L1196" i="1"/>
  <c r="L1184" i="1"/>
  <c r="R1106" i="1"/>
  <c r="U1117" i="1"/>
  <c r="O1184" i="1"/>
  <c r="AF923" i="1"/>
  <c r="R1119" i="1"/>
  <c r="L1213" i="1"/>
  <c r="O1154" i="1"/>
  <c r="R1146" i="1"/>
  <c r="L1185" i="1"/>
  <c r="R1104" i="1"/>
  <c r="L1195" i="1"/>
  <c r="O1176" i="1"/>
  <c r="O1160" i="1"/>
  <c r="R1107" i="1"/>
  <c r="U1119" i="1"/>
  <c r="L1194" i="1"/>
  <c r="O1175" i="1"/>
  <c r="O1159" i="1"/>
  <c r="R1113" i="1"/>
  <c r="L1197" i="1"/>
  <c r="U1116" i="1"/>
  <c r="L1193" i="1"/>
  <c r="L1182" i="1"/>
  <c r="O1185" i="1"/>
  <c r="O1158" i="1"/>
  <c r="R1115" i="1"/>
  <c r="X1010" i="1"/>
  <c r="X1004" i="1"/>
  <c r="X1005" i="1"/>
  <c r="X998" i="1"/>
  <c r="X999" i="1"/>
  <c r="X994" i="1"/>
  <c r="X1006" i="1"/>
  <c r="X995" i="1"/>
  <c r="X1007" i="1"/>
  <c r="X996" i="1"/>
  <c r="X997" i="1"/>
  <c r="AF910" i="1"/>
  <c r="X972" i="1"/>
  <c r="X973" i="1"/>
  <c r="X988" i="1"/>
  <c r="X979" i="1"/>
  <c r="X980" i="1"/>
  <c r="X981" i="1"/>
  <c r="X982" i="1"/>
  <c r="X983" i="1"/>
  <c r="U1071" i="1"/>
  <c r="R1090" i="1"/>
  <c r="U1064" i="1"/>
  <c r="U1056" i="1"/>
  <c r="U1062" i="1"/>
  <c r="U1078" i="1"/>
  <c r="U1080" i="1"/>
  <c r="U1079" i="1"/>
  <c r="U1048" i="1"/>
  <c r="U1081" i="1"/>
  <c r="U1057" i="1"/>
  <c r="U1061" i="1"/>
  <c r="U1063" i="1"/>
  <c r="X966" i="1"/>
  <c r="U1052" i="1"/>
  <c r="U1090" i="1"/>
  <c r="L1175" i="1"/>
  <c r="O1113" i="1"/>
  <c r="L1158" i="1"/>
  <c r="O1146" i="1"/>
  <c r="L1154" i="1"/>
  <c r="L1168" i="1"/>
  <c r="L1153" i="1"/>
  <c r="L1159" i="1"/>
  <c r="L1167" i="1"/>
  <c r="O1119" i="1"/>
  <c r="O1117" i="1"/>
  <c r="O1116" i="1"/>
  <c r="L1176" i="1"/>
  <c r="L1160" i="1"/>
  <c r="O1115" i="1"/>
  <c r="L1146" i="1"/>
  <c r="R1079" i="1"/>
  <c r="R1080" i="1"/>
  <c r="O1109" i="1"/>
  <c r="R1056" i="1"/>
  <c r="R1057" i="1"/>
  <c r="O1107" i="1"/>
  <c r="R1061" i="1"/>
  <c r="R1081" i="1"/>
  <c r="R1062" i="1"/>
  <c r="O1106" i="1"/>
  <c r="R1063" i="1"/>
  <c r="R1064" i="1"/>
  <c r="R1071" i="1"/>
  <c r="R1078" i="1"/>
  <c r="L1093" i="1"/>
  <c r="R1048" i="1"/>
  <c r="R1036" i="1"/>
  <c r="L1117" i="1"/>
  <c r="L1104" i="1"/>
  <c r="R1052" i="1"/>
  <c r="U1016" i="1"/>
  <c r="L1119" i="1"/>
  <c r="L1128" i="1"/>
  <c r="L1116" i="1"/>
  <c r="U1022" i="1"/>
  <c r="AF792" i="1"/>
  <c r="AF800" i="1"/>
  <c r="AF801" i="1"/>
  <c r="L1127" i="1"/>
  <c r="L1115" i="1"/>
  <c r="U1024" i="1"/>
  <c r="L1107" i="1"/>
  <c r="L1126" i="1"/>
  <c r="L1113" i="1"/>
  <c r="U1025" i="1"/>
  <c r="L1106" i="1"/>
  <c r="L1125" i="1"/>
  <c r="R1016" i="1"/>
  <c r="U1026" i="1"/>
  <c r="L1124" i="1"/>
  <c r="O1104" i="1"/>
  <c r="R1022" i="1"/>
  <c r="U1033" i="1"/>
  <c r="L1120" i="1"/>
  <c r="R1033" i="1"/>
  <c r="L1123" i="1"/>
  <c r="L1110" i="1"/>
  <c r="R1024" i="1"/>
  <c r="L1122" i="1"/>
  <c r="O1090" i="1"/>
  <c r="R1025" i="1"/>
  <c r="L1121" i="1"/>
  <c r="R1026" i="1"/>
  <c r="AF799" i="1"/>
  <c r="U996" i="1"/>
  <c r="U997" i="1"/>
  <c r="U999" i="1"/>
  <c r="U995" i="1"/>
  <c r="U998" i="1"/>
  <c r="U994" i="1"/>
  <c r="R1010" i="1"/>
  <c r="R1011" i="1"/>
  <c r="R1004" i="1"/>
  <c r="R1005" i="1"/>
  <c r="R1006" i="1"/>
  <c r="R1007" i="1"/>
  <c r="O1048" i="1"/>
  <c r="O1036" i="1"/>
  <c r="L1081" i="1"/>
  <c r="L1071" i="1"/>
  <c r="L1080" i="1"/>
  <c r="L1090" i="1"/>
  <c r="L1079" i="1"/>
  <c r="L1078" i="1"/>
  <c r="X933" i="1"/>
  <c r="R996" i="1"/>
  <c r="X844" i="1"/>
  <c r="X857" i="1"/>
  <c r="R999" i="1"/>
  <c r="X861" i="1"/>
  <c r="O1033" i="1"/>
  <c r="X910" i="1"/>
  <c r="X934" i="1"/>
  <c r="U988" i="1"/>
  <c r="X962" i="1"/>
  <c r="X938" i="1"/>
  <c r="X963" i="1"/>
  <c r="X964" i="1"/>
  <c r="X855" i="1"/>
  <c r="X856" i="1"/>
  <c r="R997" i="1"/>
  <c r="X845" i="1"/>
  <c r="X943" i="1"/>
  <c r="X836" i="1"/>
  <c r="X862" i="1"/>
  <c r="X923" i="1"/>
  <c r="X850" i="1"/>
  <c r="X851" i="1"/>
  <c r="X915" i="1"/>
  <c r="R998" i="1"/>
  <c r="X932" i="1"/>
  <c r="X825" i="1"/>
  <c r="X813" i="1"/>
  <c r="U972" i="1"/>
  <c r="U973" i="1"/>
  <c r="U979" i="1"/>
  <c r="U980" i="1"/>
  <c r="U981" i="1"/>
  <c r="U982" i="1"/>
  <c r="U983" i="1"/>
  <c r="R988" i="1"/>
  <c r="R994" i="1"/>
  <c r="R995" i="1"/>
  <c r="O1016" i="1"/>
  <c r="O1026" i="1"/>
  <c r="O1025" i="1"/>
  <c r="O1024" i="1"/>
  <c r="O1022" i="1"/>
  <c r="L1064" i="1"/>
  <c r="L1063" i="1"/>
  <c r="L1062" i="1"/>
  <c r="L1061" i="1"/>
  <c r="L1048" i="1"/>
  <c r="L1057" i="1"/>
  <c r="L1052" i="1"/>
  <c r="L1056" i="1"/>
  <c r="O1004" i="1"/>
  <c r="R938" i="1"/>
  <c r="L1010" i="1"/>
  <c r="L998" i="1"/>
  <c r="L933" i="1"/>
  <c r="O963" i="1"/>
  <c r="O938" i="1"/>
  <c r="R943" i="1"/>
  <c r="R983" i="1"/>
  <c r="U964" i="1"/>
  <c r="R982" i="1"/>
  <c r="U963" i="1"/>
  <c r="L997" i="1"/>
  <c r="L983" i="1"/>
  <c r="L932" i="1"/>
  <c r="O988" i="1"/>
  <c r="O962" i="1"/>
  <c r="U966" i="1"/>
  <c r="O964" i="1"/>
  <c r="L996" i="1"/>
  <c r="L982" i="1"/>
  <c r="L943" i="1"/>
  <c r="O973" i="1"/>
  <c r="R962" i="1"/>
  <c r="L999" i="1"/>
  <c r="L910" i="1"/>
  <c r="L1007" i="1"/>
  <c r="L995" i="1"/>
  <c r="L981" i="1"/>
  <c r="O972" i="1"/>
  <c r="R963" i="1"/>
  <c r="X806" i="1"/>
  <c r="L1006" i="1"/>
  <c r="L994" i="1"/>
  <c r="L980" i="1"/>
  <c r="L966" i="1"/>
  <c r="O1011" i="1"/>
  <c r="O999" i="1"/>
  <c r="O934" i="1"/>
  <c r="R964" i="1"/>
  <c r="X807" i="1"/>
  <c r="L1011" i="1"/>
  <c r="L1005" i="1"/>
  <c r="L979" i="1"/>
  <c r="O1010" i="1"/>
  <c r="O998" i="1"/>
  <c r="O933" i="1"/>
  <c r="R966" i="1"/>
  <c r="X808" i="1"/>
  <c r="L1004" i="1"/>
  <c r="L964" i="1"/>
  <c r="O997" i="1"/>
  <c r="O983" i="1"/>
  <c r="O932" i="1"/>
  <c r="R972" i="1"/>
  <c r="X809" i="1"/>
  <c r="L915" i="1"/>
  <c r="L1016" i="1"/>
  <c r="L963" i="1"/>
  <c r="L938" i="1"/>
  <c r="O996" i="1"/>
  <c r="O982" i="1"/>
  <c r="O943" i="1"/>
  <c r="R973" i="1"/>
  <c r="L988" i="1"/>
  <c r="L962" i="1"/>
  <c r="O1007" i="1"/>
  <c r="O995" i="1"/>
  <c r="O981" i="1"/>
  <c r="R932" i="1"/>
  <c r="R979" i="1"/>
  <c r="X799" i="1"/>
  <c r="L934" i="1"/>
  <c r="L973" i="1"/>
  <c r="O1006" i="1"/>
  <c r="O994" i="1"/>
  <c r="O980" i="1"/>
  <c r="O966" i="1"/>
  <c r="R933" i="1"/>
  <c r="R980" i="1"/>
  <c r="X800" i="1"/>
  <c r="L972" i="1"/>
  <c r="L923" i="1"/>
  <c r="O1005" i="1"/>
  <c r="O979" i="1"/>
  <c r="R934" i="1"/>
  <c r="R981" i="1"/>
  <c r="U962" i="1"/>
  <c r="X801" i="1"/>
  <c r="L1036" i="1"/>
  <c r="L1025" i="1"/>
  <c r="L1033" i="1"/>
  <c r="L1024" i="1"/>
  <c r="L1022" i="1"/>
  <c r="L1026" i="1"/>
  <c r="U943" i="1"/>
  <c r="U932" i="1"/>
  <c r="U933" i="1"/>
  <c r="U934" i="1"/>
  <c r="U938" i="1"/>
  <c r="X792" i="1"/>
  <c r="O850" i="1"/>
  <c r="O813" i="1"/>
  <c r="O801" i="1"/>
  <c r="O789" i="1"/>
  <c r="O792" i="1"/>
  <c r="O851" i="1"/>
  <c r="O923" i="1"/>
  <c r="O825" i="1"/>
  <c r="O800" i="1"/>
  <c r="O910" i="1"/>
  <c r="O862" i="1"/>
  <c r="O836" i="1"/>
  <c r="O799" i="1"/>
  <c r="O861" i="1"/>
  <c r="O784" i="1"/>
  <c r="X782" i="1"/>
  <c r="O809" i="1"/>
  <c r="O783" i="1"/>
  <c r="X783" i="1"/>
  <c r="O845" i="1"/>
  <c r="O808" i="1"/>
  <c r="O782" i="1"/>
  <c r="X784" i="1"/>
  <c r="O857" i="1"/>
  <c r="O844" i="1"/>
  <c r="O807" i="1"/>
  <c r="O915" i="1"/>
  <c r="O856" i="1"/>
  <c r="O806" i="1"/>
  <c r="O855" i="1"/>
  <c r="X789" i="1"/>
  <c r="U870" i="1"/>
  <c r="U903" i="1"/>
  <c r="U891" i="1"/>
  <c r="U879" i="1"/>
  <c r="U867" i="1"/>
  <c r="U868" i="1"/>
  <c r="U902" i="1"/>
  <c r="U890" i="1"/>
  <c r="U878" i="1"/>
  <c r="U901" i="1"/>
  <c r="U889" i="1"/>
  <c r="U877" i="1"/>
  <c r="U910" i="1"/>
  <c r="U904" i="1"/>
  <c r="U900" i="1"/>
  <c r="U888" i="1"/>
  <c r="U876" i="1"/>
  <c r="U915" i="1"/>
  <c r="U899" i="1"/>
  <c r="U887" i="1"/>
  <c r="U875" i="1"/>
  <c r="U923" i="1"/>
  <c r="U925" i="1"/>
  <c r="U898" i="1"/>
  <c r="U886" i="1"/>
  <c r="U874" i="1"/>
  <c r="U892" i="1"/>
  <c r="U897" i="1"/>
  <c r="U885" i="1"/>
  <c r="U873" i="1"/>
  <c r="U896" i="1"/>
  <c r="U884" i="1"/>
  <c r="U872" i="1"/>
  <c r="U880" i="1"/>
  <c r="U895" i="1"/>
  <c r="U883" i="1"/>
  <c r="U871" i="1"/>
  <c r="U906" i="1"/>
  <c r="U894" i="1"/>
  <c r="U882" i="1"/>
  <c r="U905" i="1"/>
  <c r="U893" i="1"/>
  <c r="U881" i="1"/>
  <c r="U869" i="1"/>
  <c r="R714" i="1"/>
  <c r="R758" i="1"/>
  <c r="R806" i="1"/>
  <c r="R856" i="1"/>
  <c r="U782" i="1"/>
  <c r="U813" i="1"/>
  <c r="R698" i="1"/>
  <c r="U862" i="1"/>
  <c r="R716" i="1"/>
  <c r="R765" i="1"/>
  <c r="R807" i="1"/>
  <c r="R857" i="1"/>
  <c r="U783" i="1"/>
  <c r="U825" i="1"/>
  <c r="R753" i="1"/>
  <c r="R717" i="1"/>
  <c r="R766" i="1"/>
  <c r="R808" i="1"/>
  <c r="R861" i="1"/>
  <c r="U784" i="1"/>
  <c r="U836" i="1"/>
  <c r="U767" i="1"/>
  <c r="X698" i="1"/>
  <c r="R718" i="1"/>
  <c r="R767" i="1"/>
  <c r="R809" i="1"/>
  <c r="R862" i="1"/>
  <c r="U789" i="1"/>
  <c r="U844" i="1"/>
  <c r="X714" i="1"/>
  <c r="R719" i="1"/>
  <c r="R782" i="1"/>
  <c r="R813" i="1"/>
  <c r="R910" i="1"/>
  <c r="U792" i="1"/>
  <c r="U845" i="1"/>
  <c r="R801" i="1"/>
  <c r="R720" i="1"/>
  <c r="R783" i="1"/>
  <c r="R825" i="1"/>
  <c r="R915" i="1"/>
  <c r="U695" i="1"/>
  <c r="U746" i="1"/>
  <c r="U799" i="1"/>
  <c r="U850" i="1"/>
  <c r="X716" i="1"/>
  <c r="R855" i="1"/>
  <c r="R721" i="1"/>
  <c r="R784" i="1"/>
  <c r="R836" i="1"/>
  <c r="R923" i="1"/>
  <c r="U696" i="1"/>
  <c r="U747" i="1"/>
  <c r="U800" i="1"/>
  <c r="U851" i="1"/>
  <c r="X717" i="1"/>
  <c r="U718" i="1"/>
  <c r="R729" i="1"/>
  <c r="R789" i="1"/>
  <c r="R844" i="1"/>
  <c r="U698" i="1"/>
  <c r="U753" i="1"/>
  <c r="U801" i="1"/>
  <c r="U855" i="1"/>
  <c r="X718" i="1"/>
  <c r="U809" i="1"/>
  <c r="R745" i="1"/>
  <c r="R792" i="1"/>
  <c r="R845" i="1"/>
  <c r="U714" i="1"/>
  <c r="U758" i="1"/>
  <c r="U806" i="1"/>
  <c r="U856" i="1"/>
  <c r="X695" i="1"/>
  <c r="X719" i="1"/>
  <c r="R695" i="1"/>
  <c r="R746" i="1"/>
  <c r="R799" i="1"/>
  <c r="R850" i="1"/>
  <c r="U716" i="1"/>
  <c r="U765" i="1"/>
  <c r="U807" i="1"/>
  <c r="U857" i="1"/>
  <c r="X696" i="1"/>
  <c r="R696" i="1"/>
  <c r="R747" i="1"/>
  <c r="R800" i="1"/>
  <c r="R851" i="1"/>
  <c r="U717" i="1"/>
  <c r="U766" i="1"/>
  <c r="U808" i="1"/>
  <c r="U861" i="1"/>
</calcChain>
</file>

<file path=xl/sharedStrings.xml><?xml version="1.0" encoding="utf-8"?>
<sst xmlns="http://schemas.openxmlformats.org/spreadsheetml/2006/main" count="8096" uniqueCount="2810">
  <si>
    <t>ID</t>
  </si>
  <si>
    <t>FHasta</t>
  </si>
  <si>
    <t>Pólizas</t>
  </si>
  <si>
    <t>Cliente</t>
  </si>
  <si>
    <t>PrimaNeta</t>
  </si>
  <si>
    <t>Concepto</t>
  </si>
  <si>
    <t>Ejecutivo</t>
  </si>
  <si>
    <t>Moneda</t>
  </si>
  <si>
    <t>SRamoNombre</t>
  </si>
  <si>
    <t>100 Días Solicitud Siniestralidad</t>
  </si>
  <si>
    <t>Ejecutivo 100 días</t>
  </si>
  <si>
    <t>Día 100</t>
  </si>
  <si>
    <t>89 Días Env. Info, al cliente</t>
  </si>
  <si>
    <t>Ejecutivo 89 días</t>
  </si>
  <si>
    <t xml:space="preserve">Día 89 </t>
  </si>
  <si>
    <t>74 Días Recepcion de  Info. Del cliente</t>
  </si>
  <si>
    <t xml:space="preserve">Ejecutivo 74 días </t>
  </si>
  <si>
    <t>Días 74</t>
  </si>
  <si>
    <t>69 Días Sol. Aseguradora</t>
  </si>
  <si>
    <t>Ejecutivo 69 días</t>
  </si>
  <si>
    <t>Días 69</t>
  </si>
  <si>
    <t>30 Días Pres. Cliente</t>
  </si>
  <si>
    <t>Ejecutivo 30 días</t>
  </si>
  <si>
    <t>Días 30</t>
  </si>
  <si>
    <t>Carta cobertura</t>
  </si>
  <si>
    <t>Ejecutivo 5 días</t>
  </si>
  <si>
    <t>Día 5</t>
  </si>
  <si>
    <t>Cobertura</t>
  </si>
  <si>
    <t xml:space="preserve">Días </t>
  </si>
  <si>
    <t>FEnvío Cap</t>
  </si>
  <si>
    <t>Ejecutivo Fcap</t>
  </si>
  <si>
    <t>FCaptura</t>
  </si>
  <si>
    <t>Cancelaciones</t>
  </si>
  <si>
    <t>Desarrolladora Puerta Bosques Residencial S.A. de C.V.</t>
  </si>
  <si>
    <t>Empresariales // TORRE AGWA I DE CONDOMINIOS HABITACINALES - CARR TOLUCA 1535. CUAJIMALPA S.A.$ 535,000,000</t>
  </si>
  <si>
    <t>Guzman Raul</t>
  </si>
  <si>
    <t>Nacional</t>
  </si>
  <si>
    <t>Empresariales</t>
  </si>
  <si>
    <t>Toyota Industries Commercial Lease S.A.P.I. de C.V</t>
  </si>
  <si>
    <t>EC // Convenio // PACTIV 210-AP-003 $411,338.00</t>
  </si>
  <si>
    <t>Dólares</t>
  </si>
  <si>
    <t>Equipo de Contratistas</t>
  </si>
  <si>
    <t>EC //  Convenio //  PACTIV 210-AP-002 $284,560.00</t>
  </si>
  <si>
    <t>EC | Contrato Mobajsa 336-AP-003 | SA USD $ 48,794</t>
  </si>
  <si>
    <t>Transportes Especializados Topete S.A. de C.V.</t>
  </si>
  <si>
    <t>TRMM - TRANSPORTE COMBINADO PYME S.A. MXN $ 150,000,000</t>
  </si>
  <si>
    <t>Bautista Edith</t>
  </si>
  <si>
    <t>Transporte de Carga</t>
  </si>
  <si>
    <t xml:space="preserve">26300 30282293 </t>
  </si>
  <si>
    <t>Fideicomiso Irrevocable Numero CIB/4019</t>
  </si>
  <si>
    <t>OC Cto 13 2024 plumbing &amp; gas en el Restaurant Desarrollo El Dorado S.A. $114,709  </t>
  </si>
  <si>
    <t>Castro Sergio</t>
  </si>
  <si>
    <t>Obra Civil</t>
  </si>
  <si>
    <t>Si</t>
  </si>
  <si>
    <t>EC // ARIS 109-AF-002 // S.A. USD $ 48,355.00</t>
  </si>
  <si>
    <t>26300 30281882</t>
  </si>
  <si>
    <t>OC Cto 12 2024 Dry Utilities Restaurant S.A. $105,427 </t>
  </si>
  <si>
    <t>EC // Arizlu 42-AP-014  // S.A. USD $ 159,450.00</t>
  </si>
  <si>
    <t>EC // Oval 322-AP-001  // S.A. USD $ 33,114.00</t>
  </si>
  <si>
    <t>K6 44004551</t>
  </si>
  <si>
    <t>Hydro Calsan S.A. de C.V</t>
  </si>
  <si>
    <t>RC Cto 401 2023 Water Construction Line $ 331,041.59</t>
  </si>
  <si>
    <t>Responsabilidad Civil</t>
  </si>
  <si>
    <t xml:space="preserve">05-01543201 000 </t>
  </si>
  <si>
    <t>GWB de México, S.A. de C.V.</t>
  </si>
  <si>
    <t>RC Cto 10 2024 Restaurant Remodeling ElDol S.A. $1,000,000.00</t>
  </si>
  <si>
    <t>Construcciones Y Sistemas Hidraulicos S.A. de C.V.</t>
  </si>
  <si>
    <t>RCSupervición de Ejecución de Trabajos en Obra - Remodelación Casino Pachuca - LMR $1,000,000 MXN</t>
  </si>
  <si>
    <t>EC // Res Internacional 313-AP-001  // S.A. USD $ 262,140.00</t>
  </si>
  <si>
    <t>EC // Mopla 302-AP-005 y 006 // SA USD $22 850.00</t>
  </si>
  <si>
    <t>EC // Mopla 302-APMXP-002 // SA USD $ 8,500.00</t>
  </si>
  <si>
    <t>EC // Salina De Los Lobos 274-AP-002 // SA USD $ 48,950.00</t>
  </si>
  <si>
    <t>EC // Salina De Los Lobos 274-AP-001 // SA USD $ 54,990.00</t>
  </si>
  <si>
    <t>EC // Futura 262-AP-002 // SA USD $ 150,820.00</t>
  </si>
  <si>
    <t>Gallimere L.L.C</t>
  </si>
  <si>
    <t>EC Vehiculo Moke RC $ 1,000,000.00 USD</t>
  </si>
  <si>
    <t xml:space="preserve">26300 30284825 </t>
  </si>
  <si>
    <t>Chileno Bay Club S. de R.L. de C.V.</t>
  </si>
  <si>
    <t>OC Cto 436 2024 construcción de comfort station hoyo 10 S.A. $374,326 </t>
  </si>
  <si>
    <t xml:space="preserve">26300 30283372 </t>
  </si>
  <si>
    <t>OC Cto 16 2024 water park swimming pool el dol S.A. $256,803 </t>
  </si>
  <si>
    <t>EC | Contrato Tmmg 201-AP-007 | S.A USD $ 78,878.00</t>
  </si>
  <si>
    <t>EC | Contrato Mmg 201-AP-008 | S.A. USD $ 54,837.00</t>
  </si>
  <si>
    <t>EC | Contrato Gmobinsa 85-AP-006 | SA USD $ 152,340.00</t>
  </si>
  <si>
    <t>EC  // Newak 104-AP-000 // S.A. USD $ 1,658,969.00</t>
  </si>
  <si>
    <t>K6 43005550</t>
  </si>
  <si>
    <t>RC Cto 400 2023 Sewer Line Golf Course #2 S.A. $ 375,859.14</t>
  </si>
  <si>
    <t>K6 44007859</t>
  </si>
  <si>
    <t>Romo Luzanilla Jesus Alberto</t>
  </si>
  <si>
    <t>RC Cto 444 2024 Bunker Grass 18 Holes</t>
  </si>
  <si>
    <t>The Hyman Family Trust</t>
  </si>
  <si>
    <t>Seguro de Habitt Hacienda Villa 420 Matthew Hyman edificio: $ 2,696,000.00 USD contenidos: $ 681,000.00 USD </t>
  </si>
  <si>
    <t xml:space="preserve">Diaz Ricardo </t>
  </si>
  <si>
    <t>Casa Habitación</t>
  </si>
  <si>
    <t>Orrery Intercontinental LTD S.A de C.V.</t>
  </si>
  <si>
    <t>Casa Habitación TORRE GINEBRA 33A Contenidos $1,500,000 Casa $8,700,000</t>
  </si>
  <si>
    <t>Zapls Enterprises S.A de C.V</t>
  </si>
  <si>
    <t>Casa Habitación TORRE GINEBRA 18I  $ 6,000,000MXN</t>
  </si>
  <si>
    <t>Casa Habitación TORRE GINEBRA 20K S.A. MXN $9,000,000</t>
  </si>
  <si>
    <t>Casa Habitación TORRE GINEBRA 30A SA MXN $10,100,000</t>
  </si>
  <si>
    <t>Kairos Solar Asset Management S.A. de C.V.</t>
  </si>
  <si>
    <t>Alta Ubicaciones Responsabilidad Civil</t>
  </si>
  <si>
    <t>26300 30291880</t>
  </si>
  <si>
    <t>Oc Cto 22 2024 Construccion De Amenidades En El Parque (Park Amenities) S.A. $376,977</t>
  </si>
  <si>
    <t>26300 30280106</t>
  </si>
  <si>
    <t>OC Cto 429 2024 construcción de alberca en Beach Club end a incremento suma asegurada $1,984,557.00 edificio $41,600,789 contenidos $17,486,910 </t>
  </si>
  <si>
    <t>26300 30285272</t>
  </si>
  <si>
    <t>OC Cto 15 2024 Waer Park Infraestructura Hidrosanitaria y Gas S.A. $500,293.00</t>
  </si>
  <si>
    <t>Payen Marquez Jacques Jean Francoise</t>
  </si>
  <si>
    <t>Casa Habitación | Renovación 4 casas MXN $4,494,000</t>
  </si>
  <si>
    <t>Pantoja Isabel</t>
  </si>
  <si>
    <t>Cawsa S.A. de C.V.</t>
  </si>
  <si>
    <t>EC // RETROEXCAVADORA JCB MOD. 2020 SERIE JCBJS22FEG2424983 // S.A. $ 2,330,075.00 MN</t>
  </si>
  <si>
    <t>Casa Coyote  L.L.C..</t>
  </si>
  <si>
    <t>Casa H Maravilla Lots 16 Y 17 incremento de S.A. edificio e incremento de deducible para FHM aumento de edificio  $12,299,791.57 escombros $1,229,979.16</t>
  </si>
  <si>
    <t>Casa 207 LLC</t>
  </si>
  <si>
    <t>Casa Habitación Villa 207 El Dorado edificio: $ 5,000,000.00 USD contenidos: $ 490,000.00 USD </t>
  </si>
  <si>
    <t>LUCKYP CABO LLC</t>
  </si>
  <si>
    <t>Casa // Lote Desarrollo Cabo del Sol. Carr transpeninsular. Los Cabos. BCS. Cp. 23410 edificio: $ 18,200,000.00 USD contenidos: $ 3,442,000.00 USD </t>
  </si>
  <si>
    <t>Seguro Arte // S.A. USD $ 151,950.00 </t>
  </si>
  <si>
    <t>Diaz Ricardo</t>
  </si>
  <si>
    <t>Arte</t>
  </si>
  <si>
    <t>Villa Uno FR S. de R.L. de C.V.</t>
  </si>
  <si>
    <t>OC Villa 1 Costa Palmas  ext. al 31/08/2024 S.A. $7,500,000  </t>
  </si>
  <si>
    <t>EC | Contrato Momatosa 134-AP-014 Y 015 | S.A. USD $ 61,635.00</t>
  </si>
  <si>
    <t>Ec S.A. $ 46,000.00 USD  Carretera Transpeninsular Km 15 S/N Rancho El Tule</t>
  </si>
  <si>
    <t>Greenstate Solutions SAPI de CV</t>
  </si>
  <si>
    <t>Empresariales /CONDOMINIO ZAMA TOWERS,  L 2Y L 3 TULUM CENTRO 77760 Incendio $22,000,000.00 RC $1,000,000.00</t>
  </si>
  <si>
    <t>Ponce Luz</t>
  </si>
  <si>
    <t>EC // ARIZLU 42-AP-011 // S.A. USD $ 27,900.00</t>
  </si>
  <si>
    <t>Centro Lival S.A. de C.V.</t>
  </si>
  <si>
    <t>ME // edificio de oficinas y locales comerciales, estacionamiento - presidente Masaryk 133. Col. Chapultepec. CDMX edificio USD $ 15,000,000.00   RC USD $ 1,000,000.00 </t>
  </si>
  <si>
    <t>Givas Dean Demosthenes</t>
  </si>
  <si>
    <t>Casa Habitación Auberge jardín 2 contenidos: $ 350,000.00 USD </t>
  </si>
  <si>
    <t>EC | Contrato Toledo 148-AP-003 | S.A. USD $ 82,612.00</t>
  </si>
  <si>
    <t>EC | Contrato Toledo 148-AP-002 | S.A. USD $ 106,163.00</t>
  </si>
  <si>
    <t>26300 30284264</t>
  </si>
  <si>
    <t>OC Cto 17 2024 dry utilities water park En El Desarrollo El Dorado S.A. $418,736 </t>
  </si>
  <si>
    <t xml:space="preserve">26300 30281043 </t>
  </si>
  <si>
    <t>OC Cto 428 2024 Beach Club Phase 2 Edificio Sand Bar Baños Alberca S.A. $2,638,093.00 </t>
  </si>
  <si>
    <t>26300 30252663</t>
  </si>
  <si>
    <t>Mar en Calma, LLC</t>
  </si>
  <si>
    <t>SE PERDIO Chileno Bay Club Carr Transpeninsular Km 15 Lt Ridge Estate 19 Rancho El Tule S.A. USD $8,099,191.00</t>
  </si>
  <si>
    <t>26300 30253387</t>
  </si>
  <si>
    <t>OC Hillside 22 sótano Y Mezaanine ext. AL 01 08 2024 S.A. $4,196,306 </t>
  </si>
  <si>
    <t>KSLA Cabo  L.L.C</t>
  </si>
  <si>
    <t>Casa Habitación // Casa Spurlok - Lote 46 MaraVilla. Cabo San Lucas. Los Cabos BCS. Cp. 23450 edificio USD $10,576,000.00 RC USD $ 2,000,000.00 </t>
  </si>
  <si>
    <t>EC // Nail 263-AF-001 // S.A. USD $ 35,844.00</t>
  </si>
  <si>
    <t>South Baja Constructora, S.A. de C.V.</t>
  </si>
  <si>
    <t>RC Cto 26 2024 Bar &amp; Grill ELDO</t>
  </si>
  <si>
    <t>EC //  Nemak 105-AP014 // S.A. USD $ 331,282.00</t>
  </si>
  <si>
    <t>EC //  Nemak 105-AP-015 // S.A. USD $ 60,539.00</t>
  </si>
  <si>
    <t>WG 43000218</t>
  </si>
  <si>
    <t>Enestas S.A. de C.V.</t>
  </si>
  <si>
    <t>RC AMBIENTAL  /  $3,000,000.00</t>
  </si>
  <si>
    <t>Anderson Julie Evans</t>
  </si>
  <si>
    <t>Aumento de suma asegurada del inmueble a quedar en USD $ 2,537,805.93</t>
  </si>
  <si>
    <t>EC // Ohtli 129-AP-001 // S.A. USD $ 1,331,629</t>
  </si>
  <si>
    <t>EC | Contrato Kautex 151-AP-002 | SA $62,271.00</t>
  </si>
  <si>
    <t xml:space="preserve"> 26300 30250601</t>
  </si>
  <si>
    <t>Chileno Bay Investment Group, LLC</t>
  </si>
  <si>
    <t>OC HV304 CBC Suma asegurada USD $6,452,764.95</t>
  </si>
  <si>
    <t>26300 30224007</t>
  </si>
  <si>
    <t>OC Hillside Building 13 ext. AL 30 07 2024 S.A. $4, 891,950 </t>
  </si>
  <si>
    <t>Barroso Riba Pablo</t>
  </si>
  <si>
    <t>Extensión de Vigencia al 30 de Noviembre 2024</t>
  </si>
  <si>
    <t>Opequimar S.A. de C.V.</t>
  </si>
  <si>
    <t>RC OPERADOR DE MARINA // PASEO DE LA MARINA 214 PUERTO VALLARTA, JAL // S.A. USD $ 3,500,000.00</t>
  </si>
  <si>
    <t>EC | Contrato Simac 5-AP-029 | SA USD $ 57,650.00</t>
  </si>
  <si>
    <t>EC | Contrato Mobajsa 336-AP-005 | SA USD $ 13,500.00</t>
  </si>
  <si>
    <t>EC // Aris 109-AF-003 // USD $ 6,194.00</t>
  </si>
  <si>
    <t>Chileno Ridge 3 L.L.C</t>
  </si>
  <si>
    <t>Casa Habitación Ridge Estate 03 edificio: $ 2,865,500.00 USD contenidos: $ 1,182,500.00 USD </t>
  </si>
  <si>
    <t>Dornbierer Arnus Marina</t>
  </si>
  <si>
    <t>Extensión vigencia al 31/08/2024 S.A. $51,074,186 Puebla No. 280,Roma Norte</t>
  </si>
  <si>
    <t>26300 30260057</t>
  </si>
  <si>
    <t>OC Cto 394 2023 Pool Park Construction ext. AL 31/07/2024 S.A. $1,356,429 </t>
  </si>
  <si>
    <t>Banca Mifel S.A. Fideicomiso 3519/2020</t>
  </si>
  <si>
    <t>Empresariales Bodega Aramburo FF&amp;E y OS&amp;E FS CDS</t>
  </si>
  <si>
    <t>26300 30249133</t>
  </si>
  <si>
    <t>Playa 3, LLC</t>
  </si>
  <si>
    <t>OC La Privada Lote 3 CBC Suma Asegurada USD $ 9,160,713.84</t>
  </si>
  <si>
    <t>26300 30226764</t>
  </si>
  <si>
    <t>Baja Group Taller de Arquitectura y Construccion S.R.L. de C.V.</t>
  </si>
  <si>
    <t>Coast 03 (Sc03),Fraccionamiento Rancho El Tule</t>
  </si>
  <si>
    <t>K6 44008050</t>
  </si>
  <si>
    <t>RC contrato 27 2024, flouring restaurant , El Do.</t>
  </si>
  <si>
    <t>Legorreta Cortina Alejandro Zacarias</t>
  </si>
  <si>
    <t>HOGAR // CDA. SIERRA VERTIENTES NO. 71 COL. LOMAS DE CHAPULTEPEC. CDMX   EDIF. USD $500,000.00  RC  USD $500,000.00</t>
  </si>
  <si>
    <t>100-0000080584-02</t>
  </si>
  <si>
    <t>Islas Angelica</t>
  </si>
  <si>
    <t>K6 44006563</t>
  </si>
  <si>
    <t>RC Cto 22 2024 Park Amenities S.A. $1,000,000.00</t>
  </si>
  <si>
    <t>100-0000080986-02</t>
  </si>
  <si>
    <t>Sky Business Empresarial, S.A. de C.V.</t>
  </si>
  <si>
    <t>RC Cto 429 2024 Construcció de Alberca en Beach Club 2 E nd A incremento SA</t>
  </si>
  <si>
    <t>K6 44007722</t>
  </si>
  <si>
    <t>RC Cto 25-2024 Beauty Salon Pods Remodelación $1,000,000.00</t>
  </si>
  <si>
    <t>26300 30268585</t>
  </si>
  <si>
    <t>OC Cto 411 2023 pickle ball ext. AL 27/09/2024 S.A. $83,851 </t>
  </si>
  <si>
    <t>IPC Electroconstructores S de RL de CV</t>
  </si>
  <si>
    <t>RC Cto 12 2024 Dry Utilities Restaurant El Dol $$ 105,426.68</t>
  </si>
  <si>
    <t>Mas Plomería y Albercas, S.A. de C.V.</t>
  </si>
  <si>
    <t>RC Cto 13 2024 Plumbing &amp; Gas Restaurant S.A $ 114,709.40 USD</t>
  </si>
  <si>
    <t>K6 44008309</t>
  </si>
  <si>
    <t>Cruz Espinoza Miguel Angel</t>
  </si>
  <si>
    <t>RC Cto 23 2024 Construcción Andadores de Arena W park y Kids Walking Palths</t>
  </si>
  <si>
    <t>VRTG DEVELOPMENT, S.A. DE C.V.</t>
  </si>
  <si>
    <t>Lote 21 South Coast Incluye trabajos de construcción (acabado) de camino de acceso a la obra S.A. $35,000,000</t>
  </si>
  <si>
    <t>Incluye trabajos de construcción (acabado) de camino de acceso a la obra S.A. $35,000,000</t>
  </si>
  <si>
    <t>RC Cto 16 2024 Park Swimming Pool Tuberias S.A. $ 256,802.51</t>
  </si>
  <si>
    <t>Gringo Hills L S.A. de C.V.</t>
  </si>
  <si>
    <t>Extender vigencia de la póliza al 7/12/2024 S.A. $97,500,000  Av. Veracruz No. 72 Roma Norte</t>
  </si>
  <si>
    <t>Alfa CR, S de R.L. de C.V.</t>
  </si>
  <si>
    <t>RC Cto 436 2024 Comfort Station Hole 10 CBC S.A. $ 374,325.79</t>
  </si>
  <si>
    <t>K6 44008162</t>
  </si>
  <si>
    <t>Maz Electricidad S.A. de C.V.</t>
  </si>
  <si>
    <t>RC Contrato No. 426-2024 Instalación Eléctrica Cisterna PH En El Desarrollo Chileno Bay Club, Cabo San Lucas, B.C. Sur.</t>
  </si>
  <si>
    <t>Eldol3 L.L.C.</t>
  </si>
  <si>
    <t>El Dol3, LLC. James Randall edificio: $ 6,534,000.00 USD contenidos: $ 1,207,580.00 USD </t>
  </si>
  <si>
    <t>Mark Donegan Y Pamela Teresa Donegan</t>
  </si>
  <si>
    <t>"Casa Habitación end incremento  valores contenidos suma a quedar contenidos $ 3,241,108.43 remoción de escombros $ 1204,110.84 "</t>
  </si>
  <si>
    <t>26300 30282337</t>
  </si>
  <si>
    <t>OC Cto 10 2024 remodelación restaurant El Dorado S.A.. $704,312 </t>
  </si>
  <si>
    <t>26300 30282364</t>
  </si>
  <si>
    <t>OC Cto 14 2024 water park &amp; pool En El Desarrollo El Dorado S.A. $1,671,168 </t>
  </si>
  <si>
    <t>MARD/00007037</t>
  </si>
  <si>
    <t>Fideicomiso Cabo del Sol Banamex 140819-2</t>
  </si>
  <si>
    <t>BAR / SEA DOO GTX LTD 230 / 2019 / SIN NOMBRE</t>
  </si>
  <si>
    <t>Barcos</t>
  </si>
  <si>
    <t>K6 44004598</t>
  </si>
  <si>
    <t>RC Cto 15 2024 Infraesytructura Hidrosanitaria Water Park El Dorado $ 500,293.39</t>
  </si>
  <si>
    <t>Southligth Mexico Advisers S.C.</t>
  </si>
  <si>
    <t>REEXPEDICION CAMBIO A SOUTHLIGHT // RC // ACTIVIDADES E INMUEBLE - ARRENDATARIO // S.A. USD $ 1,000.000.00</t>
  </si>
  <si>
    <t>EE // EQUIPO FIJO Y PORTATIL // S.A. $ 1,765,000.00 MN</t>
  </si>
  <si>
    <t>Equipo Electronico</t>
  </si>
  <si>
    <t>Ibarra Cabrera Ricardo</t>
  </si>
  <si>
    <t>Casa Habitación S.A. $ 4000000 MXN</t>
  </si>
  <si>
    <t>Gonzalez De Cossio Higuera Jimena</t>
  </si>
  <si>
    <t>Casa Habitación // BOSQUES DE ABETOS NO. 25. BOSQUES DE LAS LOMAS.   EDIF USD $400,000.00  RC USD $500,000.00</t>
  </si>
  <si>
    <t>Fettes Gregory</t>
  </si>
  <si>
    <t>Casa HabitaciónHV417 edificio: $ 6,809,325.00 USD contenidos: $ 620,000.00 USD </t>
  </si>
  <si>
    <t>Ec // emisión de póliza// carro de golf suma asegurada: $ 24,943.44 USD </t>
  </si>
  <si>
    <t>RC Cto 441 2024 Hard scape CBC</t>
  </si>
  <si>
    <t>Cuttler Sala Alexander</t>
  </si>
  <si>
    <t>Extensión de vigencia al 30/09/2024 S.A. $31,963,783 Antonio Maceo 16, Escandón</t>
  </si>
  <si>
    <t>Hala Ken Consulting S.A.P.I. de C.V.</t>
  </si>
  <si>
    <t>Extensión de vigencia al 1 de octubre 2024  Estación Metro Pantitlán. Manzana 021. Las Fuentes. Nezahualcóyotl. C.P. 57600</t>
  </si>
  <si>
    <t>Extender vigencia póliza al 1 de octubre 2024 Estación Metro Pantitlán. Manzana 021. Las Fuentes. Nezahualcóyotl. C.P. 57600</t>
  </si>
  <si>
    <t>Montaje</t>
  </si>
  <si>
    <t>TN // COBERTURA A BIENES A TRASLADAR PROYECTO LINEA 1 METRO CDMX // PAE $14,414,966.00 MN LMXE $ 2,000.000.00 MN</t>
  </si>
  <si>
    <t>RCPRO // PROYECTO LINEA 1 METRO CDMX // S.A. $14,414,966.00 MN</t>
  </si>
  <si>
    <t>Responsabilidad Civil Profesional</t>
  </si>
  <si>
    <t>Inmovitur S.A. de C.V.</t>
  </si>
  <si>
    <t>Asociacion de Condominos Reef Cabo del Sol A.C.</t>
  </si>
  <si>
    <t>Alta póliza HOA 12-13 Reef edificio: $ 5,168,524.62 USD contenidos: $ 1,431,871.13 USD</t>
  </si>
  <si>
    <t>RC - Supervición LMR USD $ 1,000,000</t>
  </si>
  <si>
    <t>Gaxiola De Haro Eloina</t>
  </si>
  <si>
    <t>Empresariales Edificio $17,208.47 MXN, Contenidos $374.69 MXN</t>
  </si>
  <si>
    <t>100-0000085450-03</t>
  </si>
  <si>
    <t>EC // Metalsa 145-AP-004 // S.A. USD $ 76,718.00</t>
  </si>
  <si>
    <t>K6 44004583</t>
  </si>
  <si>
    <t>RC Cto 17 2024 Dry Utilities Water Park ELDOL S.A. $ 418,736.21</t>
  </si>
  <si>
    <t>K6 44001084</t>
  </si>
  <si>
    <t>Campero Molina Mariana</t>
  </si>
  <si>
    <t>Casa Habitación / UNIFAMILIAR Incendio Edificio $1,500,000.00 RC $500,000.00</t>
  </si>
  <si>
    <t>Las Mañanitas HOA A.C.</t>
  </si>
  <si>
    <t>S.A. $24,345,000 USD fase I con 3 pisos Y 52 condominios fase II con 6 pisos Y 26 condominios Fase III con 5 pisos y 28 condominios edificio: $ 24,345,000.00 USD contenidos: $ 1,133,000.00 USD </t>
  </si>
  <si>
    <t>Consorcio Petrolero 5M del Golfo S.A.P.I. de C.V.</t>
  </si>
  <si>
    <t>RC general / S.A.  $2,300,000 Campo Cuitláhuac </t>
  </si>
  <si>
    <t>Greening Gestion Giga S.A. de C.V.</t>
  </si>
  <si>
    <t>Baja y Aumento de Ubicaciones</t>
  </si>
  <si>
    <t>Rotura de Maquinaria</t>
  </si>
  <si>
    <t>Fanlo Saturnino Sixto</t>
  </si>
  <si>
    <t>Casa Habitación Hillside Unit 4A contenidos: $ 110,000.00 USD </t>
  </si>
  <si>
    <t>Objper / 0.00 / 0.00 arte clavo a clavo suma asegurada USD $ 22,100.00 </t>
  </si>
  <si>
    <t>Objetos Personales</t>
  </si>
  <si>
    <t>Ec 1 carro DE golf Y 1 Moke S.A. $ 60,230.01 USD. Responsabilidad civil $ 1,000,000.00 USD </t>
  </si>
  <si>
    <t>100-0000063958-08</t>
  </si>
  <si>
    <t>EC // Kautex 151-AP-001 // S.A. USD $ 124,400.00</t>
  </si>
  <si>
    <t>Obras de arte incremento de suma asegurada, USD $ 987,869.00 </t>
  </si>
  <si>
    <t>Sanchez Navarro Redo Maria De Lourdes del Sagrado Corazon</t>
  </si>
  <si>
    <t>Empresariales //  CONDOMINIO SIERRA CANDELA 37 Y 41. LOMAS DE CHAPULTEPEC  SUMA ASEGURADA $10,000,000.00 MXN</t>
  </si>
  <si>
    <t>Levine Family Trust</t>
  </si>
  <si>
    <t>Obras de arte inclusión de 2 obras S.A. USD $232,522.50 </t>
  </si>
  <si>
    <t>K6 44007881</t>
  </si>
  <si>
    <t>RC Cto 443 2024 Instalación electrica</t>
  </si>
  <si>
    <t>Cove Club BV 7, LLC</t>
  </si>
  <si>
    <t>Ec 2 carros DE golf huelgas $ 10,840.88 USD responsabilidad civil $ 1,000,000.00 USD </t>
  </si>
  <si>
    <t>Barcarcel Quijano Mauricio</t>
  </si>
  <si>
    <t>Empresariales edificios: $ 2,500,000.00 USD contenidos: $ 358,720.00 USD Tonalá No. 127 Colonia Roma</t>
  </si>
  <si>
    <t>K6 44003612</t>
  </si>
  <si>
    <t>RC Cto 428 2024 Beach Club 2 fase 2</t>
  </si>
  <si>
    <t>100-0000075696-07</t>
  </si>
  <si>
    <t>EC // Metalsa 146-AS-001 // S.A. USD $111,198.00</t>
  </si>
  <si>
    <t>Chileno Re L.L.C</t>
  </si>
  <si>
    <t>Casa Habitación HV 317 edificio: $ 3,916,000.00 USD contenidos: $ 770,000.00 USD </t>
  </si>
  <si>
    <t xml:space="preserve">Castro Sergio </t>
  </si>
  <si>
    <t>Uhalley Mark Christopher</t>
  </si>
  <si>
    <t>BAR / Sea Ray / 350 SLX / SERV1942J617 / 2017 / Pendiente de informar Casco USD $ 220,000.00 RC USD $ 220,000.00</t>
  </si>
  <si>
    <t>Varo destileria S. de R.L. de C.V.</t>
  </si>
  <si>
    <t>Neibart Joyce Lynn</t>
  </si>
  <si>
    <t>Casa Habitación edificio: $ 4,964,000.00 USD contenidos: $ 1,000,000.00 USD Carr. Transpeninsular Km 15 Desarrollo Chileno Lt 117 Rancho El Tule Cabo San Lucas</t>
  </si>
  <si>
    <t>K6 44010062</t>
  </si>
  <si>
    <t>Construcciones Lizarraga S.A. de C.V.</t>
  </si>
  <si>
    <t>RC Cto 448-2024 Terracerias Mountain Side Fila 2</t>
  </si>
  <si>
    <t>Beltran Maldonado Ignacio</t>
  </si>
  <si>
    <t>Casa Habitación SUMA ASEGURADA Responsabilidad Civil Familiar $1,000,000.00 MXN</t>
  </si>
  <si>
    <t>Legado El Dorado LLC</t>
  </si>
  <si>
    <t>Casa Habitación casa124 El Dorado edificio: $ 6,300,000.00 USD contenidos: $ 1,100,000.00 USD </t>
  </si>
  <si>
    <t>100-0000067274-07</t>
  </si>
  <si>
    <t>EC // Bulk Tank 144-AP-001 Suma Asegurada $71,674.00</t>
  </si>
  <si>
    <t>Araiza Aguirre Alfonso</t>
  </si>
  <si>
    <t>RC SA  $ 250,000</t>
  </si>
  <si>
    <t>Baja de equipos electrónicos S.A. $1,184,440.09 m.n.  Rio Lerma No. 4 Piso 5 Núm. Int Cuauhtémoc</t>
  </si>
  <si>
    <t>Turtleno Bay, LLC</t>
  </si>
  <si>
    <t>Casa Habitación contenidos: $ 410,000.00 USD Carretera Transpeninsular Km 15 Auberge Yate Unit #2 . San José Del Cabo</t>
  </si>
  <si>
    <t>Ec 2 carros de golf Brian Goler S.A. $ 27,590.00 USD </t>
  </si>
  <si>
    <t>K6 44006726</t>
  </si>
  <si>
    <t>RC Cto 19 2024 Instalaciones Electricas Kids Club y Baños ELDO S.A. $1,000,000.00</t>
  </si>
  <si>
    <t>TRASLADO DE   ISOTANQUES</t>
  </si>
  <si>
    <t>Servicios Aereos Corporativos S.A. de C.V.</t>
  </si>
  <si>
    <t>AVI / MOONEY / M20C / 1965 / 2847 / XB-JVC/  RC $18,000,000</t>
  </si>
  <si>
    <t>Aviones</t>
  </si>
  <si>
    <t>Cabo 419 L.L.C.</t>
  </si>
  <si>
    <t>Casa Habitación HV419 Edificio: $ 3,388,000.00 USD Contenidos: $ 723,338.00 USD</t>
  </si>
  <si>
    <t>Marina De La Paz S.A. De C.V.</t>
  </si>
  <si>
    <t>aumento de  Suma  Asegurada</t>
  </si>
  <si>
    <t>Reforma Ciento Cincuenta S.A. de C.V.</t>
  </si>
  <si>
    <t>OC  REFORMA 150</t>
  </si>
  <si>
    <t>Sarur Servicios Integrales S.C.</t>
  </si>
  <si>
    <t>Empresariales S.A. $500,000 M.N.</t>
  </si>
  <si>
    <t>Bella Vista Properties, LLC</t>
  </si>
  <si>
    <t>Casa Habitación Hillside 10a Contenidos: $ 500,000.00 USD</t>
  </si>
  <si>
    <t>Fishing Are Us S. de R.L. de C.V.</t>
  </si>
  <si>
    <t>BAR / 0 / CACHI I, Luky 1, Luky2, Luky 3, PAMI 1 y Akali Beach 1 RC $ 2,000,000.00 USD</t>
  </si>
  <si>
    <t>SAC Cabo, LLC</t>
  </si>
  <si>
    <t>OC Ridge Estate 37 S.A.  USD $ 9,298,569.00</t>
  </si>
  <si>
    <t>alta de embarcacion  AKALI 5</t>
  </si>
  <si>
    <t>Condominio Torre La Toscana P.C.</t>
  </si>
  <si>
    <t>Empresariales // CONDOMINIO HABITACIONA CON LOCALES COMERCIALES / PASEO LA TOSCANA 777. ZAPOPAN JAL 45019 Incendi Edificio $400,000,000</t>
  </si>
  <si>
    <t>Inmobiliaria Merida 255 S.A. de C.V.</t>
  </si>
  <si>
    <t>Empresariales Suma Asegurada $ 10,168,000.00</t>
  </si>
  <si>
    <t>Ponce Nuñez Francisco</t>
  </si>
  <si>
    <t>Casa Habitación Incendio $1,500,000 RC $1,000,000</t>
  </si>
  <si>
    <t>RC, Desarrollo Chileno Bay KM 15 S/N, El Tule</t>
  </si>
  <si>
    <t>alta de  embarcacion  akali 5</t>
  </si>
  <si>
    <t>Arrendadora Monex S.A. de C.V</t>
  </si>
  <si>
    <t>Empresariales Incendio $ 6,869,610.00</t>
  </si>
  <si>
    <t>Chileno Bay Club Carr Transpeninsular Km 15 Lt Ridge Estate 19 Rancho El Tule S.A. USD $8,099,191.00</t>
  </si>
  <si>
    <t>Servicios de Autotransporte Cazama S.R.L. de C.V.</t>
  </si>
  <si>
    <t>RC AMBIENTAL  $750,000 USD</t>
  </si>
  <si>
    <t>RC   transporte   exceso S.A. $ 750,000.00</t>
  </si>
  <si>
    <t>Chileno-Lobos L.L.C</t>
  </si>
  <si>
    <t>Casa Habitación Re 17 Edificio: $ 7,500,000.00 USD Contenidos: $ 312,285.00 USD</t>
  </si>
  <si>
    <t>EC S.A. $313,900.00 USD</t>
  </si>
  <si>
    <t>Inmobiliaria Castellanos S.A. de C.V.</t>
  </si>
  <si>
    <t>Empresariales S.A. $ 20,000,000 USD</t>
  </si>
  <si>
    <t>CBC OE 16 L.L.C</t>
  </si>
  <si>
    <t>Casa Habitación //  Lote 16 Chileno Bay /  Carr Transpeninsular Km 15 Edificio: $ 5,426,334.35 USD Contenidos: $ 1,000,000.00 USD</t>
  </si>
  <si>
    <t>Instituto de Investigaciones Sociales S.C.</t>
  </si>
  <si>
    <t>Empresariales Incendio $4,843,348 RC $5,000,000</t>
  </si>
  <si>
    <t>Inzihua S.A. de C.V.</t>
  </si>
  <si>
    <t>Empresariales // Hotel "Aura Del Mar" - Eva Samano De Lopez Mateos 16a y 16b. Zihuatanejo edificio $18,000,000.00 MX RC $1,500,000.00 MX </t>
  </si>
  <si>
    <t>EC // EXCAVADORA JCB MOD. 2019 SERIE JCBJS22c2K2767825 // S.A. USD $ 115,000.00</t>
  </si>
  <si>
    <t xml:space="preserve">26300 30223231 </t>
  </si>
  <si>
    <t>OC obra civil estero Villas al  31/10/2024 S.A. $38,064,774 Carretera Transpeninsular Km 15 Sn, Rancho El Tule</t>
  </si>
  <si>
    <t>SI</t>
  </si>
  <si>
    <t>26300 30245930</t>
  </si>
  <si>
    <t>Disminución de suma asegurada en las 6 estero Villas USD $17,600,000 Chileno Bay Club Carretera Transpeninsular Km 15 Prototipo C Ev32 Ev33 Ev 34 Ev35 Núm. Int . Fraccionamiento Rancho El Tule</t>
  </si>
  <si>
    <t>Empresariales edificios: $ 30,001,451.50 USD contenidos: $ 11,745,015.02 USD </t>
  </si>
  <si>
    <t>Empresariales EDIFICIO: $ 30,001,451.50 USD CONTENIDOS: $ 11,745,015.02 USD</t>
  </si>
  <si>
    <t>628473464</t>
  </si>
  <si>
    <t>Ouragan S.A. de C.V.</t>
  </si>
  <si>
    <t>ME // almacén de ropa y telas, con corte, confección y diseño. Venta de ropa al mayoreo y menudeo edificio $45,500,000.00 RC $30,000,000.00 8 No. 15 Bis. Pisos 1 2 Y 3 Fracc. Industrial Alce Blanco, Naucalpan De Juarez México</t>
  </si>
  <si>
    <t>Dinámica en Equipo Industrial S.A de C.V</t>
  </si>
  <si>
    <t>Empresariales/  CVECA NA - 837 NAUCALPAN Incendio Edificio $10,162,803 contenidos $1,302,840 S.A. $24,158,161</t>
  </si>
  <si>
    <t>Empresariales/ GM70 CONGRESO S.A. $12,117,063</t>
  </si>
  <si>
    <t>Fomento atmosferico de la megalopolis dos S.A de C.V</t>
  </si>
  <si>
    <t>Empresariales/ Verificentro  CVECA EC - 838 ECATEPEC EDIFICIO $10,162,803 CONTENIDOS $1,302,840</t>
  </si>
  <si>
    <t>Fomento atmosférico de la megalópolis Uno S.A de C.V</t>
  </si>
  <si>
    <t>Empresariales/ CVECA EC - 839 NEZAHUALCOYOTL EDIFICIO $10,162,803, CONTENIDOS $1,302,840</t>
  </si>
  <si>
    <t>Zihuaquy sociedad cooperativa de lanchas de paseo Sociedad Cooperativa Limitada</t>
  </si>
  <si>
    <t>RC  ACTIVIDADES  / SA  $5000,000</t>
  </si>
  <si>
    <t>100-0000071297-03</t>
  </si>
  <si>
    <t>EC // Salina De Lobos 274-AP-005 // S,A  USD $ 111,118.00</t>
  </si>
  <si>
    <t>100-0000086367-00</t>
  </si>
  <si>
    <t>EC/ Nemak 2 // SA $1,634,028.00 USD</t>
  </si>
  <si>
    <t>D00-2-55-31072</t>
  </si>
  <si>
    <t>Weiss Eric Robert</t>
  </si>
  <si>
    <t>Casa Habitación Responsabilidad Civil Familiar $75,000.00 USD</t>
  </si>
  <si>
    <t>100-0000081696-01</t>
  </si>
  <si>
    <t>EC // Mopla 302-AP-011 // S.A. USD $ 55,400.00</t>
  </si>
  <si>
    <t>100-0000086364-00</t>
  </si>
  <si>
    <t>EC // Persal357-AP-003 // S,A  USD $ 64,500.00</t>
  </si>
  <si>
    <t>SMLXL S.A. DE C.V.</t>
  </si>
  <si>
    <t>RC CONTRATISTA REMODELACION LOCAL COMERCIAL PLAZA SAMARA - LMR $5,000,000 MXN</t>
  </si>
  <si>
    <t>K6 44001404</t>
  </si>
  <si>
    <t>Mc Clellan Troy Tomas</t>
  </si>
  <si>
    <t>Casa Del Mar Condominio Villa Del Sol 301 Fase 1  Incendio $100,000.00</t>
  </si>
  <si>
    <t>89-10955</t>
  </si>
  <si>
    <t>Productores Organicos Del Cabo S. de S.S. de R.L. de C.V.</t>
  </si>
  <si>
    <t>Empresariales Lote 26 Mza 7 A No. Ext. Sn , Las Veredas Edificio $10,000,000.00 MXN</t>
  </si>
  <si>
    <t>26300 30274391</t>
  </si>
  <si>
    <t>RLB Chileno Bay LLC</t>
  </si>
  <si>
    <t>Eq contratistas cancelación de póliza por venta S.A. $ 21,000.00 USD. </t>
  </si>
  <si>
    <t>Reyes Jacqueline</t>
  </si>
  <si>
    <t>597461953</t>
  </si>
  <si>
    <t>Casas Beach Villa C Edif C Sn Ocean Side Cancelación</t>
  </si>
  <si>
    <t>26300 30271928</t>
  </si>
  <si>
    <t>CH 79 Etradas 09 LLC</t>
  </si>
  <si>
    <t>Casa Habitación / / edificio 2,170,000 USD contenidos: $ 280,000.00 USD Cielos Palmilla Lote 79 Palmilla Carr. Transp. Km 27.5 Palmillas</t>
  </si>
  <si>
    <t>100-0000086690-00</t>
  </si>
  <si>
    <t>EC// Nemak 3 // S.A. USD $ 656,074.00</t>
  </si>
  <si>
    <t>26300 30271072</t>
  </si>
  <si>
    <t>Ec Moke 2021 S.A. $ 112,835.31 USD. </t>
  </si>
  <si>
    <t>111552899</t>
  </si>
  <si>
    <t>Sanchez Arvelaez Carlos Alberto</t>
  </si>
  <si>
    <t>Casa Habitación //  AV., DE LOS POETAS 100 MZ-TF LT-9. EJIDO SAN MATEO. CIUDAD DE MEXICO. C.P. 01600 Incendio $30,000,000  RC$5,000,000</t>
  </si>
  <si>
    <t>26300 30301183</t>
  </si>
  <si>
    <t>Mojarra y Sal S.A. de C.V.</t>
  </si>
  <si>
    <t>RC // Demolición parcial de 2 Casas De 2 Niveles. Medellín 362 Y 364 Col. Roma Sur. C.P. 06700</t>
  </si>
  <si>
    <t>26300 30163233</t>
  </si>
  <si>
    <t>Tame Ayub Nancy Lee</t>
  </si>
  <si>
    <t>Concreto / 4 / casa Habitación / departamento / Ahuehuetes # Sur 10-4, Bosque de las Lomas, Miguel Hidalgo S.A. $568,000 USD </t>
  </si>
  <si>
    <t>26300 30207124</t>
  </si>
  <si>
    <t>Arreola Steger Maria del Carmen</t>
  </si>
  <si>
    <t>Incendio // bodegas. BLVD. Fuente de Mares km 2.5 s/n. SeCtor 68. Chihuahua. Chih. Edificio: $ 6,583,011.90 m.n. </t>
  </si>
  <si>
    <t>Incendio</t>
  </si>
  <si>
    <t>100-0000081764-01</t>
  </si>
  <si>
    <t>EC // Simac 5-AP-025 // S.A. USD $ 24,922.00</t>
  </si>
  <si>
    <t>100-0000087232-06</t>
  </si>
  <si>
    <t>EC // Bexel 157-AP-001 //  S.A. USD $145,215.00 USD</t>
  </si>
  <si>
    <t>26300 30207053</t>
  </si>
  <si>
    <t>Putman Jimmy Dale</t>
  </si>
  <si>
    <t>Casa Habitación frac Querencia Caba edificio: $ 2,600,000.00 USD contenidos: $ 520,000.00 USD </t>
  </si>
  <si>
    <t>ANA011380000</t>
  </si>
  <si>
    <t>EMBRAER / Phenom 100 EV / 2021 / 500000428 / N258PV S.A. $15,000,000.00</t>
  </si>
  <si>
    <t>100-0000086656-00</t>
  </si>
  <si>
    <t>EC // Mopla 302-AP-012 // S.A. USD $ 112,968.00</t>
  </si>
  <si>
    <t>01-030-07017861-00000-01</t>
  </si>
  <si>
    <t>Culligan Water Mexico S.A. de C.V.</t>
  </si>
  <si>
    <t>TRA / Anual de Pronostico / VENTA DE EQUIPO E INSUMOS CAFETERIA S.A..$5,400,000.00 MXN</t>
  </si>
  <si>
    <t>Transportes</t>
  </si>
  <si>
    <t>100-0000086513-00</t>
  </si>
  <si>
    <t>EC // Penske 136-APMX-011 // S,A  USD $ 815,100.00</t>
  </si>
  <si>
    <t>Ec Polaris 2024 S.A. $ 42,000.00 USD </t>
  </si>
  <si>
    <t>FP Proyectos de Energia Renovable de Mexico S. de R.L. de C.V.</t>
  </si>
  <si>
    <t>RC Suma Asegurada $ 2,000,000.00 USD</t>
  </si>
  <si>
    <t>Alta 2 Ubicaciones con SA $1,072,510.00 USD</t>
  </si>
  <si>
    <t>ENA949990201</t>
  </si>
  <si>
    <t>Operadora Lagunera de Restaurantes S.A. de C.V.</t>
  </si>
  <si>
    <t>Empresariales Edificio $1,200,000.00 MXN Contenidos $300,000.00 MXN</t>
  </si>
  <si>
    <t>100-0000086550-00</t>
  </si>
  <si>
    <t>Mobajsa  336-AP-007</t>
  </si>
  <si>
    <t>EC // Mobinsa 6-AP-020 // S,A  USD $ 48,189.00</t>
  </si>
  <si>
    <t>26300 30234899</t>
  </si>
  <si>
    <t>Martin Del Campo Souza Juan Valente</t>
  </si>
  <si>
    <t>Casa Habitación // Alfonso Reyes no. 53-1404-A. Hipódromo Condesa // S.A edificio $ 10,746,000.00 MX RC $6,000,000.00 </t>
  </si>
  <si>
    <t>Davidson Family Trust</t>
  </si>
  <si>
    <t>Casa Habitación lote 1 Villa Davidson edificio: $ 7,271,000.00 USD contenidos: $ 1,738,000.00 USD </t>
  </si>
  <si>
    <t>CBR Hotel Owner S. de R.L. de C.V.</t>
  </si>
  <si>
    <t>Empresariales Auberge Hotel Edificios: $49,199,805.00  Contenidos: $7,112,288.00</t>
  </si>
  <si>
    <t>SV-CB Resort S.A. de C.V.</t>
  </si>
  <si>
    <t>Empresariales Auberge Residences  Edificios: $100,187,309.00 Contenidos: $8,220,330.00</t>
  </si>
  <si>
    <t>Operadora Hotel Esperanza S. de R.L. de C.V.</t>
  </si>
  <si>
    <t>Esperanza / terrorismo / Hotel Edificios: USD $ 49,564,348. Contenidos: USD $ 7,128,299.</t>
  </si>
  <si>
    <t>Terrorismo</t>
  </si>
  <si>
    <t>Hotel Esperanza: Carretera Transpeninsular km 7 S/N, Punta Ballena Edificios: USD $ 49, 564,348.19 Contenidos: USD $ 7, 128,299.04</t>
  </si>
  <si>
    <t>Hotel Esperanza: Carretera Transpeninsular Km 7 S/N, Punta Ballena Edificios: USD $ 49, 564,348.19 Contenidos: USD $ 7, 128,299.04 </t>
  </si>
  <si>
    <t>26300 30273034</t>
  </si>
  <si>
    <t>Administradora Casa del Mar I A.C.</t>
  </si>
  <si>
    <t>Condominio vertical / carretera transpeninsular km 19.5, Cabo, Los Cabos, Baja California Sur, México 23400 edif USD $ 12,700,000.00  RC USD $ 1,000,000.00 </t>
  </si>
  <si>
    <t>EE00000444</t>
  </si>
  <si>
    <t>Sunna Power Capital Management S.A.P. de C.V.</t>
  </si>
  <si>
    <t>EE SUMA ASEGURADA $36,450.00 USD</t>
  </si>
  <si>
    <t>AEy L.L.C.</t>
  </si>
  <si>
    <t>Casa Habitación RE-04 edificio USD $2,860,000.00, RC USD $2,000,000.00 </t>
  </si>
  <si>
    <t>Batiz Gaxiola María Belen</t>
  </si>
  <si>
    <t>HOGAR  HOMERO 1604 NUM INT 202.  /  Edificio $210,000.00</t>
  </si>
  <si>
    <t>26300 30273445</t>
  </si>
  <si>
    <t>Bloque Vc 01 S.A.P.I. de C.V.</t>
  </si>
  <si>
    <t>RC // Bloque VC 01 pozos higueras RC $2,866,323.89 </t>
  </si>
  <si>
    <t>26300 30273463</t>
  </si>
  <si>
    <t>RC ambiental RC USD $ 1,356,673.12 </t>
  </si>
  <si>
    <t>Nila Flores Pastor Miguel de Jesús</t>
  </si>
  <si>
    <t>SEGURO EMPRESARIAL / CALLE LEONA VICARIO, MZ, 83 /  SA  $16,537,500.00</t>
  </si>
  <si>
    <t>01-034-07001653-00000-01</t>
  </si>
  <si>
    <t>Medifly S.A. de  C.V.</t>
  </si>
  <si>
    <t>AVI / CESSNA / 414A / 1981 / 414A0815 / N414NJ</t>
  </si>
  <si>
    <t>100-0000082062-01</t>
  </si>
  <si>
    <t>EC // Mobinsa 6-AP-013 // S.A. USD $ 184,231</t>
  </si>
  <si>
    <t>100-0000078718-02</t>
  </si>
  <si>
    <t>EC // Pactiv 210-AP-005 // S.A. USD $ 53,795.00</t>
  </si>
  <si>
    <t>100-0000082063-01</t>
  </si>
  <si>
    <t>EC // Aspi 344-AFMXP-001 // S.A. USD $ 38,500.00</t>
  </si>
  <si>
    <t>26300 30237878</t>
  </si>
  <si>
    <t>Condominio Mar Azul dos Playas P En C</t>
  </si>
  <si>
    <t>ME // Condominio Mar Azul - Av. Costera Guitarrón lote 5-d. Las brisas. Acapulco, gro. 39888 edificio $142,500,000.00MXN RC $20,000,000.00MXN </t>
  </si>
  <si>
    <t>RC desarrollo RC $5,000,000.00 USD </t>
  </si>
  <si>
    <t>26300 30274177</t>
  </si>
  <si>
    <t>Decoraciones Sepulveda  S.A. de C.V.</t>
  </si>
  <si>
    <t>OC // remodelación de departamento - Rubén Darío 175 piso 10. Polanco CDMX // S.A. $ 37,227,976.00 MX </t>
  </si>
  <si>
    <t>01-074-07030234-00000-01</t>
  </si>
  <si>
    <t>Hitecsa S.A. de C.V.</t>
  </si>
  <si>
    <t>RC $5,000,000 MXN - ADECUACION MANTENIMIENTO DE LUMINARIAS CARRETERAS</t>
  </si>
  <si>
    <t>01-030-07002947-00000-07</t>
  </si>
  <si>
    <t>Ploca S.A. de C.V.</t>
  </si>
  <si>
    <t>TRA / Anual de Pronostico // ARTICULOS DE PLOMERIA //Edificio PAE $4,707,000.00 LMXE $250,000.00</t>
  </si>
  <si>
    <t xml:space="preserve">263000 30274532 </t>
  </si>
  <si>
    <t>El Dorado Seccion 2 Asociacion de Condominio Maestro A.C.</t>
  </si>
  <si>
    <t>Dúplex 101 102 110 Y 111 renovación El Dorado edificio $ 14,520,000.00 USD </t>
  </si>
  <si>
    <t>26300 30274578</t>
  </si>
  <si>
    <t>El Dorado Seccion 1 Asociacion de Condominio Maestro A.C</t>
  </si>
  <si>
    <t>Dúplex units 154, 155, 219 Y 220 El Dorado suma asegurada edificio $14,520,000.00 USD </t>
  </si>
  <si>
    <t>26300 30282391</t>
  </si>
  <si>
    <t>Empresariales Hillside Edificio 12 CBC Edificio: $ 5,779,061.47 USD Contenidos: $ 458,429.63 USD </t>
  </si>
  <si>
    <t>26300 30284317</t>
  </si>
  <si>
    <t>Casa Habitación HOA Hillside Edificio 11 Edificio: $ 5,167,055.18 USD Contenidos: $ 383,565.27 USD </t>
  </si>
  <si>
    <t>26300 30281506</t>
  </si>
  <si>
    <t>Empresariales Edificios: $ 5,610,819.44 USD Contenidos: $ 452,164.97 USD Chileno Bay Club Carretera Transpeninsular Km 15 S/N Hillside Building 10 (Unidades 10a Y 10b) El Tule</t>
  </si>
  <si>
    <t>26300 30274319</t>
  </si>
  <si>
    <t>Incendio Hillside edificio 5 edificio: $ 6,407,987.72 USD contenidos: $ 609,861.93 USD </t>
  </si>
  <si>
    <t>26300 30274939</t>
  </si>
  <si>
    <t>Incendio Hillside edificio 6 edificio: $ 6,989,811.23 USD contenidos: $ 572,732.31 USD </t>
  </si>
  <si>
    <t>26300 30274989</t>
  </si>
  <si>
    <t>Incendio Hillside edificio 7 edificio: $ 7,224,009.58 USD contenidos: $ 580,534.51 USD </t>
  </si>
  <si>
    <t>26300 30274890</t>
  </si>
  <si>
    <t>Incendio Hillside edificio 8 edificio: $ 6,999,315.18 USD contenidos: $ 560,435.85 USD </t>
  </si>
  <si>
    <t>26300 30274943</t>
  </si>
  <si>
    <t>Incendio Hillside EDIFICIO 9 edificio: $ 5,707,912.14 USD contenidos: $ 363,544.49 USD </t>
  </si>
  <si>
    <t>26300 30274346</t>
  </si>
  <si>
    <t>Incendio Hillside edificio 1 edificio: $ 5,467,994.50 USD contenidos: $ 515,564.92 USD </t>
  </si>
  <si>
    <t>26300 30274364</t>
  </si>
  <si>
    <t>Incendio Hillside building 2 edificio: $ 9,443,272.83 USD contenidos: $ 872,137.86 USD </t>
  </si>
  <si>
    <t>26300 30274266</t>
  </si>
  <si>
    <t>Incendio Hillside edificio 3 edificio: $ 4,649,428.29 USD contenidos: $ 534,072.10 USD </t>
  </si>
  <si>
    <t>26300 30274300</t>
  </si>
  <si>
    <t>Incendio Hillside edificio 4 edificio: $ 8,457,028.78 USD contenidos: $ 756,777.79 USD </t>
  </si>
  <si>
    <t>100-0000081963-01</t>
  </si>
  <si>
    <t>EC // JV 4-AP-031 // S.A. USD $93,194.00</t>
  </si>
  <si>
    <t>INCE/1223-5</t>
  </si>
  <si>
    <t>Cibanco S.A. de Institucion de Banca Multiple Formely Bank Of New york Mellon</t>
  </si>
  <si>
    <t>HOA Incendio 2024 2025 Edificio $160,536,072 Contenidos $24,893,198</t>
  </si>
  <si>
    <t>HOA incendio 2024 2025 edificio $160,536,072 contenidos $24,893,198 </t>
  </si>
  <si>
    <t>Club Incendio Incremento SA y asegurados adicionales</t>
  </si>
  <si>
    <t>Club incendio incremento S.A y asegurados adicionales edificio $41,600,789 contenidos $17,486,910 Carretera Transpeninsular Km 21 S/N Col.Cabo Real C.P. 23405 Los Cabos Baja California Sur</t>
  </si>
  <si>
    <t>26300 30274587</t>
  </si>
  <si>
    <t>Administradora de Sub-Condominio Uno CBC A.C.</t>
  </si>
  <si>
    <t>Casa Habitación edificio: $ 8,643,281.22 USD contenidos: $ 183,826.26 USD </t>
  </si>
  <si>
    <t>26300 30238332</t>
  </si>
  <si>
    <t>Administradora de Sub-condominio Beach Casitas CBC A.C.</t>
  </si>
  <si>
    <t>Empresariales HOA Beach Casitas suma asegurada $151,080.76, RC $500,000.00 </t>
  </si>
  <si>
    <t>26300 30207810</t>
  </si>
  <si>
    <t>Administradora de Sub-condominio Oceanside A.C.</t>
  </si>
  <si>
    <t>HOA Oceanside edificios A, B Y C suma asegurada $14,000,000.00 RC $3,000,000.00 </t>
  </si>
  <si>
    <t>Administradora de Condominios CBC A.C.</t>
  </si>
  <si>
    <t>Empresariales HOA la privada suma asegurada $1,006,124.00 RC $1,000,000.00 </t>
  </si>
  <si>
    <t>Jaramillo Parra Nicolas</t>
  </si>
  <si>
    <t>Casa Habitación edificio $2,600,000.00 USD, RC ARRENDATARIO $1,000,000.00 Condominio Santa Fe 1 Torre 3 Depto. 5 Francisco Tembleque # 108 Santa Fe Cuajimalpa</t>
  </si>
  <si>
    <t>K6 44002721</t>
  </si>
  <si>
    <t>CEV Converde SRL de CV</t>
  </si>
  <si>
    <t>RC CONTAMINACION LOCALES // SA USD $ 250,000.00</t>
  </si>
  <si>
    <t>100-0000082006-01</t>
  </si>
  <si>
    <t>EC // Mill 341-AF-001 // S.A. USD $ 33,730.00</t>
  </si>
  <si>
    <t>01-035-03111041-00000-15</t>
  </si>
  <si>
    <t>Enrique Tellez Kuenzler y/o Eduardo Estebes</t>
  </si>
  <si>
    <t>BAR / HUNTER / H216 / HUN22274D404 / 2004 / NUNDIK Casco USD $ 12,000.00 Rc USD $ 12,000.00</t>
  </si>
  <si>
    <t>01-035-03114127-00000-14</t>
  </si>
  <si>
    <t>Tellez Kuenzler Enrique Gerardo</t>
  </si>
  <si>
    <t>EMBARCACION PRIVADO Y PLACER (LANCHA) ANDILU MARCA BOSTON WHALER AÑO 2000 Casco USD $ 22,000.00 RC USD $ 22,000.00</t>
  </si>
  <si>
    <t>100-0000076821-02</t>
  </si>
  <si>
    <t>EC // Momatosa 134-AP-006 // S.A. USD $ 104,773.00</t>
  </si>
  <si>
    <t>100-0000076822-02</t>
  </si>
  <si>
    <t>EC // JV 4-AP-023 // S.A. USD $ 36,616.00</t>
  </si>
  <si>
    <t>01-030-07011010-00000-03</t>
  </si>
  <si>
    <t>TRANSP // ROPA, TELAS, MATERIA PRIMA, MAQUINARIA Y MAQUILA - EXPT E IMPT // PAE USD $ 4,000,000.00 LMXE USD $ 500,000.00</t>
  </si>
  <si>
    <t>26300 30294495</t>
  </si>
  <si>
    <t>Impulsora San Bartolo S.A. de C.V.</t>
  </si>
  <si>
    <t>RC contratista // Construcción protección para cruzamiento de gasoducto. Cactus-San Fernando. Ver.</t>
  </si>
  <si>
    <t>26300 30294869</t>
  </si>
  <si>
    <t>RC contratista // Construcción protección para cruzamiento de 2 Oleoductos De Pemex Medellin, Ver</t>
  </si>
  <si>
    <t>K6 44003179</t>
  </si>
  <si>
    <t>Albarran Vallarta  S.A. de C.V.</t>
  </si>
  <si>
    <t>ME // LOCAL DE VENTA DE LLANTAS Y TALLER AUTOMOTRIZ // CARR A LAS PALMAS SN. COL. GUADALUPE VICTORIA. PUERTO VALLARTA. JA Edificio MXN $1,575,000.00 RC MXN $2,000,000.00</t>
  </si>
  <si>
    <t>Daños</t>
  </si>
  <si>
    <t>100-0000086689-00</t>
  </si>
  <si>
    <t>EC | Obajsa 336-AP-008 AP-009 AP-010 // SA $109,708.00 USD</t>
  </si>
  <si>
    <t>26300 30165856</t>
  </si>
  <si>
    <t>Chileno Bay Casita L.L.C</t>
  </si>
  <si>
    <t>Casa Habitación de Club Casita 4A edificio: $ 3,146,000.00 USD contenidos: $ 633,820.00 USD maquinaria: $ 24,200.00 USD </t>
  </si>
  <si>
    <t>ME // CONSULTORIO OFC 510 DURAZNOS 65 PISO E2. BOL BOSQUE DE LAS LOMAS. CDMX // EDIF S.A  $ 3,600,000.00 MN MN RC $ 5,000,000.0 MN</t>
  </si>
  <si>
    <t>22 degrees L.L.C.</t>
  </si>
  <si>
    <t>Casa Habitación CDS club Villa 06 RC  $200,000.00 </t>
  </si>
  <si>
    <t>Obras de arte CDS 06 S.A.$22,100.00 </t>
  </si>
  <si>
    <t>NCGL-1001736</t>
  </si>
  <si>
    <t>Discovery Builders Los Cabos S. De R.L. De C.V.</t>
  </si>
  <si>
    <t>GL Wrap Inclusión Ridge Estate 16</t>
  </si>
  <si>
    <t>26300 30183202</t>
  </si>
  <si>
    <t>Inmobiliaria Filadelfia S. de R.L. de C.V.</t>
  </si>
  <si>
    <t>Empresariales // inmueble ocupado por locales comerciales / Insurgentes Sur 729 local B, C Y D CDMX edificio $25,936,400.00 </t>
  </si>
  <si>
    <t>100-0000082049-01</t>
  </si>
  <si>
    <t>EC // Momatosa 134-AP-010 //  S.A. USD $ 237,952.00</t>
  </si>
  <si>
    <t>100-0000086724-00</t>
  </si>
  <si>
    <t>EC // Gmobinsa 85-AP-002 // S.A. USD $ 121,400.00</t>
  </si>
  <si>
    <t>100-0000082050-01</t>
  </si>
  <si>
    <t>EC // Mobinsa 6-AP-021 // SA $36,683.75 USD</t>
  </si>
  <si>
    <t>Casa Habitación/Popocatépetl 435-A 1004, Santa Cruz Atoyac Edificio $5,000,000.00</t>
  </si>
  <si>
    <t>26300 30237921</t>
  </si>
  <si>
    <t>SHD One Investments L.L.C..</t>
  </si>
  <si>
    <t>Ec S.A. $ 78,980.00 USD </t>
  </si>
  <si>
    <t>K6 44002575</t>
  </si>
  <si>
    <t>Empresariales / Oficinas Toyota - Av. 5 de febrero 1351 Int 202. Queretaro. C.P. 76120 Edificio $1,729,388 Contenidos $535,000</t>
  </si>
  <si>
    <t>26300 30275176</t>
  </si>
  <si>
    <t>Empresarial/ Veracruz Coatzacoalcos Veracruz  cp. 96470/  S.A.  $2,900,000.00 </t>
  </si>
  <si>
    <t>Seguro para operadores de terminal /autoridad portuaria. S.A. USD 9,000,000 </t>
  </si>
  <si>
    <t>4-MEQ-00000417-01</t>
  </si>
  <si>
    <t>alta de   equipo modelo  VS-15000SC-175CS</t>
  </si>
  <si>
    <t>4-MEQ-00000418-01</t>
  </si>
  <si>
    <t>RM /MAQUINARIA Y EQUIPO / SA   US$ 1,350,000.00 /48  EQUIPOS</t>
  </si>
  <si>
    <t>Glass Beach L.L.C</t>
  </si>
  <si>
    <t>Casa Habitación Hillside 2C suma asegurada $880,000.00, RC, USD $1,000,000.00 </t>
  </si>
  <si>
    <t>4-MEQ-00000422-01</t>
  </si>
  <si>
    <t>RM</t>
  </si>
  <si>
    <t>K6 44002503</t>
  </si>
  <si>
    <t>Sucharitkul Stefania</t>
  </si>
  <si>
    <t>BAR / TIARA / 3800 OPEN / SSUR8222J405 / 2005 / PINGUINA Casco  $ 230,000.00, RC  $ 230,000.00</t>
  </si>
  <si>
    <t>Chileno Casa L.L.C</t>
  </si>
  <si>
    <t>Casa Habitación Villa Hickok suma asegurada $ 750,000.00 </t>
  </si>
  <si>
    <t>Emerging Methane Solutions S.A. de C.V.</t>
  </si>
  <si>
    <t>baja  de   equipo  UNIT 17 FLIR GF 320</t>
  </si>
  <si>
    <t>Warren Robin Grace</t>
  </si>
  <si>
    <t>Empresariales // Casa Amare daños materiales del inmueble $ 4,500,000.00, RC  $ 1,000,000.00 </t>
  </si>
  <si>
    <t>Yumka S.A de C.V.</t>
  </si>
  <si>
    <t>K6 44008786</t>
  </si>
  <si>
    <t>E Soluciones, S. de R.L.</t>
  </si>
  <si>
    <t>RC Cto 442 2024 Instalación de IT &amp; CCTV en el Sand Bar CBC</t>
  </si>
  <si>
    <t>100-0000073253-03</t>
  </si>
  <si>
    <t>EC //  TRACTOR JOHN DERE 1977 MOD. 3020 SERIE SNT 113R071696R Y CORTADORA ROTATIVA RHINO S: 13759 // SA $225,769.78 MN</t>
  </si>
  <si>
    <t>NCGL-070-1002086-0-1</t>
  </si>
  <si>
    <t>RC Hotel Four Seasons S.A. $5,000,000.00</t>
  </si>
  <si>
    <t>D00-2-49-91279</t>
  </si>
  <si>
    <t>HSBC Mexico S.A. Institucion de Banca Multiple Grupo Financiero HSBC. Division Fiduciaria F/303224</t>
  </si>
  <si>
    <t>ALTA DE 6 CASAS DE LA SECC. G MZ. 1 //  S.A. $ 13,768,483.38</t>
  </si>
  <si>
    <t>100-0000086909-00</t>
  </si>
  <si>
    <t>EC // JV 4-AP-039 // S.A. USD $404,545.48</t>
  </si>
  <si>
    <t>100-0000086910-00</t>
  </si>
  <si>
    <t>EC // Asesoria Y Diseño 415-AP-001 // S.A. USD $52,386.86</t>
  </si>
  <si>
    <t>Casa Habitación hacienda Villa 421 Zachary Alan Hyman edificio: $ 3,588,376.00 USD contenidos: $ 906,411.00 USD </t>
  </si>
  <si>
    <t>TRANSPORTE  / SA $ 3,000,000</t>
  </si>
  <si>
    <t>26300 30274872</t>
  </si>
  <si>
    <t>Casa Habitación CBC lote 103 Casa Feder suma asegurada $ 5460000 </t>
  </si>
  <si>
    <t>01-041-07002377-00000-01</t>
  </si>
  <si>
    <t>RC // SUMINISTRO Y COLOCACION DE SEÑALES SP LAMINA DE CALIBRE / S,A, $ 4,335,814.00 MN</t>
  </si>
  <si>
    <t>100-0000082152-01</t>
  </si>
  <si>
    <t>EC Tmmg 201-AP-006 // SA USD $ 223,060.92</t>
  </si>
  <si>
    <t>100-0000076343-04</t>
  </si>
  <si>
    <t>EC // Bexel 157-AP-004 // S.A. USD  $ 31,085.50</t>
  </si>
  <si>
    <t>Rio Escondido 233 A.C.</t>
  </si>
  <si>
    <t>Empresariales // CONJUNTO RESIDENCIAL DE 10 CASAS Y EDIFICIO DE 4 PISOS CON 2 DEPTOS POR PISO. Incendio $ 68,000,000 RC $10,000,000</t>
  </si>
  <si>
    <t>26300 30277502</t>
  </si>
  <si>
    <t>Komproca S.A. DE C.V.</t>
  </si>
  <si>
    <t>Me // oficina ventas - Av. presidente Juarez 2007 lote 10 - 1 piso. Frac Industrial los Reyes Tlalnepantla. Edo México   contenidos $ 100,000.00 MX -  RC $ 5,000,000.00 MX </t>
  </si>
  <si>
    <t>Magdub Dominguez Magaly Del Socorro</t>
  </si>
  <si>
    <t>BAR / SEAHUNT / Triton 232 CC / USCTC07172F010 / 2006 / Spearo 3 Casco: USD $ 27,500.00</t>
  </si>
  <si>
    <t>Hacienda Rosa L.L.C</t>
  </si>
  <si>
    <t>Casa Habitación RE13 CBC edificio: $ 3,668,000.00 USD contenidos: $ 353,821.00 USD </t>
  </si>
  <si>
    <t>26300 30277931</t>
  </si>
  <si>
    <t>FIDEICOMISO 7338/2023 GFM</t>
  </si>
  <si>
    <t>RC LMR $5,000,000 MXN - Hotel California </t>
  </si>
  <si>
    <t>K6 44002841</t>
  </si>
  <si>
    <t>Legorreta Chauvet Alejandro</t>
  </si>
  <si>
    <t>Casa Habitación // CAM REAL A QUERATARO 156 CASA 30. GTO  Edificio  $ 397,000.00 RC  $ 200,000.00, ARTE Y OBJ VALOR: USD 280,000.00</t>
  </si>
  <si>
    <t>Diaz Norma Alicia</t>
  </si>
  <si>
    <t>BAR // SEA RAY 350 SLX 2020 MATRICULA DL4577AM  // S.A. USD $ 305,000.00</t>
  </si>
  <si>
    <t>01-041-07002339-00000-01</t>
  </si>
  <si>
    <t>RC // COLOCACION DE PARAPETO METALICO EN AUTOP ARMERIA-MANZANILLO. COL. // SA 3,088,324.16 MN</t>
  </si>
  <si>
    <t>01-035-07000678-00000-06</t>
  </si>
  <si>
    <t>Vallarta Adventure S.A. de C.V.</t>
  </si>
  <si>
    <t>Embarcaciones  69 /  SA  de  USD $ 16,192,475.00</t>
  </si>
  <si>
    <t>01-035-07000373-00000-08</t>
  </si>
  <si>
    <t>Aventuras y Expediciones de Los Cabos S.A. de C.V.</t>
  </si>
  <si>
    <t>BAR / embarcaciones  46/ SA   USD $ 9,002,429.40</t>
  </si>
  <si>
    <t>01-035-07000372-00000-08</t>
  </si>
  <si>
    <t>Cancun Sea Aventures S.A.P.I. de C.V.</t>
  </si>
  <si>
    <t>BAR //  21 EMBARCACIONES // SUMA TOTAL: USD $ 10,280,383.36</t>
  </si>
  <si>
    <t>100-0000082204-01</t>
  </si>
  <si>
    <t>EC // Conservas 000348AP-001 // SA USD $ 65,262.00</t>
  </si>
  <si>
    <t>ANA011500000</t>
  </si>
  <si>
    <t>Baltashar S.A. de C.V.</t>
  </si>
  <si>
    <t>AVI / 0 Casco Aeronaves  USD $3,000,000.00, RC   $ 15,000,000.00</t>
  </si>
  <si>
    <t>RC Ambiental RC CON LMR $1,000,000 DOLARES</t>
  </si>
  <si>
    <t>100-0000087028-00</t>
  </si>
  <si>
    <t>Baja de inciso 3 montacargas Toyota comb interna MOD 8FGU25 SERIE C6668 S.A. USD $ 30,000.00</t>
  </si>
  <si>
    <t>26300 30215927</t>
  </si>
  <si>
    <t>Vivienda e Innovacion de Occidente Grupo Vio  S. de R.L. de C.V.</t>
  </si>
  <si>
    <t>Extensión de vigencia al 25/03/2025. Ajuste de valor de obra a quedar en $72,266,547.00 Av. México No. 109,Jarretaderas,Bahia De Banderas Nayarit C.P. 63735</t>
  </si>
  <si>
    <t>01-035-07001265-00000-04</t>
  </si>
  <si>
    <t>Esses Cohen Moises</t>
  </si>
  <si>
    <t>BAR / Nautique / Super Air Nautique 210 / USCTC07172F010 / 2010 / MAR1 Casco  $ 80,000.00, RC  $ 80,000.00.</t>
  </si>
  <si>
    <t>1-400-400003693-4</t>
  </si>
  <si>
    <t>MNJ Operadora S.A.P.I de C.V.</t>
  </si>
  <si>
    <t>EE Equipo Electronico $4,693,721.97 MXN</t>
  </si>
  <si>
    <t>BAR Wave Runners / Yamaha / VX1050B-YA / US-YAMA2145A323 / 2023  S.A Casco $15,618.00 Dlls</t>
  </si>
  <si>
    <t>100-0000077141-02</t>
  </si>
  <si>
    <t>EC // JV 4-AP-024 // S.A. USD $ 36,060.92</t>
  </si>
  <si>
    <t>Desarrolladora Puerta Bosques Las Oficinas S.A. de C.V.</t>
  </si>
  <si>
    <t>EXTENSION DE VIGENCIA AL 30/03/2025</t>
  </si>
  <si>
    <t>100-0000077088-02</t>
  </si>
  <si>
    <t>EC // Simac 5-AP-020 // S.A. USD $ 25,235.00</t>
  </si>
  <si>
    <t xml:space="preserve">Obra Civil / Property </t>
  </si>
  <si>
    <t>26300 30238476</t>
  </si>
  <si>
    <t>OC construcción de cocheras HS 4c y HS 22 PH ext. AL 30 10 2024 S.A. $948,210 </t>
  </si>
  <si>
    <t>Cobertura provisional S.A. $10,343,821  Chileno Bay Club Carretera Transpeninsular Km 15south Coast 03 (Sc03),Fraccionamiento Rancho El Tule</t>
  </si>
  <si>
    <t>100-0000088819-00</t>
  </si>
  <si>
    <t>Contrato 000004-AP-032 y 000004-AP-033 J.V. Abastecedora De Montacargas | S.A. USD $421,767</t>
  </si>
  <si>
    <t>26300 30275862</t>
  </si>
  <si>
    <t>Cabo Villa L.L.C.</t>
  </si>
  <si>
    <t>Casa Habitación HV401 edificio $ 3,823,600, RC $ 4,731,100.00 </t>
  </si>
  <si>
    <t>26300 30186557</t>
  </si>
  <si>
    <t>KH&amp;CH Cabo L.L.C</t>
  </si>
  <si>
    <t>Casa Habitación // lote 21 Desarrollo Maravilla, (Casa Harvey). Los Cabos, B.C.S.edificio $ 7,192,000.00 RC $ 2,000,000.00 </t>
  </si>
  <si>
    <t>MARD00007188</t>
  </si>
  <si>
    <t>Chileno Azul L.L.C</t>
  </si>
  <si>
    <t>BAR / 2021/ IVB01033J021  Suma Asegurada  $ 850,000, RC  $ 1,010,000.00</t>
  </si>
  <si>
    <t>01-05-011091-000-02</t>
  </si>
  <si>
    <t>Jem Mexico L.L.C</t>
  </si>
  <si>
    <t>RC Actividades e inmuebles Lote 229 El Dorado Inmuebles $1,000,000.00 USD RC Contaminación $250,000.00 USD</t>
  </si>
  <si>
    <t>26300 30278093</t>
  </si>
  <si>
    <t>Baja Jaja L.L.C.</t>
  </si>
  <si>
    <t>Casa Habitación // Casa Cruz- Desarrollo MaraVilla Lote 51. Carr. Transpeninsular km 12.5 Cabo San Lucas B.C.S.edificio $ 18,029,000.00,  RC  $ 100,000.00 </t>
  </si>
  <si>
    <t>26300 30277968</t>
  </si>
  <si>
    <t>Servicios Administrativos Flosol S.A. de C.V.</t>
  </si>
  <si>
    <t>Alta agencia automotriz (Jetour Tepic) // de los Insurgentes pte 608. Estadios. Tepic, Nay.  Edificio: $ 446,137,304.03 MX contenidos: $ 256,825,927.12 MX </t>
  </si>
  <si>
    <t>4-RCF-10000652-01</t>
  </si>
  <si>
    <t>SKY LEASING SAPI DE CV</t>
  </si>
  <si>
    <t>D&amp;O LMR $1,000,000 USD</t>
  </si>
  <si>
    <t>26300 30280115</t>
  </si>
  <si>
    <t>Villa 53, LLC</t>
  </si>
  <si>
    <t>Casa Habitación Casa Villa 53 La Mandarina edificio: $ 4,850,000.00 USD contenidos: $ 700,000.00 USD </t>
  </si>
  <si>
    <t>100-0000085450-04</t>
  </si>
  <si>
    <t>26300 30278486</t>
  </si>
  <si>
    <t>Golden Cliffs, LLC</t>
  </si>
  <si>
    <t>Casa Habitación Santa María lote 1 maravilla edificio: $ 7,000,000.00 USD contenidos: $ 2,250,000.00 USD </t>
  </si>
  <si>
    <t>26300 30241480</t>
  </si>
  <si>
    <t>ME // Condominio Villas Aura Del Mar - Eva Samano Lote 68-b. La madera. Zihuatanejo. Gro. // edificio MXN $17,000,000.00 RC MXN $10,000,000.00 </t>
  </si>
  <si>
    <t>100-0000087230-00</t>
  </si>
  <si>
    <t>EC // Mopla 302-AP-022 // Suma Asegurada $600,829.00 USD</t>
  </si>
  <si>
    <t>100-0000087240-00</t>
  </si>
  <si>
    <t>EC // 413-AF-001 // Suma Asegurada $36,106.00 USD</t>
  </si>
  <si>
    <t>26300 30241621</t>
  </si>
  <si>
    <t>Banco J.P Morgan S.A. Institucion de Banca Multiple J.P. Grupo Financiero</t>
  </si>
  <si>
    <t>RC trabajos menores suma asegurada $1,000,000.00 </t>
  </si>
  <si>
    <t>100-0000087243-00</t>
  </si>
  <si>
    <t>EC// Arizlu 42-AP-017 // S.A. $35,995 USD</t>
  </si>
  <si>
    <t>100-0000087245-00</t>
  </si>
  <si>
    <t>EC// Mobinsa 6-AP-022 // S.A. $33,873.44 USD</t>
  </si>
  <si>
    <t>100-0000087239-00</t>
  </si>
  <si>
    <t>EC// M&amp;M Arcos 68-AP-002 // S.A. $39,200 USD</t>
  </si>
  <si>
    <t>100-0000082406-01</t>
  </si>
  <si>
    <t>EC // Ohtli X2 // SA USD $ 700,298.00</t>
  </si>
  <si>
    <t>01-035-07001539-00000-03</t>
  </si>
  <si>
    <t>Olvera Alonso Cesar Armando</t>
  </si>
  <si>
    <t>BAR / Bayliner / 325SB / BVKA84SG506 / 2006 / Bar-Co USD $ 58,500.000</t>
  </si>
  <si>
    <t>01-035-07001537-00000-03</t>
  </si>
  <si>
    <t>BAR // "GOOD LIFE" - BAYLINER 340 SB 2008 /*/ S.A. USD $ 85,000.00</t>
  </si>
  <si>
    <t>100-0000075696-08</t>
  </si>
  <si>
    <t>26300 30278896</t>
  </si>
  <si>
    <t>Ec suma asegurada $ 29,748.75 </t>
  </si>
  <si>
    <t>26300 30278823</t>
  </si>
  <si>
    <t>Darya Partners II L.L.C</t>
  </si>
  <si>
    <t>Casa Habitación Villa 236 El Dorado edificio $ 6,172,650.00 RC $ 7,052,650.00 </t>
  </si>
  <si>
    <t>100-0000073447-03</t>
  </si>
  <si>
    <t>EC //  JV 4-AP-016 Suma Asegurada $58,598.00</t>
  </si>
  <si>
    <t>26300 30244995</t>
  </si>
  <si>
    <t>OC Hillside edificio 14 equipo $1,570,000 USD RC $2,000,000 USD </t>
  </si>
  <si>
    <t>26300 30279476</t>
  </si>
  <si>
    <t>Sabotaje y terrorismo API  suma asegurada USD $10,872,000 Puerto Api Coatzacoalcos</t>
  </si>
  <si>
    <t>100-0000087268-00</t>
  </si>
  <si>
    <t>EC// Momatosa 134-AP-017 // S.A. $52,368.00 USD</t>
  </si>
  <si>
    <t>100-0000087296-00</t>
  </si>
  <si>
    <t>EC// Ohtli 129-AP-003 // S.A. $216,216.00 USD</t>
  </si>
  <si>
    <t>100-0000082407-01</t>
  </si>
  <si>
    <t>EC // Minig S 310-AF-002 // SA USD $ 37,735.00</t>
  </si>
  <si>
    <t>K6 44003406</t>
  </si>
  <si>
    <t>RC S.A. $76,500.00</t>
  </si>
  <si>
    <t>100-0000077135-02</t>
  </si>
  <si>
    <t>EC // Simac 5-AP-018 // S.A. USD $ 11,074.00</t>
  </si>
  <si>
    <t>100-0000067274-08</t>
  </si>
  <si>
    <t>01-035-07001708-00000-02</t>
  </si>
  <si>
    <t>Laurel Marine Ventures LTD</t>
  </si>
  <si>
    <t>BAR / Ferreti / 881 / XFA88132J708 / 2008 / Fortis II Casco: USD $ 2,000,000.00</t>
  </si>
  <si>
    <t>100-0000071446-06</t>
  </si>
  <si>
    <t>EC // TMMG 201-AP-003 // S.A. USD $ 37,903.00</t>
  </si>
  <si>
    <t>100-0000077190-02</t>
  </si>
  <si>
    <t>EC // Verlite 286-AFMXP-001 // S.A. USD $ 29,500.00</t>
  </si>
  <si>
    <t>3922400001132</t>
  </si>
  <si>
    <t>ME // HOTEL 3 AMATES - CARR. MALINALCO CHAMA S/N. MALINALCO. EDO MEXICO. C.P. 52440.// EDIF $60 MDP - CONT $4 MDP</t>
  </si>
  <si>
    <t>26300 30277575</t>
  </si>
  <si>
    <t>AVI / STEMME / S12-G / 2022 / 12-047 / N281-KR casco $500,000 USD</t>
  </si>
  <si>
    <t>26300 30277584</t>
  </si>
  <si>
    <t>RC aeronave STEMME S12G.  Número de serie 12-047.  Matrícula: N281-KR.  Año 2022.  R.C. USD $ 1,000,000.00 </t>
  </si>
  <si>
    <t>26300 30280785</t>
  </si>
  <si>
    <t>Casa Habitación Estero Villa 17 CBC / Edificio: $ 3,299,882.33 USD Contenidos: $ 121,281.27</t>
  </si>
  <si>
    <t>26300 30289303</t>
  </si>
  <si>
    <t>Casa Habitación Estero Villa 388 edificio: $ 3,507,810.30 USD contenidos: $ 128,314.50 USD </t>
  </si>
  <si>
    <t>26300 30280687</t>
  </si>
  <si>
    <t>Servicios Comerciales Adventures S.A. de C.V.</t>
  </si>
  <si>
    <t>RC // por uso de drones para fotografía // S.A. RC USD $ 100,000.00 </t>
  </si>
  <si>
    <t>26300 30232123</t>
  </si>
  <si>
    <t>Extensión de vigencia 09/06/2023 a 15/04/2025 S.A. $9,930,773 U Privativa Villa 200 Carr Transpeninsular Km15,Rancho El Tule</t>
  </si>
  <si>
    <t>26300 30212289</t>
  </si>
  <si>
    <t>HV301 L.L.C</t>
  </si>
  <si>
    <t>Casa Habitación // Villa 301 Desarrollo Chileno. Carr transpeninsular km 15. El tule. Cabo San Lucas. B.C.S.suma asegurada $ 4,645,000.00, RC  $ 2,000,000.00 </t>
  </si>
  <si>
    <t>Casa Habitación // ESTERO VILLA 42</t>
  </si>
  <si>
    <t>Casa Habitación // ESTERO VILLA 11</t>
  </si>
  <si>
    <t>Casa Habitación // ESTERO VILLA 13</t>
  </si>
  <si>
    <t>Casa Habitación // ESTERO VILLA 37</t>
  </si>
  <si>
    <t>Casa Habitación // ESTERO VILLA 41</t>
  </si>
  <si>
    <t>Casa Habitación // ESTERO VILLA 19</t>
  </si>
  <si>
    <t>Casa Habitación // ESTERO VILLA 09</t>
  </si>
  <si>
    <t>Casa Habitación // ESTERO VILLA 33</t>
  </si>
  <si>
    <t>Casa Habitación // ESTERO VILLA 35</t>
  </si>
  <si>
    <t>Casa Habitación // ESTERO VILLA 36</t>
  </si>
  <si>
    <t>Casa Habitación // ESTERO VILLA 40</t>
  </si>
  <si>
    <t>Casa Habitación // ESTERO VILLA 10</t>
  </si>
  <si>
    <t>Casa Habitación // ESTERO VILLA 12</t>
  </si>
  <si>
    <t>Casa Habitación // ESTERO VILLA 14</t>
  </si>
  <si>
    <t>Casa Habitación // ESTERO VILLA 18</t>
  </si>
  <si>
    <t>26300 30280614</t>
  </si>
  <si>
    <t>Dos Amigos L.L.C</t>
  </si>
  <si>
    <t>Casa Habitación edificio USD$4,711,734.82 y contenidos USD $175,957.61 Chileno Bay Club Carretera Transpeninsular Km 15 Hacienda Villa 408 Núm. Int Núm. Edif Colonia Rancho El Tule</t>
  </si>
  <si>
    <t>No renovar</t>
  </si>
  <si>
    <t>Aviacion Pilatus S.A. de C.V.</t>
  </si>
  <si>
    <t>AVI / CIRRUS / SR22 GTS / 2024 / 9872 S.A.$1,065,600 USD / Casco </t>
  </si>
  <si>
    <t>AVI / CIRRUS SR22 GTS /  RC  $ 1,000,000.00 </t>
  </si>
  <si>
    <t>E VOLTA PENINSULA, SAPI DE CV</t>
  </si>
  <si>
    <t>100-0000088821-02</t>
  </si>
  <si>
    <t>EC // Contrato 000189-AP-001 | S.A. USD $34,910.18</t>
  </si>
  <si>
    <t>Transportadora Vichusa S.A de C.V</t>
  </si>
  <si>
    <t>RC AMBIENTAL EN EXCESO RC por evento $750,000 USD por evento RC Ambiental $45,000 USD RC $75,000 USD // 14 UNIDADES</t>
  </si>
  <si>
    <t>26300 30187324</t>
  </si>
  <si>
    <t>Operadora de Servicios Zaiman S.A. de C.V.</t>
  </si>
  <si>
    <t>Empresariales   cont. $ 1,800,000.00 MX RC 3,000,000.00 MX  Av. STIM 74D Lomas Del Chamizal</t>
  </si>
  <si>
    <t>26300 30290391</t>
  </si>
  <si>
    <t>Arango Hermand Paula</t>
  </si>
  <si>
    <t>OC // Remodelación Departamento Club Golf Bosques Edif E2 Depto 702. // S.A. $ 17,385.610.00</t>
  </si>
  <si>
    <t>Fork Assist S.A.P.I de C.V</t>
  </si>
  <si>
    <t>EC / ELEVADOR JLG 10MSP 2017 S.A. $350,741.20 MXN</t>
  </si>
  <si>
    <t>62 - 13854</t>
  </si>
  <si>
    <t>Ramirez Nieto Karla Beatriz</t>
  </si>
  <si>
    <t>Casa Habitación Paseo de la Marina # S/N S.A. $700,000.00 MXN</t>
  </si>
  <si>
    <t>01-035-07001984-00000-01</t>
  </si>
  <si>
    <t>Coffe Cake Frost Corp</t>
  </si>
  <si>
    <t>BAR / Azimut / 62 S / XAX62S62F809 / 2008 / La Bala USD $ 650,000.00</t>
  </si>
  <si>
    <t>100-0000076334-03</t>
  </si>
  <si>
    <t>EC // Tmmg 2010-AP-005 // S.A. USD $ 52,962.22</t>
  </si>
  <si>
    <t>100-0000076335-03</t>
  </si>
  <si>
    <t>EC // Tmmg 201-AP-004 // S.A. USD $ 79,973.00</t>
  </si>
  <si>
    <t>26300 30212653</t>
  </si>
  <si>
    <t>TBC Investiments L.L.C</t>
  </si>
  <si>
    <t>Casa Habitación El Dorado Golf And Beach Club Unit. Habitación El Dorado Golf And Beach Club Unit 411 S.A.$ 1,660,000.00RC $ 500,000.00 </t>
  </si>
  <si>
    <t>26300 30280561</t>
  </si>
  <si>
    <t>Ultraorganics Worldwide S.A.P.I.</t>
  </si>
  <si>
    <t>Ajuste S.A. Contenidos a $107,321,255 con Inventarios $35,000,000 y  Endosos Beneficiario Preferente Km 125 Carretera Nacional 35 Zacapu-Zamora Tangancícuaro</t>
  </si>
  <si>
    <t>26300 30280963</t>
  </si>
  <si>
    <t>SJG, LLC</t>
  </si>
  <si>
    <t>Casa Habitación Casa 5 Upper CDS Fs Contenidos: $ 493,963.00 USD </t>
  </si>
  <si>
    <t>100-0000073583-03</t>
  </si>
  <si>
    <t>EC //  JV 4-AP-017 // S.A. USD $ 62,932.00</t>
  </si>
  <si>
    <t>100-0000087445-00</t>
  </si>
  <si>
    <t>EC / Griffith 377-AS-002 / S.A. $16,798.00 USD</t>
  </si>
  <si>
    <t>100-0000087459-00</t>
  </si>
  <si>
    <t>EC / Frescos Don Gu 359-AF-002 / S.A. $7,597.82 USD</t>
  </si>
  <si>
    <t>100-0000087223-03</t>
  </si>
  <si>
    <t>EC // Equipo Kowi 135-Ap-005 // S.A. Usd $ 5,516.00</t>
  </si>
  <si>
    <t>26300 30212261</t>
  </si>
  <si>
    <t>Empresariales // Marina - Paseo De La Marina No. 214. Puerto Vallarta, Jal. Edificio MXN $ 6,800,000.00 RC MXN $ 1,000,000.00 </t>
  </si>
  <si>
    <t>26300 30146841</t>
  </si>
  <si>
    <t>Ec // Varios Equipos En Marina #214 //S.A. USD $ 1,011,986.55 </t>
  </si>
  <si>
    <t>TRAN/00001235</t>
  </si>
  <si>
    <t>TRA / Anual de Pronostico // COMBUSTIBLES DIESEL Y GASOLINA // PAE $ 70,000,000.00 MN - LMXE $ 550.00 MN</t>
  </si>
  <si>
    <t>NCGL-070-1002155-0-1</t>
  </si>
  <si>
    <t>Four Seasons / Residencias / Edificio:$116,008,333.04 Contenidos: $8,177,890.11</t>
  </si>
  <si>
    <t>NCGL-070-1002154-0-1</t>
  </si>
  <si>
    <t>Four Seasons / Hotel / Edificios:$123,215,109.04 Contenidos: $24,668,722.60</t>
  </si>
  <si>
    <t>NCGL-070-1002155-0-1/GNP</t>
  </si>
  <si>
    <t>NCGL-070-1002155-0-1/INBURSA</t>
  </si>
  <si>
    <t>NCGL-070-1002155-0-1/AIG</t>
  </si>
  <si>
    <t>NCGL-070-1002155-0-1/AXA</t>
  </si>
  <si>
    <t>NCGL-070-1002154-0-1/GNP</t>
  </si>
  <si>
    <t>NCGL-070-1002154-0-1/INBURSA</t>
  </si>
  <si>
    <t>NCGL-070-1002154-0-1/AIG</t>
  </si>
  <si>
    <t>NCGL-070-1002154-0-1/AXA</t>
  </si>
  <si>
    <t>01-035-07001999-00000-01</t>
  </si>
  <si>
    <t>Robles Madrigal Jorge</t>
  </si>
  <si>
    <t>BAR / Boston Whaler / Vantage 270 / BWCE0616J415 / 2015 / Rapa Nui Casco: USD $ 125,000.00</t>
  </si>
  <si>
    <t>100-0000073589-04</t>
  </si>
  <si>
    <t>EC // PACTIV // SA. USD $ 610,720.00</t>
  </si>
  <si>
    <t>100-0000085147-03</t>
  </si>
  <si>
    <t>100-0000085162-03</t>
  </si>
  <si>
    <t>26300 30168416</t>
  </si>
  <si>
    <t>RC Tuberías del Mar a Desaladora Inbursa Suma Asegurada $1,500,000.00  Zona Federal Marítima Frente Al Predio Conocido El Tular-Chileno</t>
  </si>
  <si>
    <t>01-030-07011524-00000-03</t>
  </si>
  <si>
    <t>Flosol British S.A. de C.V.</t>
  </si>
  <si>
    <t>POLIZA ANUAL // MOTOS NUEVAS - MORELOS A PUERTO VALLARTA, JAL. /// PAE $ 10,000,000.00 MN LMXE $ 1,000,000.00 MN</t>
  </si>
  <si>
    <t>26300 30242327</t>
  </si>
  <si>
    <t>Asociacion de Residencias Playa Rosa A.C.</t>
  </si>
  <si>
    <t>Empresariales // oficinas administración Conjunto Playa Rosa Beach Club edificio MXN $ 700,000.00 RC MXN $ 2,000,000.00 </t>
  </si>
  <si>
    <t>100-0000087564-00</t>
  </si>
  <si>
    <t>EC // Tmmg 201-AP-009 // S.A. USD $118,289</t>
  </si>
  <si>
    <t>100-0000087528-00</t>
  </si>
  <si>
    <t>EC // Simac 5-AP-033 // S.A. USD $59,850</t>
  </si>
  <si>
    <t>100-0000067979-08</t>
  </si>
  <si>
    <t>EC // Toledo 148-AP-001 Suma Asegurada $102,693.00  USD / Av 5 de Febrero 1351 - 409 C, Benito Juárez</t>
  </si>
  <si>
    <t>26300 30243647</t>
  </si>
  <si>
    <t>M&amp;K El Dorado LLC</t>
  </si>
  <si>
    <t>Casa Habitación unit 120 El Dorado Michael S. Meldman Suma Asegurada $17,137,320.00 </t>
  </si>
  <si>
    <t>26300 30280945</t>
  </si>
  <si>
    <t>CB Ridge 34 L.L.C</t>
  </si>
  <si>
    <t>Casa Habitación / Jane Elizabeth Deflorio / Michael Brennan Deflorio Edificio: $ 9,288,578.00 USD Contenidos: $ 2,003,158.63 USD </t>
  </si>
  <si>
    <t>26300 30281258</t>
  </si>
  <si>
    <t>Obra De Arte / Suma Asegurada US 357,000 / Jane De Florio S.A. $357,000.00 </t>
  </si>
  <si>
    <t>BAR / Yamaha / 2009 / YAMA4108H8809 / 0 Suma Asegurada  $239,766.80</t>
  </si>
  <si>
    <t>K6 43006860</t>
  </si>
  <si>
    <t>Constructora Nalevo S.A. de C.V.</t>
  </si>
  <si>
    <t>RC CONTRATISTAS // CONSTRUCCION DE EDIFICIO DE 3 NIVELES DE DEPARTAMENTOS FAMILIARLES // S.A. $2,634.000.00 MN</t>
  </si>
  <si>
    <t>100-0000070017-07</t>
  </si>
  <si>
    <t>EC // TMMG 201-AP-002 // S.A. USD $ 81,164.00</t>
  </si>
  <si>
    <t>01-074-07033511-00000-01</t>
  </si>
  <si>
    <t>Protectogard S.A. de C.V.</t>
  </si>
  <si>
    <t>RC //CONTRATISTAS - MANTENIMIENTO FACHADA CONDOMINIO BAY VIEW GRAN PORTO FINO (CANCUN)</t>
  </si>
  <si>
    <t>100-0000087527-00</t>
  </si>
  <si>
    <t>Britt Shops Retail De Mexico S.A. de C.V.</t>
  </si>
  <si>
    <t>RC // 82 TIENDAS DE ARTESANIAS Y SOUVENIR EN HOTELES Y AEROPUERTOS ZONAS TURISTICAS // SA USD $ 2,500,000.00</t>
  </si>
  <si>
    <t>100-0000070018-08</t>
  </si>
  <si>
    <t>EC //  TMMG 201-AP-001 // S.A. USD $ 161,046.00</t>
  </si>
  <si>
    <t>26300 30281472</t>
  </si>
  <si>
    <t>Buro de Materiales y Equipo S.A. de C.V.</t>
  </si>
  <si>
    <t>Empresariales Edificios: $ 66,905,794.00 MX Contenidos: $ 4,000,000.00MX Santa María Insurgentes, C.P. 06430, Cuauhtémoc Y Parque Industrial Milimex, Apodaca, N.L.</t>
  </si>
  <si>
    <t>CMI - Oyamel 269 S.A. $2,424,400 MXN  y Monterrey S.A. $2,537,146.02 MXN = Total $4,961,546.02</t>
  </si>
  <si>
    <t>K6 45000018</t>
  </si>
  <si>
    <t>26300 30281926</t>
  </si>
  <si>
    <t>Steinbeck - Cary Dustin</t>
  </si>
  <si>
    <t>Casa Habitación Bungalow # 9 Cove Club CDS Contenidos: $ 350,000.00 USD </t>
  </si>
  <si>
    <t>01-047-07007983-00000-01</t>
  </si>
  <si>
    <t>SIstemas Electricos Metropolitanos S.A.P.I. de C.V</t>
  </si>
  <si>
    <t>RC / $ 200,000,000.00 M.N / Operación, mantenimiento y conservación del relleno sanitario Bordo Poniente IV etapa.</t>
  </si>
  <si>
    <t>E70-2-121-5555</t>
  </si>
  <si>
    <t>100-0000073634-03</t>
  </si>
  <si>
    <t>EC //  JV A-AP-018 // S.A. USD $ 69,539.00</t>
  </si>
  <si>
    <t>100-0000087562-00</t>
  </si>
  <si>
    <t>ECEC //  JV-4AP-040 // SA $ 1,094,278.33 USD</t>
  </si>
  <si>
    <t>100-0000088822-00</t>
  </si>
  <si>
    <t>Contrato 000004-APMXP-012 J.V. Abastecedora De Montacargas | S.A. USD $234,228,99</t>
  </si>
  <si>
    <t>100-0000088819-01</t>
  </si>
  <si>
    <t>EC / Contrato 000004-AP-032 y 000004-AP-033 J.V. Abastecedora De Montacargas | S.A. USD $421,767</t>
  </si>
  <si>
    <t>100-0000073814-04</t>
  </si>
  <si>
    <t>100-0000073806-04</t>
  </si>
  <si>
    <t>100-0000077404-02</t>
  </si>
  <si>
    <t>EC // JV 4-AP-025 // S.A. USD $ 205,767.06</t>
  </si>
  <si>
    <t>D00-2-49-97459</t>
  </si>
  <si>
    <t>Condominio Rosedal 25 A. C.</t>
  </si>
  <si>
    <t>Empresariales // CONDOMINIO - ROSEDAL NO. 25.COL. LOMAS DE CHAPULTEPEC. CDMX C.P. 11000 Incendios $ 70,000,000.00 MXN R.C $ 5,000,000.00 MXN</t>
  </si>
  <si>
    <t>01-037-07025882-00000-01</t>
  </si>
  <si>
    <t>Iote S.A. de C.V.</t>
  </si>
  <si>
    <t>Casa Habitación Incendio Contenidos $500,000.00 MXN  RC $1,000,000.00 MXN</t>
  </si>
  <si>
    <t>26300 30148233</t>
  </si>
  <si>
    <t>Condominio Madeira uno y dos A.C.</t>
  </si>
  <si>
    <t>Empresariales S.A. $10,000.00 MXN José Ma Castorena 590, Molinito</t>
  </si>
  <si>
    <t>K6 44004474</t>
  </si>
  <si>
    <t>De la Peña Obregon Diego</t>
  </si>
  <si>
    <t>Casa Habitación // CSA - VEGA DEL VALE 241. AVANDARO. VALLE DE BRAVO Incendio $2,000,000.00 RC $ 650,000.00</t>
  </si>
  <si>
    <t>01-011-07000306-00000-06</t>
  </si>
  <si>
    <t>Myrmex Vacation Residential Club S.A.P.I. de C.V.</t>
  </si>
  <si>
    <t>Empresariales Myrmex Edificio $11,676,500.00, Contenidos $1,200,000.00</t>
  </si>
  <si>
    <t>01-035-07001556-00000-03</t>
  </si>
  <si>
    <t>Melville Reid Richard</t>
  </si>
  <si>
    <t>BAR / Imemsa / W28 NT Sport / 2022 S.A. USD $ 80,000.00 (CASCO Y PANDI)</t>
  </si>
  <si>
    <t>26300 30243120</t>
  </si>
  <si>
    <t>Franklyn Sills Ronald</t>
  </si>
  <si>
    <t>Casa Habitación Suma Asegurada Cont. USD $10,000.00 - RC USD $75,000.00 Villa La Perla 104 Pta Baja Casa Del Mar I Cabo Real</t>
  </si>
  <si>
    <t>26300 30244398</t>
  </si>
  <si>
    <t>Asociacion de Condominos Cabo del Sol A.C.</t>
  </si>
  <si>
    <t>Ec Elevador Articulado Suma Asegurada $ 55,000.00 USD </t>
  </si>
  <si>
    <t>26300 30244922</t>
  </si>
  <si>
    <t>Empresariales Caseta Principal Cabo Del Sol Incendio $ 123,050.00 USD Suma Asegurada $129,950.00 USD </t>
  </si>
  <si>
    <t>26300 30280099</t>
  </si>
  <si>
    <t>Asociación de Condominos de las Brisas de Cabo del Sol, A.C.</t>
  </si>
  <si>
    <t>Empresariales Casetas Las Brisas CDS Incendio $50,650.00 Suma Asegurada $ US 50,650 USD </t>
  </si>
  <si>
    <t>26300 30288402</t>
  </si>
  <si>
    <t>Servicios De Extraccion Petrolera Lifting De Mexico S.A. de C.V.</t>
  </si>
  <si>
    <t>RC lmr $ 25,000,000 USD Ciudad De Coatzacoalcos, Veracruz En El Municipio De Moloacán</t>
  </si>
  <si>
    <t>26300 30281962</t>
  </si>
  <si>
    <t>Ec POLARIS suma asegurada $ 8,000.00 </t>
  </si>
  <si>
    <t>100-0000082707-01</t>
  </si>
  <si>
    <t>EC SalinaLobo 274-AP-003 // SA USD $ 7,750.00</t>
  </si>
  <si>
    <t>26300 30279047</t>
  </si>
  <si>
    <t>Ingeniería Mexicana y Construcciones, S.A. de C.V.</t>
  </si>
  <si>
    <t>OC // construcción 3 torres de 60 deptos. c/u / calle 12 de octubre No. 72. Tondoroque. B. Banderas, Nay. Cp. 63735 OC $ 120,942,531.00 RC $ 10,000,000.00 </t>
  </si>
  <si>
    <t>26300 30282667</t>
  </si>
  <si>
    <t>Boyce Richard Wallace</t>
  </si>
  <si>
    <t>Casa Habitación Estero Villa 17 contenidos: $ 500,000.00 USD </t>
  </si>
  <si>
    <t>26300 30282694</t>
  </si>
  <si>
    <t>Ec Richard Wallace Boyce Eq Contratistas S.A. $1,046,350.00 </t>
  </si>
  <si>
    <t>26300 30282685</t>
  </si>
  <si>
    <t>Obras de Arte EV 17 emisión $31,825.00 USD </t>
  </si>
  <si>
    <t>26300 30129138</t>
  </si>
  <si>
    <t>Fernandez Ortega Maria Aurora</t>
  </si>
  <si>
    <t>Casa Habitación // departamentos Hamburgo 316-603 y cda. Fresnos 39 ed. M depto. 202, edificio $ 4,150,000.00 RC $ 1,000,000.00 </t>
  </si>
  <si>
    <t>Badenoch Berger James Alexander</t>
  </si>
  <si>
    <t>Casa Habitación // DEPTO D302 FERNANDO ALENCVASTRE 99. COL. LOMAS VIRREYES. CDMX Edificio $ 13,100,000.00 RC $ 4,000,000.00</t>
  </si>
  <si>
    <t>K6 44004409</t>
  </si>
  <si>
    <t>Linares Beltrán y Asociados S.C.</t>
  </si>
  <si>
    <t>Empresariales // OFICINAS - GUSTVO BAZ 2160.  Y  queretaro     RC $ 5,000,000.00 MXN</t>
  </si>
  <si>
    <t>100-0000087699-00</t>
  </si>
  <si>
    <t>EC / Momatosa 134-AP-018 Y 019 / S.A. USD $239,284.94</t>
  </si>
  <si>
    <t>01-035-07002028-00000-01</t>
  </si>
  <si>
    <t>Curricana LTD</t>
  </si>
  <si>
    <t>BAR/  P&amp;I  BARCO  NORTH  STAR  /  S.A USD $ 500,000,000</t>
  </si>
  <si>
    <t>2024-D-MAM-100399</t>
  </si>
  <si>
    <t>BAR / 126 / V7A6707 / 2016 / North Star</t>
  </si>
  <si>
    <t>07469-0</t>
  </si>
  <si>
    <t>EMBARCACION / SEGURO DE CONTAMINACION   BARCO  NORTH  STAR  /  S.A USD $ 11650000</t>
  </si>
  <si>
    <t>26300 30108491</t>
  </si>
  <si>
    <t>Casey Brost Johnson</t>
  </si>
  <si>
    <t>Casa Habitación S.A. $249,000.00 $75,000.00 Casa Del Mar 9999999d Dep 203 Casa Cabo Real</t>
  </si>
  <si>
    <t>26300 30244290</t>
  </si>
  <si>
    <t>Vista Esplendida L.L.C</t>
  </si>
  <si>
    <t>Casa Habitación S.A. edificio: $ 3,850,000.00 USD contenidos: $ 1,100,000.00 USD Beach Club Casita 7 Fs 2 Costa Palmas Eureka S/N La Rivera</t>
  </si>
  <si>
    <t>26300 30285904</t>
  </si>
  <si>
    <t>Seguro de responsabilidad civil terceros y daños medio ambientales RC $25,000,000.00 Tampico 11 Núm. Int José De Escandón</t>
  </si>
  <si>
    <t>26300 30285897</t>
  </si>
  <si>
    <t>Riesgos petroleros // gastos extras del operador // control de pozos // suma asegurada $ 3,300,000.00 Tampico 11 Núm. Int José De Escandón</t>
  </si>
  <si>
    <t>Riesgos Petroleros</t>
  </si>
  <si>
    <t>26300 30150924</t>
  </si>
  <si>
    <t>Auberge Fresco 7 L.L.C y/o Robert Schumacher</t>
  </si>
  <si>
    <t>Casa Habitación Villa fresco 7 S.A. $ 1,456,720.00 RC $1,000,000.00 </t>
  </si>
  <si>
    <t>01-037-07025931-00000-01</t>
  </si>
  <si>
    <t>Cortina Del Valle Elena</t>
  </si>
  <si>
    <t>Casa Habitación S.A. $4,053,000 MXN</t>
  </si>
  <si>
    <t>Promotora y Operadora de Infraestructura, S.A.B. de C.V.</t>
  </si>
  <si>
    <t>RC D&amp;O - LMR $20,000,000 USD</t>
  </si>
  <si>
    <t>111692677/RCF-010000657</t>
  </si>
  <si>
    <t>Condominio Lago Meru 21 A.C.</t>
  </si>
  <si>
    <t>Empresariales Incendio $ 102,005,920   RC $ 5,000,000.00</t>
  </si>
  <si>
    <t>26300 30283354</t>
  </si>
  <si>
    <t>Trulaske Michelle Kay</t>
  </si>
  <si>
    <t>Casa Habitación lote 215 El Dorado edificio: $ 4,100,000.00 USD contenidos: $ 1,230,000.00 USD </t>
  </si>
  <si>
    <t>01-074-07031598-00000-01</t>
  </si>
  <si>
    <t>Flosol Taiyang S.A. de C.V.</t>
  </si>
  <si>
    <t>Seguro de RC Contratistas// Construcción de muros de contención Av. Plan de San Luis 1962. Guadalajara Jal. // S.A. $ 1,000,000.00</t>
  </si>
  <si>
    <t>100-0000087232-07</t>
  </si>
  <si>
    <t>EC // Bexel 157-AP-001 //  S.A. USD  $87,129.00  USD</t>
  </si>
  <si>
    <t>100-0000087978-00</t>
  </si>
  <si>
    <t>EC // Mobajsa 336-AP-013  //  S.A. $90,162.14 USD</t>
  </si>
  <si>
    <t>26300 30188591</t>
  </si>
  <si>
    <t>Burnett Schadler John</t>
  </si>
  <si>
    <t>Casa Habitación #10 Palm Orchard B.C.S.Suma Asegurada $2,710,000.00 RC $1,000,000.00 </t>
  </si>
  <si>
    <t>01-037-07025953-00000-01</t>
  </si>
  <si>
    <t>Saed Grego Raquel</t>
  </si>
  <si>
    <t>Casa Habitación Elias Zaidman / Edif $5,000,000</t>
  </si>
  <si>
    <t>49-PLUS-20000260-01</t>
  </si>
  <si>
    <t>Elias Zaidman y Asociados, S.C.</t>
  </si>
  <si>
    <t>26300 30282998</t>
  </si>
  <si>
    <t>Jones Villas del Mar L.L.C</t>
  </si>
  <si>
    <t>Casa Habitación Villa Jones Lot 202 El Dorado   Edif USD $ 5,648,500.  RC USD $ 2,000,000. </t>
  </si>
  <si>
    <t>01-051-07004807-00000-04</t>
  </si>
  <si>
    <t>Covar Energy Consulting S. C.</t>
  </si>
  <si>
    <t>RCPRO RC MXN $ 1,000,000.00</t>
  </si>
  <si>
    <t>Casa Habitación EV15</t>
  </si>
  <si>
    <t>26300 30284987/AON</t>
  </si>
  <si>
    <t>Señor AIR S.A. de C.V.</t>
  </si>
  <si>
    <t>Avi / Emb135er USD $ 2,355,000   Y   Emb145lr USD $3,150,000 </t>
  </si>
  <si>
    <t>26300 30283050/AON</t>
  </si>
  <si>
    <t>Modificación de S.A  de Responsabilidad Legal por pasajeros estará limitada A USD $550,000 Por Pasajero </t>
  </si>
  <si>
    <t>26300 30212957</t>
  </si>
  <si>
    <t>Legorreta Chauvet Eduardo Antonio</t>
  </si>
  <si>
    <t>Casa Habitación Bahía De Banderas Nayarit // Edificio $ 20,000,000.00 Contenidos $ 4,750,000.00 MX </t>
  </si>
  <si>
    <t>26300 30212975</t>
  </si>
  <si>
    <t>EE // Sistema Fotovoltaico (Paneles Solares) // S.A. $ 1,250,000.00 - Rtno. Las Marinas Villa 4 Lte 79 Mz7. Bahía De Banderas, Nay </t>
  </si>
  <si>
    <t>Administradora Joscon S.A. de C.V.</t>
  </si>
  <si>
    <t>Empresariales Incendio $24,000,000.00 MXN RC $1,150,000.00MXN</t>
  </si>
  <si>
    <t>100-0000082832-01</t>
  </si>
  <si>
    <t>EC // GPersal 357-AP-001 // SA USD $ 42,000.00</t>
  </si>
  <si>
    <t>K6 44004404</t>
  </si>
  <si>
    <t>Pandener S.A.P.I. de C.V.</t>
  </si>
  <si>
    <t>Empresariales //  OFICINAS ALEJANDRO DUMAS 103 PISO 4. POLANCO V SECC. CDMX 11560 Incendio MXN $ 7,000,000.00 RC MXN $ 3,000,000.00</t>
  </si>
  <si>
    <t>K6 44009861</t>
  </si>
  <si>
    <t>Diaz Zamudio Juan Carlos</t>
  </si>
  <si>
    <t>RC Contratistas Carretera Al Olivo 2000 Int. Ph4t Bosques De Las Lomas S.A.$ 5,000,000.00</t>
  </si>
  <si>
    <t>26300 30283425</t>
  </si>
  <si>
    <t>Servicios de transportacion aceite y gas SA de CV</t>
  </si>
  <si>
    <t>RC / Responsabilidad Civil S.A. $4,000,000.00 </t>
  </si>
  <si>
    <t>26300 30283390</t>
  </si>
  <si>
    <t>RC Contaminacion</t>
  </si>
  <si>
    <t>K6 44004581</t>
  </si>
  <si>
    <t>Rivera Iñiguez Karla Graciela</t>
  </si>
  <si>
    <t>Empresariales / Tienda de Ropa S.A. $250,000.00</t>
  </si>
  <si>
    <t>Lopez Negrete Camou Lorenza</t>
  </si>
  <si>
    <t>HOGAR // DEPTO 3603 TORRE AGWA- CARR. MESICO TOLUCA 1535. COOP PALO ALTO. CUAJIMALPA. // EDF.$ 250,000.00 MN RC$  5,000,000. MN</t>
  </si>
  <si>
    <t>26300 30245850</t>
  </si>
  <si>
    <t>The Fun Zone L.L.C y/o Kevin Washington</t>
  </si>
  <si>
    <t>Ec 2 Ezgo Suma Asegurada $ 42,390.00 USD </t>
  </si>
  <si>
    <t>0203-002928-02</t>
  </si>
  <si>
    <t>Supermercado Basicos de S.A. de C.V.</t>
  </si>
  <si>
    <t>TN // POLIZA ANUAL // ABARROTES, ULTRAMARINOS Y MISCELANEOS // PAE $ 10 MDP LMXE $ 800,000.00</t>
  </si>
  <si>
    <t>K6 43006786</t>
  </si>
  <si>
    <t>Cardon Arquitectos S. de R.L. de C.V.</t>
  </si>
  <si>
    <t>RC Construcción casa en Lote 151 El Dorado S.A $$1,000,000.00 USD</t>
  </si>
  <si>
    <t>MKLC1FA0031286</t>
  </si>
  <si>
    <t>Voga Concept Publicidad S.A de C.V</t>
  </si>
  <si>
    <t>REGISTRO DE POLIZA DE ARTE S.A. $2,397,620.00 USD</t>
  </si>
  <si>
    <t>ECEC SA $1,392,620.95 MXN 2 TRACTORES Y 1 MONTACARGAS</t>
  </si>
  <si>
    <t>01-035-07002016-00000-01</t>
  </si>
  <si>
    <t>Hefty John William</t>
  </si>
  <si>
    <t>BAR / Astillero / 25 Pies Deportiva / DIPG25`04116042024 / 0 / Snake-Bit S.A. $48,486.00</t>
  </si>
  <si>
    <t>K6 43008196</t>
  </si>
  <si>
    <t>Cortina Murrieta Eduardo</t>
  </si>
  <si>
    <t>RC contratistas demolicion y construccion de casa habitacion Sierra Amatepec 368 S.A. $10,000,000.00 MXN</t>
  </si>
  <si>
    <t>26300 30245627</t>
  </si>
  <si>
    <t>Ec Endoso A  Ajuste Suma Asegurada actualización Suma Asegurada: $ 14,188,340.23 M.N. Carretera Transpeninsular Km 22.5 Sn San José Del Cabo</t>
  </si>
  <si>
    <t>100-0000082887-01</t>
  </si>
  <si>
    <t>EC // GPersal 357-AP-002 // SA USD $ 84,000.00</t>
  </si>
  <si>
    <t>MON</t>
  </si>
  <si>
    <t>K6 44003651</t>
  </si>
  <si>
    <t>Ivelty Agro S.A. de C.V.</t>
  </si>
  <si>
    <t>RC // RC CONTAMINACION //  IMPORTACION DE PRODUCTOS AGRICOLAS (PIRIDATO) //  S.A. USD $ 250,000.00</t>
  </si>
  <si>
    <t>26300 30189616</t>
  </si>
  <si>
    <t>Centro de Reproduccion Asistida LIV S.C.</t>
  </si>
  <si>
    <t>ME // Clínica De Fertilización - Paseo De Los Cocoteros 55 Piso 3 Locs 3301 Al 3329. Bahía De Banderas, Nay. 63735 Cont. 2,059,400. MX RC $ 18,000,000. </t>
  </si>
  <si>
    <t>26300 30302128</t>
  </si>
  <si>
    <t>EC // Equipo Para Perforación - Túneles Carr Durango-Mazatlán // S.A. USD 186,293.</t>
  </si>
  <si>
    <t>100-0000087893-00</t>
  </si>
  <si>
    <t>EC // Mopla 302-AP-023 Y 024 // SA $ 105,200 USD</t>
  </si>
  <si>
    <t>100-0000087878-00</t>
  </si>
  <si>
    <t>Baja Equipo Serie 475-23-18413 S.A. $3,380.00 USD</t>
  </si>
  <si>
    <t>100-0000087892-00</t>
  </si>
  <si>
    <t>EC // Mopla 302-AP-025, 026, 027 y 028 // SA $ 130,600 USD</t>
  </si>
  <si>
    <t>100-0000087894-00</t>
  </si>
  <si>
    <t>EC // Mobajsa 336-AP-011 Y 012 // SA $ 73,910 USD</t>
  </si>
  <si>
    <t>Guzman Franco Jacobo</t>
  </si>
  <si>
    <t>Empresariales Incendio $2,100,000 RC $5,000,000</t>
  </si>
  <si>
    <t>26300 30282505</t>
  </si>
  <si>
    <t>Carzo Garcia Jorge</t>
  </si>
  <si>
    <t>Avi / Cirrus / Sr22t Gts / 2023 / 9221 / N117me Casco $ 1,159,600.00 USD </t>
  </si>
  <si>
    <t>26300 30282523</t>
  </si>
  <si>
    <t>RC Avión Cirrus 2023 Matricula N117me RC $1,000,000.00 USD </t>
  </si>
  <si>
    <t>26300 30189572</t>
  </si>
  <si>
    <t>Burning Daylight L.L.C.</t>
  </si>
  <si>
    <t>Carretera Transpeninsular Km 15 Casita C Incluye PH Oceanside Rancho El Tule Desarrollo Chileno Bay. Cabo San Lucas Incidendio $ 550,000.00 RC $1,000,000.00 </t>
  </si>
  <si>
    <t>01-035-07000528-00002-07</t>
  </si>
  <si>
    <t>Embarcaciones  10  BARCOS Privado y Placer/ Casco: USD $ 772,100</t>
  </si>
  <si>
    <t>NCGL-070-1001797-0-1</t>
  </si>
  <si>
    <t>GL Wrap Inclusión RE 25</t>
  </si>
  <si>
    <t>K6 44004796</t>
  </si>
  <si>
    <t>BAR / YAMAHA / F115BET / 1125224 / 2018 S.A. $62,255.00</t>
  </si>
  <si>
    <t>49-PLUS-20000270-01</t>
  </si>
  <si>
    <t>Zhou . Xiaojin</t>
  </si>
  <si>
    <t>CHINA 360 / ABASOLO 256 / EDIF 6,000,000 CONTENIDOS $ 2,100,000.00</t>
  </si>
  <si>
    <t>26300 30284255</t>
  </si>
  <si>
    <t>Ec Suma Asegurada $7,461,831.56 USD </t>
  </si>
  <si>
    <t>26300 30279387</t>
  </si>
  <si>
    <t>OC Estero Villa 08 S.A. $6,354,604.00 Carretera Transpeninsular Km 15 Estero Villa Lt 08 S/N Núm. Int Fracc.Rancho El Tule Los Cabos Baja California Sur C.P. 23400</t>
  </si>
  <si>
    <t>100-0000082874-01</t>
  </si>
  <si>
    <t>EC // Frescos 259-AF-001 // SA USD $ 36,583.00</t>
  </si>
  <si>
    <t>26300 30283283</t>
  </si>
  <si>
    <t>Banca Mifel Sa Inst Bca Mult GFM F- F-2994/2019</t>
  </si>
  <si>
    <t>Hogar // Villa 34 Desarrollo One only. Carr. Libre 200 Tepi-Pto Vallarta. Compostela, Nay. // Sa Edif USD $ 3,348,603. RC USD $ 250,000.00 </t>
  </si>
  <si>
    <t>26300 30246804</t>
  </si>
  <si>
    <t>Cbcpv124 L.L.C.</t>
  </si>
  <si>
    <t>Casa Habitación Lot 124 HV124 CBC Edificio USD $ 6,500,000.00 Contenidos USD $ 750,000.00 </t>
  </si>
  <si>
    <t>100-0000082885-01</t>
  </si>
  <si>
    <t>EC // Mobinsa 6-AP-014 y 15 // SA USD $ 74,970.68</t>
  </si>
  <si>
    <t>61 - 16620 - 00</t>
  </si>
  <si>
    <t>Aeroexplora S.A. de C.V.</t>
  </si>
  <si>
    <t>BAR / Azimut / 116 Fibreglass / TBA / 2006 / MOMENTO S.A. $2.965.000,00</t>
  </si>
  <si>
    <t>Euro</t>
  </si>
  <si>
    <t>01 - 02121 - 00</t>
  </si>
  <si>
    <t>BAR / AZIMUT / 116 / 746403 / 2006 / MOMENTO Accidentes dd tripulantes</t>
  </si>
  <si>
    <t>01-035-07002023-00000-01</t>
  </si>
  <si>
    <t>Rrl S.A. de C.V.</t>
  </si>
  <si>
    <t>BAR / Astillero / 28 pies / 2019 / Tepaixtes S.A. $48,000 USD</t>
  </si>
  <si>
    <t>26300 30289321</t>
  </si>
  <si>
    <t>Casa Habitación Estero Villa 39 CBC /Edificio: $ 3,509,074.83 USD Contenidos: $ 128,357.27 USD</t>
  </si>
  <si>
    <t>01-033-07000518-00000-01</t>
  </si>
  <si>
    <t>AVI / 1998 / 170 / XA-QKY</t>
  </si>
  <si>
    <t>26300 30284905</t>
  </si>
  <si>
    <t>Cescolini Brian Keith</t>
  </si>
  <si>
    <t>Ec 2 carros de Golf Ranger 4 2024 S.A. $1,029,898.00   USD </t>
  </si>
  <si>
    <t>100-0000082899-01</t>
  </si>
  <si>
    <t>EC // Ceiba 171-AP-003 // SA USD $ 19,725.00</t>
  </si>
  <si>
    <t>26300 30285888</t>
  </si>
  <si>
    <t>NS Krea S.A. de C.V.</t>
  </si>
  <si>
    <t>Hogar // Casa Lote 51 Cabo Del Sol - Corredor Turístico Km 10.3. San José Del Cabo. B.C.S.Edif USD $ 6,349,000.00 RC USD $ 1,000,000.00 </t>
  </si>
  <si>
    <t>26300 30189493</t>
  </si>
  <si>
    <t>Transportes Aventura S.A. de C.V.</t>
  </si>
  <si>
    <t>Casa Habitación / Casa Koko Edif USD $3,674,462.15 RC USD 41,000,000.00 </t>
  </si>
  <si>
    <t>100-0000078790-02</t>
  </si>
  <si>
    <t>EC // Pactiv 210-AP-006 // S.A. USD $ 28,445.00</t>
  </si>
  <si>
    <t>100-0000088806-00</t>
  </si>
  <si>
    <t>Contrato 000042-AP-012 Compañia Arizlu | S.A.  USD $31,890.00</t>
  </si>
  <si>
    <t>100-0000077598-02</t>
  </si>
  <si>
    <t>EC // Cimsa 298AP-001 // S.A. USD $ 30,250.00</t>
  </si>
  <si>
    <t>100-0000077599-02</t>
  </si>
  <si>
    <t>EC // Mar Ensenada 294-AP-001 // S.A. USD $ 65,600.00</t>
  </si>
  <si>
    <t>Condominio Lomas Altas doscientos sesenta y siete  A.C.</t>
  </si>
  <si>
    <t>Reexp Cambio Semestral // Condominio - Paseo Lomas Altas No. 267 Col. Lomas Altas. CDMX.C.P. 11950 Edificio MXN $30,000,000.00, RC MXN $13,108,000.00</t>
  </si>
  <si>
    <t>01-096-07000107-00000-03</t>
  </si>
  <si>
    <t>Ecocat S. de R.L. de C.V.</t>
  </si>
  <si>
    <t>RC // RC ESPARCIMIENTO - S.A. USD $ 1,000,000.00</t>
  </si>
  <si>
    <t>01-074-07031656-00000-01</t>
  </si>
  <si>
    <t>RC  / La Operación Del Sistema Solar Fotovoltaico  Proyecto Bicentenario</t>
  </si>
  <si>
    <t>26300 30282042</t>
  </si>
  <si>
    <t>Mcamp Home LLC</t>
  </si>
  <si>
    <t>Casa Habitación / MCamp and Christina Moore, David Moore / Edificio: $ 10,058,794.62 USD Contenidos: 2,000,000.00 USD </t>
  </si>
  <si>
    <t>26300 30247215</t>
  </si>
  <si>
    <t>Village of motunui LLC</t>
  </si>
  <si>
    <t>Casa Habitación Residencia 06-22 Costa Palmas Contenidos USD $350,000.00 </t>
  </si>
  <si>
    <t>D00-2-49-97376</t>
  </si>
  <si>
    <t>Condominio Carlos Dickens 96 A.C.</t>
  </si>
  <si>
    <t>Empresariales //  DICKENS NO. 96. COL. POLANCO. CDMX C.P. 11560 // COND. HABITACIONAL (REEXPEDICION) EDIF $ 120,000,000.00  RC. $ 10,000,000.00</t>
  </si>
  <si>
    <t>Conjunto Residencial Ahuehuetes Sur A.C.</t>
  </si>
  <si>
    <t>Disminucion S.A. Edificio a quedar en  $268,000,000 M.N.</t>
  </si>
  <si>
    <t>01-100-07000308-00000-01</t>
  </si>
  <si>
    <t>QMAX Mexico S.A. de C.V.</t>
  </si>
  <si>
    <t>RC  $ 2,000,000.00  USD</t>
  </si>
  <si>
    <t>01-074-07015962-00000-04</t>
  </si>
  <si>
    <t>RC  EXCESO /  $5,000,000</t>
  </si>
  <si>
    <t>4-RCF-10000566-03</t>
  </si>
  <si>
    <t>Activos De Energía Real S.A.P.I de C.V.</t>
  </si>
  <si>
    <t>RC Suma Asegurada  US$ 1,000,000.00</t>
  </si>
  <si>
    <t>4-RCF-10000670-01</t>
  </si>
  <si>
    <t>RC Suma Asegurada  US$ 1,000,000.00, Culiacán 123 Despacho 404, 405, 406, 407 Y 408</t>
  </si>
  <si>
    <t>01-042-07001563-00000-02</t>
  </si>
  <si>
    <t>Gameall S.de R.L. de C.V.</t>
  </si>
  <si>
    <t>RC EVENTOS AGENCIA DE PUBLICIDAD RC USD $ 1,000,000.00</t>
  </si>
  <si>
    <t>4-RCP-10000318-02</t>
  </si>
  <si>
    <t>RCPRO</t>
  </si>
  <si>
    <t>Greening Gestion Solar S.A de C.V.</t>
  </si>
  <si>
    <t>CMI | S.A. de $90,800,716.00 MXN</t>
  </si>
  <si>
    <t>26300 30284852</t>
  </si>
  <si>
    <t>MCGovern James Francis</t>
  </si>
  <si>
    <t>Casa Habitación Contenidos: $ 400,000.00 USD Carretera Transpeninsular Km 10.3 Cove Club Beach Villa # 06 Cabo Del Sol Núm. Int Desarrollo Cabo Del Sol</t>
  </si>
  <si>
    <t>Condominio Cobre de Perote 312, P. enC.</t>
  </si>
  <si>
    <t>ME // CONDOMINIO COFRE DE PEROTE 312.LOMAS DE CHAPULTEPEC // EDIF $ 60,000,000.00 MN Y RC $ 5,000,000.00 MN</t>
  </si>
  <si>
    <t>OBRA DE ARTE ESPERANZA HOTELS.A. USD $ 556,51</t>
  </si>
  <si>
    <t>616885463/616885463 STAR</t>
  </si>
  <si>
    <t>Condominio Esperanza, A.C.</t>
  </si>
  <si>
    <t>Empresariales Esperanza Residencias Edificios: USD $ 95, 000,000.00 Contenidos: USD $ 11, 000,000.00</t>
  </si>
  <si>
    <t>616885463/616885463/MAPFRE</t>
  </si>
  <si>
    <t>616885463/26300 30289438</t>
  </si>
  <si>
    <t>Empresariales Esperanza Residencias Edificios: USD $ 95, 000,000.00 Contenidos: USD $ 11, 000,000.00 Carretera Transpeninsular Km. 6 S/N, Santa Carmela Los Cabos, Baja California Sur, C.P. 23455</t>
  </si>
  <si>
    <t>616885463/CPK-010000924</t>
  </si>
  <si>
    <t>100-0000083020-01</t>
  </si>
  <si>
    <t>EC // Agrícola S 332-AP-002 // SA USD $ 65,262.00</t>
  </si>
  <si>
    <t>26300 30216490</t>
  </si>
  <si>
    <t>McLean Properties Mexico S.A. de C.V.</t>
  </si>
  <si>
    <t>Casa Habitación // Polígono FH 8 F Del Area Frac B Polígono Fonatur. Residencia 4. La Playita. Los Cabos B.C.S.Edif. USD $1,841,000.00 RC USD $1,000,000.00 </t>
  </si>
  <si>
    <t>26300 30265409</t>
  </si>
  <si>
    <t>Mexico Phojon CDS, LLC</t>
  </si>
  <si>
    <t>OC lote 10 Riviera East desarrollo Cabo del Sol, S.A.USD $ 11,565,369 </t>
  </si>
  <si>
    <t>26300 30285218</t>
  </si>
  <si>
    <t>IC INTRACOM MEXICO, S.A.P.I. DE C.V.</t>
  </si>
  <si>
    <t>Me//2 Ubicaciones - Av. Interceptor 73. Parque Industrial La Joya. Cuautitlán y  Bodega En Tultipak   Cont. $ 64,000,000.00 MX RC 12,000,000. MX </t>
  </si>
  <si>
    <t>K6 45001918</t>
  </si>
  <si>
    <t>RC</t>
  </si>
  <si>
    <t>26300 30286084</t>
  </si>
  <si>
    <t>Jalili Villarroel Diego Nazar</t>
  </si>
  <si>
    <t>Casa Habitación Para Renta Puerto Escondido, Oaxaca Edificio: $ 1,500,000.00 Contenidos: $ 1,000,000.00 Sexta Sur Manzana V Lote 3 5b Rinconada San Pedro Mixtepec Dto 22 Oaxaca C.P. 71983</t>
  </si>
  <si>
    <t>26300 30285762</t>
  </si>
  <si>
    <t>ME // Oficinas - Carr Transpeninsular Km 29.5 Locales 3a Y 6e. La Jolla. San José Del Cabo. B.C.S.C.P. 23406 Contenidos $ 500,000.00 RC 5,000,000.00. </t>
  </si>
  <si>
    <t>26300 30245734</t>
  </si>
  <si>
    <t>Cabo Peak Holding L.L.C.</t>
  </si>
  <si>
    <t>Casa Habitación // Casa Summers Lote 205 El Dorado. B.C.S.Edificio: $ 5,867,130.68 USD Contenidos: $ 846,069.48 USD </t>
  </si>
  <si>
    <t>26300 30288803</t>
  </si>
  <si>
    <t>AIR Administradora Integral de Riesgos Agente de Seguros S.A. de C.V.</t>
  </si>
  <si>
    <t>Me // Oficinas Duraznos No. 65 Ofc 608. Bosques De Las Lomas. Ciudad De México EE. $ 409,00.00 MX RC $ 1,050,000.00 </t>
  </si>
  <si>
    <t>26300 30266417</t>
  </si>
  <si>
    <t>OC FS Estates Agave lote 08 CDS S.A. $3,419,351 </t>
  </si>
  <si>
    <t>100-0000083134-01</t>
  </si>
  <si>
    <t>EC | Mopla 302-AP-013// SA USD  $ 27,400.00</t>
  </si>
  <si>
    <t>26300 30286333</t>
  </si>
  <si>
    <t>Casa Habitación / CDMX $9,220,000.00  Av De Las Torres 805 Citta San Jeronimo Torre C PH 03 Torres De Potrero Alvaro Obregón Ciudad De México C.P. 01840</t>
  </si>
  <si>
    <t>ANA011550000</t>
  </si>
  <si>
    <t>AVIACION / BEECHCRAF COPR   S.A. $3,900,000 USD</t>
  </si>
  <si>
    <t>Desarrolladora Platon 289 S.A. de C.V.</t>
  </si>
  <si>
    <t>ME // CONDOMINIO  EN PLATON 289. COL. POLANCO III SECC. CDMX. C.P. 11540 // EDF $ 202,560,000.00 RC 10,000,000.</t>
  </si>
  <si>
    <t>26300 30246546</t>
  </si>
  <si>
    <t>Williams Smith Sandra</t>
  </si>
  <si>
    <t>Casa Habitación Club Villa 311 Los Cabos Contenidos USD $ 1,000,000.00 RC USD $ 50,000.00 </t>
  </si>
  <si>
    <t>26300 30151843</t>
  </si>
  <si>
    <t>Ec Carro DE Golf Contenidos USD $ 9,370.00 </t>
  </si>
  <si>
    <t>100-0000077666-02</t>
  </si>
  <si>
    <t>EC // Momatosa 134-AP-007 // S.A. USD $ 179,400.00</t>
  </si>
  <si>
    <t>K6 45001298</t>
  </si>
  <si>
    <t>RC Cto 452 2025 Terracerías HS Lots 17, 18 y 19</t>
  </si>
  <si>
    <t>Cabrera Ortega Javier Arturo</t>
  </si>
  <si>
    <t>Casa Habitación // CASA18 AV MIGUEL HIDALGO NO. 1. RESIDELCIAL DEL ALBA II. CUATITLAN IZCALLI Edificio $2,000,000  Contenidos $1,000,000</t>
  </si>
  <si>
    <t>100-0000067923-04</t>
  </si>
  <si>
    <t>EC // JV 4-AP-013 // S.A. USD $ 238,335.00</t>
  </si>
  <si>
    <t>26300 30247894</t>
  </si>
  <si>
    <t>Lugar Alegre L.L.C.</t>
  </si>
  <si>
    <t>Casa Habitación Ridge Estate 28 Edificio USD 7,200,00 Contenidos USD $1,000,000.00 </t>
  </si>
  <si>
    <t>26300 30284941</t>
  </si>
  <si>
    <t>CDSB5, LLC</t>
  </si>
  <si>
    <t>Casa Habitación Cove Bungalow 05 CDS Contenidos USD $100,000.00 </t>
  </si>
  <si>
    <t>26300 30170528</t>
  </si>
  <si>
    <t>Real del mar 3b Mex S. de R.L de C.V</t>
  </si>
  <si>
    <t>Casa Habitación // Punta Mita // Clark Porter Edificio USD $ 1,450,000.00 Contenidos USD $ 520,000.00 </t>
  </si>
  <si>
    <t>FDA000420200</t>
  </si>
  <si>
    <t>Altum Cp S.A.P.I. de C.V. Sofom E.N.R</t>
  </si>
  <si>
    <t>RC // D&amp;O / S.A. USD $ 2,000,000.00</t>
  </si>
  <si>
    <t>FBA000060200</t>
  </si>
  <si>
    <t>RC // SEGURO CRIME // S.A. $ 1,500,000.00 USD</t>
  </si>
  <si>
    <t>K6 44005245</t>
  </si>
  <si>
    <t>Diamante Grupo Constructora Y Asociados Sicurezza Mexico, S.A. de C.V.</t>
  </si>
  <si>
    <t>RC CONTRATISTAS // TRABAJOS DE LIMPIEZA DE COCINAS Y EQUIPOS DEL PALACIO DE HIERRO // S.A. $ 2,000,000.00 MN</t>
  </si>
  <si>
    <t>26300 30287500</t>
  </si>
  <si>
    <t>Legorreta Cortina Santiago Gregorio</t>
  </si>
  <si>
    <t>Casa Habitación EDIF $ 15,000,000. MN RC % 5,000,000. MN</t>
  </si>
  <si>
    <t>26300 30217266</t>
  </si>
  <si>
    <t>Glosserman Michael Jack</t>
  </si>
  <si>
    <t>Empresariales S.A. $5,686,100.00  El Dorado Golf And Beach Club Villa 105,San José Del Cabo</t>
  </si>
  <si>
    <t>26300 30266863</t>
  </si>
  <si>
    <t>OC S.A. $ 3,419,351 USD Carretera Transpeninsular Km 10.3 S/N. Cabo Del Sol Agave Lote 13 Los Cabos</t>
  </si>
  <si>
    <t>26300 30216506</t>
  </si>
  <si>
    <t>Kdr 7 L.L.C</t>
  </si>
  <si>
    <t>Casa Habitación Villa Lote 7 Costa Palmas Edificio USD $4,000,000 Y Contenidos USD $1,000,000.00 8,095,000.00 </t>
  </si>
  <si>
    <t>100-0000088345-00</t>
  </si>
  <si>
    <t>EC | Mopla 302-AP-029 y 030 | SA $156,163.00 USD</t>
  </si>
  <si>
    <t>100-0000083186-01</t>
  </si>
  <si>
    <t>EC // Mmh Norte 150-AP-002 // SA USD $ 864,912.71</t>
  </si>
  <si>
    <t>100-0000083171-01</t>
  </si>
  <si>
    <t>EC // Momatosa 134-AP-0112 // SA USD $ 52,287.50</t>
  </si>
  <si>
    <t>26300 30248544</t>
  </si>
  <si>
    <t>Lot 146 Cabo Llc</t>
  </si>
  <si>
    <t>Casa Habitación casa Gerber Lot. 146 edificio USD $9,900,000 contenidos USD $2,200,000.00 </t>
  </si>
  <si>
    <t>26300 30287341</t>
  </si>
  <si>
    <t>Buenas Ondas, LLC</t>
  </si>
  <si>
    <t>Casa Habitación edificio: $ 8,538,000.00 USD contenidos: $ 1,950,000.00 USD. Desarrollo El Dorado Beach Club Lote 9 West End Carretera Transpeninsular Km21 Núm. Int Núm. Edif Cabo San Lucas. El Médano Baja California Sur C.P. 23410</t>
  </si>
  <si>
    <t>26300 30287369</t>
  </si>
  <si>
    <t>Ec 2 carros de golf club car 4 Pasajeros RC $ 10,000.00. El Dorado Beach And Golf Club Carretera Transpeninsular Km 21, West End Lot 9 Cabo Real Los Cabos Baja California Sur C.P. 23405</t>
  </si>
  <si>
    <t>89 - 10947</t>
  </si>
  <si>
    <t>Lujan Cristina</t>
  </si>
  <si>
    <t>Casa Habitación Viznaga Mz 2 Lte 5 Edif F Depto 10 Suma Asegurada MXN $300,000.00 RC</t>
  </si>
  <si>
    <t>26300 30248802</t>
  </si>
  <si>
    <t>Keep Cabo, LLC</t>
  </si>
  <si>
    <t>Casa Habitación Auberge Brisa del mar Villa 1100 contenidos USD $1,000,000.00 </t>
  </si>
  <si>
    <t>INCE/1233-3/INCE/1233-3</t>
  </si>
  <si>
    <t>INCE/1233-3/26300 30289562</t>
  </si>
  <si>
    <t>Incendio edificio USD $ 39,165,652.00 Contenidos USD $ 17,728,534.00 </t>
  </si>
  <si>
    <t>INCE/1233-3/CPK-010000914</t>
  </si>
  <si>
    <t>Incendio Edificio USD $ 39,165,652.00 Contenidos USD $ 17,728,534.00</t>
  </si>
  <si>
    <t>INCE/1233-3/619606239</t>
  </si>
  <si>
    <t>INCE/1233-3/GNA034130000</t>
  </si>
  <si>
    <t>100-0000083172-01</t>
  </si>
  <si>
    <t>EC // Mopla 302-APMXP-004 // SA USD $ 44,444.44</t>
  </si>
  <si>
    <t>01-035-07002048-00000-01</t>
  </si>
  <si>
    <t>Solis Villalon Alejandro</t>
  </si>
  <si>
    <t>BAR/ YATE    PRINCESS  USD $ 130,000.00</t>
  </si>
  <si>
    <t>100-0000076343-05</t>
  </si>
  <si>
    <t>26300 30170680</t>
  </si>
  <si>
    <t>Bruce Dollinger David</t>
  </si>
  <si>
    <t>Ec. Suma Asegurada $ 224,827.40 Carretera Transpeninsular Csl Km 21 S/N,Cabo Real</t>
  </si>
  <si>
    <t>100-0000088395-00</t>
  </si>
  <si>
    <t>EC | Mopla 302-AP-031 y 032 | SA $29,822.00 USD</t>
  </si>
  <si>
    <t>26300 30249179</t>
  </si>
  <si>
    <t>Magnum Networks S.A. De C.V.</t>
  </si>
  <si>
    <t>RC contrastas // ingresos 2023 USD $ 12,000,000.00 S.A.  / USD $ 2,000,000.00 </t>
  </si>
  <si>
    <t>26300 30287323</t>
  </si>
  <si>
    <t>Me // oficinas y bodegas - Dr. Gustavo Baz Prada 14 O. 3. Edo de México y Querétaro contenidos: $ 535,000.00 USD </t>
  </si>
  <si>
    <t>26300 30280482</t>
  </si>
  <si>
    <t>OC Estero Villa 07 $4,599,582 USD Chileno Bay Club Carretera Transpeninsular Km 15 Estero Villa Lote 07 Núm. Int
Núm. Edif Fraccionamiento Rancho El Tule</t>
  </si>
  <si>
    <t>26300 30284932</t>
  </si>
  <si>
    <t>Sholem Cabo L.L.C</t>
  </si>
  <si>
    <t>Casa Habitación Chileno Point 107 Edificio USD $7,993,000 Contenidos USD $1,914,000.00 </t>
  </si>
  <si>
    <t>Condominio Vermont 17, A.C.</t>
  </si>
  <si>
    <t>ME // CONDOMINIO VERMON NO. 17. COL. NAPOLES. CDMX. CP 03810 // EDIF $ 43,784,000.00 MN</t>
  </si>
  <si>
    <t>26300 30286262</t>
  </si>
  <si>
    <t>Alvarez Perez Juan Jorge</t>
  </si>
  <si>
    <t>Avi / CIRRUS / SR22 GTS / 2023 / 9239 / N612JA Casco USD $1,080,000 </t>
  </si>
  <si>
    <t>26300 30286271</t>
  </si>
  <si>
    <t>RC avi / CIRRUS / SR22 GTS / 2023 / 9239 / N612JA RC $ 1,000,000.00 </t>
  </si>
  <si>
    <t>26300 30249491</t>
  </si>
  <si>
    <t>Sombusa LLC</t>
  </si>
  <si>
    <t>Casa Habitación // Lote 11 El Dorado - Carr Transpeninsular km 22.5 Cabo San Lucas. B.C.S.C.P. 23410 Edif USD $ 16,063,000.00 -  Rc USD $ 2,000,000.00 </t>
  </si>
  <si>
    <t>01-041-07002399-00000-01</t>
  </si>
  <si>
    <t>OC //  SEÑALIZACION PROVISIONAL DE AREA DE OBRAS  // S,A, 4,633,975.01 MN</t>
  </si>
  <si>
    <t>100-0000077747-02</t>
  </si>
  <si>
    <t>EC // Aris 109-AF-004 // S.A. USD $ 40,585.00</t>
  </si>
  <si>
    <t>26300 30287779</t>
  </si>
  <si>
    <t>Intercontinental de Medicamentos S.A. de C.V.</t>
  </si>
  <si>
    <t>Empresariales incendio contenidos MXN $ 4,000,000.00 Rc MXN $ 10,000,000.00 </t>
  </si>
  <si>
    <t>4-TRMM-10001686-01</t>
  </si>
  <si>
    <t>Pharmajal Servicios Integrales Farmaceuticos S.A. de  C.V.</t>
  </si>
  <si>
    <t>POLIZA TRANSPORTE COMBINADO PYME S.A. MXN $ 250,000,000.00</t>
  </si>
  <si>
    <t>INCP/1097-2</t>
  </si>
  <si>
    <t>Empresariales Incendio Contenidos MXN $ 162,446,974 RC MXN $ 20,000,000.00</t>
  </si>
  <si>
    <t>K6 44005304</t>
  </si>
  <si>
    <t>Consorcio Metropolitano Inmobiliario S.A. de C.V.</t>
  </si>
  <si>
    <t>Empresariales / TORRE OMEGA  EDIF USD 50,000,000.00  RC USD $ 1,000,000.00</t>
  </si>
  <si>
    <t>26300 30217916</t>
  </si>
  <si>
    <t>Sainz Corte Angel Manuel</t>
  </si>
  <si>
    <t>Casa Habitación Mza. g Lte. 5 Col. La Joya Edificio: $ 1,650,000.00 USD contenidos: $ 60,000.00 USD </t>
  </si>
  <si>
    <t>26300 30217970</t>
  </si>
  <si>
    <t>Desarrollos Nala y Leira S. de R.L. de C.V.</t>
  </si>
  <si>
    <t>Tabique de carga / 2 / casa Habitación / unifamiliar / Carretera Transpeninsular # Km 21-S/N, Cabo Real, Los Cabos 23405 edificio $5,500,000 contenidos USD $350,000.00 </t>
  </si>
  <si>
    <t>EC 2 MONTACARGAS 2029 CON SA de $693,202.00 MXN</t>
  </si>
  <si>
    <t>K6 45000901</t>
  </si>
  <si>
    <t>RC Cto 449 2025 Top Culvert</t>
  </si>
  <si>
    <t>100-0000074224-03</t>
  </si>
  <si>
    <t>EC // Convenio  // JV 4-AP-020 // S.A. USD $ 221,000.00</t>
  </si>
  <si>
    <t>K6 44005692</t>
  </si>
  <si>
    <t>Emerging America Inmobiliaria S.A. de C.V.</t>
  </si>
  <si>
    <t>RC AMBIENTAL LMR $1,000,000.00 USD</t>
  </si>
  <si>
    <t>4-RCF-10000668-01</t>
  </si>
  <si>
    <t>Altair S.A. de C.V.</t>
  </si>
  <si>
    <t>RC D&amp;O   /consejeros y funcionarios US$ 1,000,000.00, Paseo De Los Tamarindos 100, Piso 2, Oficina 202</t>
  </si>
  <si>
    <t>100-0000077779-02</t>
  </si>
  <si>
    <t>EC // Verlite 286-AFMXP-002 // S.A. USD $ 29,500.00</t>
  </si>
  <si>
    <t>26300 30287993</t>
  </si>
  <si>
    <t>Futuro Azul S. de R.L. de C.V.</t>
  </si>
  <si>
    <t>Empresariales edificio USD $ 20,000.00 contenidos USD $ 85,677.00 RC USD $ 500,000.00. Querencia Boulevard Corredor Turístico Colonia San José Del Cabo Centro Los Cabos Baja California Sur C.P. 23400</t>
  </si>
  <si>
    <t>K6 45001792</t>
  </si>
  <si>
    <t>RC CONTRATISTA, SUMA ASEGURADA 1,000,000 USD</t>
  </si>
  <si>
    <t>RC Contratos</t>
  </si>
  <si>
    <t>100-0000085233-03</t>
  </si>
  <si>
    <t>100-0000078718-03</t>
  </si>
  <si>
    <t>100-0000077885-02</t>
  </si>
  <si>
    <t>EC // Mopla 302-AP-001 // S.A. USD $ 13,500.00</t>
  </si>
  <si>
    <t>100-0000077784-02</t>
  </si>
  <si>
    <t>EC // JV 4-AP-026  // S.A. USD $ 49,019.00</t>
  </si>
  <si>
    <t>100-0000077982-02</t>
  </si>
  <si>
    <t>EC // Momatosa 134-APXMO-001 // S.A. $ 470,000.00</t>
  </si>
  <si>
    <t>26300 30218345</t>
  </si>
  <si>
    <t>Ec. 2 Carros de  golf club car onward 6 Passenger 2022 Y electric 4 Passenger mod 2022 soft comfort grip Suma Asegurada USD $ 29,918.00 </t>
  </si>
  <si>
    <t>Servicios Integrales de Almacenamiento y Distribucion S.A. de C.V.</t>
  </si>
  <si>
    <t>RC GENERAL  LMR $1,0000,000</t>
  </si>
  <si>
    <t>26300 30219086</t>
  </si>
  <si>
    <t>Mahuad Quijano Emilio</t>
  </si>
  <si>
    <t>Incremento de suma asegurada USD $2,750,000 Unidad Condominal Lote #25 San Jose Del Cabo Los Cabos Baja California Sur C.P. 23403</t>
  </si>
  <si>
    <t>26300 30289063</t>
  </si>
  <si>
    <t>Mcamp Home / Golf Car and Moke / south coast 15 S.A. $317,384.40 </t>
  </si>
  <si>
    <t>2004-24-001180-00</t>
  </si>
  <si>
    <t>RC | LMR $10,000,000 MXN | Montaje, Instalación, Mantenimiento y Operación de Generación de Energia de Sistemas Fotovoltaicos</t>
  </si>
  <si>
    <t>26300 30277548</t>
  </si>
  <si>
    <t>FIDEICOMISO 5505/2022 GFM</t>
  </si>
  <si>
    <t>OC - Hotel Salara Mar - Hotel Boutique - S.A. $30,522,779 MXN </t>
  </si>
  <si>
    <t>26300 30277334</t>
  </si>
  <si>
    <t>OC - S.A. $60,482,767 MXN - Salara Tierra - conjunto habitacional con amenidades S.A.$ $60,482,767.00 MXN </t>
  </si>
  <si>
    <t>YNA002950000</t>
  </si>
  <si>
    <t>Mariscos Originales Puerto De Mazatlan S.A. de C.V.</t>
  </si>
  <si>
    <t>Empresariales Edificio Carr Transpeninsular Col. San Bernabe MXN $ 2,750,000.00 Contenidos MXN $ 400,000.00 RC MXN $ 2,850,000.00</t>
  </si>
  <si>
    <t>Maree Investments LLC.</t>
  </si>
  <si>
    <t>BAR / Navetta / 75 / US-AOABP854K223 / 2023 / SOUL Suma Asegurada  $5,000,000.00</t>
  </si>
  <si>
    <t>26300 30288769</t>
  </si>
  <si>
    <t>QCabo9, LLC</t>
  </si>
  <si>
    <t>Casa Habitación Querencia el parque lote #9 edificio: $ 3,000,000.00 USD contenidos: $ 20,000.00 USD Facc. Querencia Carr. Transpeninsular Km 27.5 El Parque Unidad Privativa Lote 9 Subcon. Secc 7 Zona Hotelera San José Del Cabo Los Cabos Baja Califor</t>
  </si>
  <si>
    <t>26300 30267176</t>
  </si>
  <si>
    <t>OC S.A. $ 6,164,165 USD Carretera Transpeninsular Km 10.3 S/N Cabo Del Sol Reef 18 B4</t>
  </si>
  <si>
    <t>D00-2-62-7389</t>
  </si>
  <si>
    <t>Chem Additives de Mexico S.A. de C.V.</t>
  </si>
  <si>
    <t>AVI / CIRRUS / SR22T GT / 2019 / 1942 / XB-JFM Casco USD $ 801,000 RC USD $ 5,000,000</t>
  </si>
  <si>
    <t>26300 30290471</t>
  </si>
  <si>
    <t>Riesgos Petroleros RC USD 5,000,000</t>
  </si>
  <si>
    <t>01-047-07006185-00000-02</t>
  </si>
  <si>
    <t>RC // OFICINAS CORPORATIVAS - AV. ACUEDUCTO NO. 2100 OFC 9D-B Y BODEGA S3-D. JAL. C.P. 45110 // S.A. $ 1,000,000.00 MN</t>
  </si>
  <si>
    <t>26300 30289161</t>
  </si>
  <si>
    <t>Casa Habitación HV312 CBC Edificio: $ 5,300,000.00 USD Contenidos: $ 829,574.60 USD</t>
  </si>
  <si>
    <t>100-0000083439-01</t>
  </si>
  <si>
    <t>EC // Montaje Metal 375-AP-001 // SA USD $ 41,000.00</t>
  </si>
  <si>
    <t>100-0000083440-01</t>
  </si>
  <si>
    <t>EC // Griffith Food 377-AS-001 // SA USD $ 6,646.15</t>
  </si>
  <si>
    <t>26300 30248973</t>
  </si>
  <si>
    <t>Medi Access S.A.P.I. De C.V.</t>
  </si>
  <si>
    <t>Empresariales /Oficina/ Ubicación Blvd. Adolfo R. Cortines</t>
  </si>
  <si>
    <t>100-0000077921-02</t>
  </si>
  <si>
    <t>EC // Mopla 302-APMXN-001 // S.A. $ 210,000.00</t>
  </si>
  <si>
    <t xml:space="preserve">SI </t>
  </si>
  <si>
    <t>26300 30219077</t>
  </si>
  <si>
    <t>5-Ten L.L.C.</t>
  </si>
  <si>
    <t>Casa Habitación HV207 CBC edificio USD $3,205,000 contenidos USD $313,000.00 </t>
  </si>
  <si>
    <t>26300 30288171</t>
  </si>
  <si>
    <t>Sugich López Arias Carlos Armando</t>
  </si>
  <si>
    <t>Casa Habitación VistaAazul # 2 cabo del sol edificio USD 1, $500,000 contenidos USD $150,000.00/ 3,965,000.00. Cabo Del Sol Carretera Transpeninsular Km 10.3 S/N Vista Azul #2 Colonia Cabo Del Sol Los Cabos Baja California Sur C.P. 23455</t>
  </si>
  <si>
    <t>Ordaz Sepulveda Oscar Jesus</t>
  </si>
  <si>
    <t>Casa Habitación Edificio $30,000,000 MXN Contenidos $5,000,000 MXN</t>
  </si>
  <si>
    <t>K6 44005548</t>
  </si>
  <si>
    <t>Alencon Couture S.A. de C.V.</t>
  </si>
  <si>
    <t>Empresariales Contenidos USD $720,000.00 RC USD $250,000.00, Presidente Masarik 321 Col. Polanco IV Seccion</t>
  </si>
  <si>
    <t>26300 30289296</t>
  </si>
  <si>
    <t>MM Chileno42, LLC</t>
  </si>
  <si>
    <t>Casa Habitación Estero Villa 42 EDIFICIO: $ 3,491,942.80 USD CONTENIDOS: $ 127,777.78 USD</t>
  </si>
  <si>
    <t>26300 30252093</t>
  </si>
  <si>
    <t>Calbert Michael Madison</t>
  </si>
  <si>
    <t>Casa Habitación Hillside 4 Unit 4c contenidos: $ 300,000.00 USD $ 2,242.50 USD </t>
  </si>
  <si>
    <t>26300 30251940</t>
  </si>
  <si>
    <t>Ec golf Cart $38,000 $ 1,272.75 USD </t>
  </si>
  <si>
    <t>26300 30266881</t>
  </si>
  <si>
    <t>OC S.A. $ 4,111,534 USD  Carretera Transpeninsular Km 10.3 S/N. Col. Cabo Del Sol Baja Lote 14 Los Cabos</t>
  </si>
  <si>
    <t>26300 30219246</t>
  </si>
  <si>
    <t>Hoa Condominio Maestro el dorado West End AC</t>
  </si>
  <si>
    <t>EC Polaris Ranger 2022 serie 4xatae992n8013406 s a. $ 22,103.22 USD </t>
  </si>
  <si>
    <t>01-035-07001766-00000-02</t>
  </si>
  <si>
    <t>Maralat LTD</t>
  </si>
  <si>
    <t>BAR / Ferretti / 2007 / FER88128E707 / 0 / Maralat  Casco USD $2.500.000.00 RC USD $2,500,000.00 3511 Silverside Road, Suite 105, Wilmington - De, 19810 ,</t>
  </si>
  <si>
    <t>26300 30289517</t>
  </si>
  <si>
    <t>Publicaciones Metropolitanas S.A de C.V.</t>
  </si>
  <si>
    <t>Empresariales Incendio Contenidos MXN 2,543,202.65 RC MXN 5,000,000.00 Av. Insurgentes Sur 716 Piso 9 Y 10 Alc. Benito Juarez, Av. Loma Alta 2500 -A Col. Loma Larga, Monterrey; V. Miguel Angel # 86-A, Col. Real Vallarta, Guadalaja</t>
  </si>
  <si>
    <t>K6 44006156</t>
  </si>
  <si>
    <t>RC CONTRATISTAS // TRABAJOS DE LIMPIEZA DE COCINAS Y EQUIPOS -CLIENTES VARIOS // S.A. $ 5,000,000.00 MN</t>
  </si>
  <si>
    <t>D00-2-49-97730</t>
  </si>
  <si>
    <t>SLARQ S. de R.L. de C.V</t>
  </si>
  <si>
    <t>Empresariales //  Oficina Arquitectos // Paseo De La Reforma 2345-201. Cdmx(Adaptaciones al despacho) Edificio 192,500.00 Contenidos 77,000.00</t>
  </si>
  <si>
    <t>Empresariales Edificio MXN $ 11,025,000 Contenidos MXN $ 5,622,750</t>
  </si>
  <si>
    <t>RNA697060900</t>
  </si>
  <si>
    <t>RC // ACTIVIDADES E INMUEBLE - S.A. $ 1,000,000.00 MN</t>
  </si>
  <si>
    <t>100-0000077948-02</t>
  </si>
  <si>
    <t>EC // Simac 5-AP-021 // S.A. USD $ 245,061.90</t>
  </si>
  <si>
    <t>26300 30251833</t>
  </si>
  <si>
    <t>Empresariales 4 Bicicletas de montaña Electricas Suma asegurada  USD 26,129.36</t>
  </si>
  <si>
    <t>100-0000088817-00</t>
  </si>
  <si>
    <t>Contrato 000004-AP-034 J.V. Abastecedora De Montacargas | S.A. USD $256,137.62</t>
  </si>
  <si>
    <t>100-0000088816-00</t>
  </si>
  <si>
    <t>Contrato 000401-AF-001 Metecno | S.A. USD $61,800.00</t>
  </si>
  <si>
    <t>100-0000088809-00</t>
  </si>
  <si>
    <t>Contrato Mopla 302-AP-033 S.A. USD $162,000</t>
  </si>
  <si>
    <t>100-0000088823-00</t>
  </si>
  <si>
    <t>Contrato Mopla 302-AP-034  con S.A. USD 12,000</t>
  </si>
  <si>
    <t>100-0000088808-00</t>
  </si>
  <si>
    <t>Contrato  JV 4-AP-042 con S.A. USD 33,802.54</t>
  </si>
  <si>
    <t>100-0000088820-00</t>
  </si>
  <si>
    <t>Contrato 000085-AP-003 Grupo Mobinsa | S.A. USD $114,700</t>
  </si>
  <si>
    <t>100-0000088821-03</t>
  </si>
  <si>
    <t>26300 30290676</t>
  </si>
  <si>
    <t>Empresariales Empresarial / Hangar  Edificio: $ 70,000,000.00 MN Contenidos: $ 1,000,000.00 MN</t>
  </si>
  <si>
    <t>SNA579680500</t>
  </si>
  <si>
    <t>Ernest Morel Clay</t>
  </si>
  <si>
    <t>Casa Habitación Edificio $1,000,000.00 Contenidos $500000.00</t>
  </si>
  <si>
    <t>26300 30266872</t>
  </si>
  <si>
    <t>OC S.A. $ 4,525,609 USD Carretera Transpeninsular Km 10.3 S/N. Costa Lote 15 Cabo Del Sol</t>
  </si>
  <si>
    <t>MARD/00007486</t>
  </si>
  <si>
    <t>Kaya Bay LLC</t>
  </si>
  <si>
    <t>BAR // YATE LAGOON 50 "KAYA" MOD 2021 // CASCO Y RC USD 1,000,000.00</t>
  </si>
  <si>
    <t>26300 30219709</t>
  </si>
  <si>
    <t>Casa Habitación Tuna Mza. 4 Lt 6 edificio: $ 100,000.00 USD contenidos: $ 4,750.00 USD </t>
  </si>
  <si>
    <t>26300 30219576</t>
  </si>
  <si>
    <t>Empresariales //  Bodega Puerto Logistico, Edif. 5 Local 88. Carr Transpeninsular KM 43.5. BCS Cont $ 1,000,000.00 USD  -  RC $ 500,000.00 USD</t>
  </si>
  <si>
    <t>100-0000083562-01</t>
  </si>
  <si>
    <t>EC // Mopla 302-APMXP-005 // S.A. USD $ 137,477.59</t>
  </si>
  <si>
    <t>K6 44006208</t>
  </si>
  <si>
    <t>Leon Gonzalez Silvia Rosa</t>
  </si>
  <si>
    <t>Casa Habitación Incendio MXN $7,900,000.00 R.C.MXN $1,000,000.00 Mayorazgo 130 Xoco 03330 Benito Juarez, Ciudad De México</t>
  </si>
  <si>
    <t>26300 30192425</t>
  </si>
  <si>
    <t>Casa Habitación Casa Lobo Edif USD $1,500,000.00 Rc USD $100,000.00</t>
  </si>
  <si>
    <t>26300 30289189</t>
  </si>
  <si>
    <t>Piacere Los Cabos S.A. de C.V.</t>
  </si>
  <si>
    <t>ME // Showroom y Bodega En Plaza Koral Center - Transp. Km.24.5 Locales 4,5 Y 6 Bodega A-1. San Jose Del Cabo BCS  Edif USD $ 143,669.84  RC USD 1,000,000.00</t>
  </si>
  <si>
    <t>Donegan Mark</t>
  </si>
  <si>
    <t>Ec suma asegurada $ 180,951.01 USD Carretera Transpeninsular Csl Km. 21 Lote 236 El Dorado Beach Club, Cabo Real</t>
  </si>
  <si>
    <t>3922200002290-2</t>
  </si>
  <si>
    <t>Estampa Italiana S.A. de C.V.</t>
  </si>
  <si>
    <t>Empresariales //  Distribución y Comercialización Productos Decoración y Regalos (Religiosos) CONT $ 22,000,000.00 RC $ 10,000,000.00</t>
  </si>
  <si>
    <t>100-0000068634-04</t>
  </si>
  <si>
    <t>Irvine Verrey Charles Edward</t>
  </si>
  <si>
    <t>Empresariales Av. Estados Unidos No.10 Nave 4 Y 5 Col. El Paraiso, Los Cabos Incendio Edificio USD $6,875.00 Indendio Contenidos USD $26,776.00 R.C.USD $500,000.00</t>
  </si>
  <si>
    <t>89 - 10989</t>
  </si>
  <si>
    <t>Casa Habitación // DEPTO 1501-C. VASCO DE QUIROGA TORRE MYKONOS NO.4800. CUAJIMALPA  EDIFICI MXN $4,163,594.00 R.C. FAMILIAR MXN $ 4,163,594.00</t>
  </si>
  <si>
    <t>Mestre Cardenas Miguel Alejandro</t>
  </si>
  <si>
    <t>Casa Habitación //  SIERRA IXTLAN NO. 190. LOMAS DE CHAPULTEPEC. CDMX  EDIFICIO MXN $5,939,865.00 CONTENIDO MXN $1,484,965.00 R.C.MXN $152,305.00</t>
  </si>
  <si>
    <t>26300 30289198</t>
  </si>
  <si>
    <t>Flash Royalties L.L.C</t>
  </si>
  <si>
    <t>Casa Habitación Villa Hillside 2d Contenidos: $ 450,000.00 USD Suma Asegurada $ 2,160,000.00</t>
  </si>
  <si>
    <t>26300 30253421</t>
  </si>
  <si>
    <t>Taller de Inmobilario MM SAPI. de C.V.</t>
  </si>
  <si>
    <t>26300 30252351</t>
  </si>
  <si>
    <t>Peets &amp; Associates Inc.</t>
  </si>
  <si>
    <t>Casa Habitación HV423 Edificio: $ 3,217,000.00 USD Contenidos: $ 252,000.00 USD</t>
  </si>
  <si>
    <t>Contrato de Fideicomiso de Administracion no empresarial NO. 2849/2018 R322</t>
  </si>
  <si>
    <t>REEXPEDICION - OC //  CONSTRUCCION EDIFICO DE DEPARTAMENTOS - REFORMA 322. COL. JUAREZ.// VALOR $ 312,292,269. MN</t>
  </si>
  <si>
    <t>1-430-46272-0</t>
  </si>
  <si>
    <t>Sierra Mojada 450 A.C.</t>
  </si>
  <si>
    <t>ME // Condominio en Sierra Moja No. 450. Lomas de Chapultepec II Secc // Edif 35 MDP - RC 11 MDP</t>
  </si>
  <si>
    <t>26300 30290774</t>
  </si>
  <si>
    <t>The Base Place, S.A. de C.V.</t>
  </si>
  <si>
    <t>Empresariales / Bodegas para renta / Primer riesgo $12,000,000</t>
  </si>
  <si>
    <t>100-0000073589-05</t>
  </si>
  <si>
    <t>100-0000088904-00</t>
  </si>
  <si>
    <t>EC //  Ser filtracion 438-AP-001 // S.A. USD $33,660.00</t>
  </si>
  <si>
    <t>100-0000078026-02</t>
  </si>
  <si>
    <t>EC // Momatosa 134-AP-008  // S.A. USD $ 39,580.00</t>
  </si>
  <si>
    <t>100-0000078027-02</t>
  </si>
  <si>
    <t>EC // Mopla 302-AP-002 // S.A. USD $ 5,422.44</t>
  </si>
  <si>
    <t>Blk Worldwide Projects &amp; Facilities Management S.A. de C.V.</t>
  </si>
  <si>
    <t>RCC //  Servicios especializados de Facility management // S.A $ 1,000,000.00 MN</t>
  </si>
  <si>
    <t>K6 44006201</t>
  </si>
  <si>
    <t>Element Media S.A. de C.V.</t>
  </si>
  <si>
    <t>RC AEI // Oficinas Dumas N° 130. San Jose Insurgentes. CDMX. C.P. 03900 RC $ 4,046.000.00 MN</t>
  </si>
  <si>
    <t>K6 44006738</t>
  </si>
  <si>
    <t>POLIZA RCT RC USD 1,000,000.00</t>
  </si>
  <si>
    <t>26300 30252299</t>
  </si>
  <si>
    <t>LS Cabo, LLC</t>
  </si>
  <si>
    <t>Casa Habitación Ocaso Villa 2 Contenidos $ 380,000.00 USD</t>
  </si>
  <si>
    <t>26300 30291112</t>
  </si>
  <si>
    <t>Aeropuerto Cabo San Lucas Internacional S.A de C.V</t>
  </si>
  <si>
    <t>RC S.A. USD $30,000,000</t>
  </si>
  <si>
    <t>100-0000083656-01</t>
  </si>
  <si>
    <t>EC // Mobajsa 336-AP-001 // S.A. USD $ 897,050.00</t>
  </si>
  <si>
    <t>D00-2-2-43076</t>
  </si>
  <si>
    <t>Comercializadora Kremlin S.A. de C.V.</t>
  </si>
  <si>
    <t>TRANSP. ANUAL // BODEGA Y TIENDA DE AGUARDIENTES, ALCOHOL, VINOS Y SIDRAS // PAE $ 4,000,000.00 MN - LMX $ 400,000.00</t>
  </si>
  <si>
    <t>26300 30253172</t>
  </si>
  <si>
    <t>Cabo-AHL345, LLC</t>
  </si>
  <si>
    <t>Casa Habitación Unit 345 El Dorado Contenidos: $ 300,000.00 Mn</t>
  </si>
  <si>
    <t>YNA003080000</t>
  </si>
  <si>
    <t>Empresariales Idelfonso Green Col. San José Del Cabo Centro Edificios MXN $ 1,250,000.00 Contenidos MXN $ 400,000.00 R.C. MXN $ 1,875,000.00</t>
  </si>
  <si>
    <t>Asociacion de Condominos de Alencastre A.C.</t>
  </si>
  <si>
    <t>Empresariales // CONDOMINIO EN FERNANDO ALENCASTRE NO. 99. LOMAS DE CHAPULTEPEC. CDMX / EDIF USD 15,000,000.00 RC USD $ 1,000,000.00</t>
  </si>
  <si>
    <t>100-0000083765-01</t>
  </si>
  <si>
    <t>EC // Impresos 383-AP-001 // S.A. USD $ 32,247.00</t>
  </si>
  <si>
    <t xml:space="preserve">RC / AUTOS </t>
  </si>
  <si>
    <t>26300 30253840</t>
  </si>
  <si>
    <t>Bigos-Chileno Bay, LLC</t>
  </si>
  <si>
    <t>Casa Habitación Chileno Point 113 Edificio USD $9,973,059.03 Contenidos USD $1,287,604.88</t>
  </si>
  <si>
    <t>YNA003090000</t>
  </si>
  <si>
    <t>Empresariales Mariano Abasolo Sn Col. Barrio El Manglito, Paz, Edificios MXN $ 1,000,000.00 Contenidos MXN $ 400,000.00 R.C MXN $ 1,725,000.00</t>
  </si>
  <si>
    <t>K6 44006628</t>
  </si>
  <si>
    <t>Carrington Granillo Karen</t>
  </si>
  <si>
    <t>Casa Habitación /  S.A. $ 1,500,000  / Av 11 62 Conj 9 Int. Casa 33 Granjas Estrella 09880 Iztapalapa, Ciudad De México,</t>
  </si>
  <si>
    <t>26300 30290417</t>
  </si>
  <si>
    <t>Aventuras y Expediciones de Los Cabos S.A. de C.V. /Aumento Sa Edificio Ubic 7.Palmar De Enmedio Km 72 Carr Cabo San Lucas- Todos Los Santos. Playa Cerritos. BCS C.P. 23000Edificio: $ 13,000,000.00 USD, Contenidos: $ 4,467,000.00</t>
  </si>
  <si>
    <t>SNA585190500</t>
  </si>
  <si>
    <t>Goldston Jeannie Renne</t>
  </si>
  <si>
    <t>Casa Habitación Av Revolución 2620, Col. Zona Central Paz, S.A.   EDIF USD $320,000.00  / RC USD $100,000.00</t>
  </si>
  <si>
    <t>100-0000078143-02</t>
  </si>
  <si>
    <t>EC // Arizlu 42-AP-013 // S.A. USD $ 63,780.00</t>
  </si>
  <si>
    <t>100-0000078141-02</t>
  </si>
  <si>
    <t>EC // Simac 5-AP-022 // S.A. USD $ 26,780.00</t>
  </si>
  <si>
    <t>100-0000078142-02</t>
  </si>
  <si>
    <t>EC // Simac 5-AP-023 // S.A. USD $ 55,620.00</t>
  </si>
  <si>
    <t>01-05-017296-000-01</t>
  </si>
  <si>
    <t>AXM Arquitectos S.A. de C.V.</t>
  </si>
  <si>
    <t>RC The Shores</t>
  </si>
  <si>
    <t>Medina Kolchik Olga</t>
  </si>
  <si>
    <t>Casa Habitación // Depto 301 Culiacán No. 40. Hipódromo. Cdmx 06100 // Edif $7,752,000. RC $10,000,000.00</t>
  </si>
  <si>
    <t>26300 30254938</t>
  </si>
  <si>
    <t>EC Carro Adicional de Golf Club Car Año 2012 S.A $114,536.40 MXN</t>
  </si>
  <si>
    <t>01-058-07000242-00000-03</t>
  </si>
  <si>
    <t>Medi Access Seguros De Salud S.A. de C.V.</t>
  </si>
  <si>
    <t>RCPRO Rc Profesional MXN $30,000,000.00</t>
  </si>
  <si>
    <t>26300 30172465</t>
  </si>
  <si>
    <t>Cabin 3 L.L.C..</t>
  </si>
  <si>
    <t>Casa Habitación HV 409 edificio: $ 2,700,000.00 USD contenidos: $ 405,000.00 USD </t>
  </si>
  <si>
    <t>26300 30254607</t>
  </si>
  <si>
    <t>Ec Bob Cat suma asegurada $282,945.00 USD </t>
  </si>
  <si>
    <t>26300 30254778</t>
  </si>
  <si>
    <t>Brown Kirk Norman</t>
  </si>
  <si>
    <t>Casa Habitación West End Lot 16 Edificio USD$10,538,220.94 Contenidos USD$ 1,375,000.00</t>
  </si>
  <si>
    <t>26300 30291899</t>
  </si>
  <si>
    <t>Casa Marine, LLC</t>
  </si>
  <si>
    <t>Casa Habitación Cove Club Casa 2 Upper CDS CONTENIDOS: $ 300,000.00 USD</t>
  </si>
  <si>
    <t>01-037-07008521-00000-07</t>
  </si>
  <si>
    <t>Casa Habitación // BOSQUES DE TABACHINES NO. 327 DEPTO.102-1 TORRE 1 . BOSQUES DE LAS LOMAS CDMX  EDIF USD $200,000.  RC USD  $500,000.</t>
  </si>
  <si>
    <t>26300 30192899</t>
  </si>
  <si>
    <t>Brb Properties L.L.C.</t>
  </si>
  <si>
    <t>Casa Habitación Hv 411 Edificio: $ 3,678,400.00 USD Contenidos: $ 295,240.00 USD</t>
  </si>
  <si>
    <t>ENA810170900</t>
  </si>
  <si>
    <t>Discovery El Dorado Administracion S. De R.L. De C.V.</t>
  </si>
  <si>
    <t>Empresariales Bicicletas Incendio Contenidos $27,140.71</t>
  </si>
  <si>
    <t>26300 30290961</t>
  </si>
  <si>
    <t>Wesley McGee John</t>
  </si>
  <si>
    <t>Concreto / 2 / Casa Habitación / Unifamiliar / Carretera Federal Libramiento Al Aeropuerto Km 19 # Km 119-6, El Tule, Los Cabos, Contenidos: $ 20,000.00 USD</t>
  </si>
  <si>
    <t>01-066-07003647-00000-09</t>
  </si>
  <si>
    <t>RCPRO Dra Gabriela Omara RC $1,000,000.00 US</t>
  </si>
  <si>
    <t>100-0000083736-01</t>
  </si>
  <si>
    <t>Ec // Conservas 348-Ap-002 // S.A. Usd $ 68,286.00 / Av 5 de febrero 1351 - 202, Benito Juárez</t>
  </si>
  <si>
    <t>100-0000083780-01</t>
  </si>
  <si>
    <t>Ec/ 19,725.00/ Av 5 de Febrero 1351 - 202, Benito Juárez</t>
  </si>
  <si>
    <t>100-0000078154-02</t>
  </si>
  <si>
    <t>EC // TIA 289-AP-001 // S.A. USD $37,199.00 / Av 5 de Febrero 1351 - 202, Benito Juárez</t>
  </si>
  <si>
    <t>K6 44006991</t>
  </si>
  <si>
    <t>Yashnee Agroquimicos De Mexico S.A. de C.V.</t>
  </si>
  <si>
    <t>RC // Seguro De Responsabilidad Ambiental // S.A USD 250,000.00</t>
  </si>
  <si>
    <t>PENDIENTE</t>
  </si>
  <si>
    <t>01-048-07011087-00000-01</t>
  </si>
  <si>
    <t>Comercial Flosol S.A. de C.V.</t>
  </si>
  <si>
    <t>AVI / PIPER / PA31T / 1976 / 31T-7620034 / XB-JZT RC $ 15,000,000.00 M.N 16 De Septiembre 1243 , La Floresta,Puerto Vallarta Puerto  Vallarta</t>
  </si>
  <si>
    <t>100-0000073806-05</t>
  </si>
  <si>
    <t>100-0000073814-05</t>
  </si>
  <si>
    <t>100-0000083809-01</t>
  </si>
  <si>
    <t>EC // Taylor Farms 103-AP-005 // S.A. USD $ 1,940,350.00/ Av 5 de Febrero 1351 - 202, Benito Juárez</t>
  </si>
  <si>
    <t>26300 30291791</t>
  </si>
  <si>
    <t>Girault Domenge Fernando</t>
  </si>
  <si>
    <t>Incremento de valores en varias coberturas Edificio: $ 3,000,000.00 USD Contenidos: $ 250,000.00 USDSeguro De Hogar Lote 9 Cs</t>
  </si>
  <si>
    <t>K6 44007148</t>
  </si>
  <si>
    <t>Frondoso Groundworks S.A. de C.V.</t>
  </si>
  <si>
    <t>RC Anual 2024 2025 S.A. USD $3,000,000.00</t>
  </si>
  <si>
    <t>100-0000083835-01</t>
  </si>
  <si>
    <t>EC // AIRS 109-AF-005 // S.A. USD $ 31,656.00 / Av 5 de Febrero 1351 - 202, Benito Juárez</t>
  </si>
  <si>
    <t>AJ1002310000</t>
  </si>
  <si>
    <t>Aviones y Helicopteros Ejecutivos, S.A. de .C.V</t>
  </si>
  <si>
    <t>AV/ TEXTRON B300 SA $7800,000</t>
  </si>
  <si>
    <t>26300 30221518</t>
  </si>
  <si>
    <t>Inmobiliaria Guerrero S.A. de C.V.</t>
  </si>
  <si>
    <t>RC // Actividades // Clínica Oftalmológica RC Arrendatario $1,000,000.00 M.N.. Arista Guerrero Cuauhtémoc, Cuidad de México</t>
  </si>
  <si>
    <t>26300 30255214</t>
  </si>
  <si>
    <t>Yate IV, LLC</t>
  </si>
  <si>
    <t>Casa Habitación Auberge yate 4 unit 2615 contenidos USD $200,000.00 </t>
  </si>
  <si>
    <t>26300 30292745</t>
  </si>
  <si>
    <t>Mc Beath William Patrick</t>
  </si>
  <si>
    <t>Casa Habitación Hillside 10B Contenidos: $ 1,300,000.00 USD</t>
  </si>
  <si>
    <t>FEA000950200</t>
  </si>
  <si>
    <t>RC PROFESIONAL A&amp;I // S.A. USD $ 2,000,000.00</t>
  </si>
  <si>
    <t>26300 30255205</t>
  </si>
  <si>
    <t>Rewoldt Karen Lynne</t>
  </si>
  <si>
    <t>Casa Habitación lote 1 fracc las terrazas edificio USD $950,000.00 contenidos USD $60,000.00 </t>
  </si>
  <si>
    <t>100-0000078216-02</t>
  </si>
  <si>
    <t>Ec // Mopla 302-Ap-004 // S.A. Usd $ 81,876.00 / Av 5 De Febrero 1351 - 202, Benito Juárez</t>
  </si>
  <si>
    <t>100-0000078217-02</t>
  </si>
  <si>
    <t>Ec // Kwang 309-Ap-001 // S.A. Usd $ 99,000.00/ Av 5 de Febrero 1351 - 202, Benito Juárez</t>
  </si>
  <si>
    <t>100-0000078213-02</t>
  </si>
  <si>
    <t>Ec // Mopla 302-Ap-003 // S.A. Usd $ 303,000.00 / Av 5 De Febrero 1351 - 202, Benito Juárez</t>
  </si>
  <si>
    <t>26300 30193736</t>
  </si>
  <si>
    <t>La Posada S.A.</t>
  </si>
  <si>
    <t>Reexpedicion ME // Hotel Hacienda - Carr Toluca-Valle De Bravo Km 58.5,Valle De Bravo - Edificio: $ 2,000,000.00 USD contenidos: $ 50,000.00 USD</t>
  </si>
  <si>
    <t>CAHA-070-1003346-0-1</t>
  </si>
  <si>
    <t>Martyna Charles Edward</t>
  </si>
  <si>
    <t>Casa Habitación Vista Lagos lt 10 Club Campestre edificio$19,400,000.00 m.n.  contenidos $1,164,000.00 m.n.  R.C.$ 1,940,000.00 m.n. </t>
  </si>
  <si>
    <t>D00-2-55-36680</t>
  </si>
  <si>
    <t>Soluciona Tu Hogar, S.A. de C.V.</t>
  </si>
  <si>
    <t>Casa Habitación La Pila 36 Club Campestre Contenidos $550,000.00</t>
  </si>
  <si>
    <t>26300 30134738</t>
  </si>
  <si>
    <t>Chileno Investment Properties L.L.C.</t>
  </si>
  <si>
    <t>Casa Habitación Villa 218</t>
  </si>
  <si>
    <t>100-0000089199-00</t>
  </si>
  <si>
    <t>EC / Mobajsa 336-APMXP-001  / Dos montacargaS / MONTO MXP 2,192,715.00</t>
  </si>
  <si>
    <t>100-0000089203-00</t>
  </si>
  <si>
    <t>EC / Poliza 100-0000089203-00 / SIMAC 5-ap-036 / 1 montacarga US 20,538</t>
  </si>
  <si>
    <t>100-0000089202-00</t>
  </si>
  <si>
    <t>EC / Simac 5-ap-035 / 10 montacargas / Valor Asegurado US 333,375</t>
  </si>
  <si>
    <t>100-0000074771-03</t>
  </si>
  <si>
    <t>Ec // Nemak 105-Ap-022 // S.A. Usd  $ 25,462.00 / Av 5 De Febrero 1351 - 202, Benito Juárez</t>
  </si>
  <si>
    <t>89 - 11014</t>
  </si>
  <si>
    <t>Mancilla Grupo S.A. de C.V.</t>
  </si>
  <si>
    <t>EC S.A. $1,000,000.00</t>
  </si>
  <si>
    <t>26300 30293726</t>
  </si>
  <si>
    <t>PMC Cove, LLC</t>
  </si>
  <si>
    <t>Casa Habitación club Villa 13 CDS contenidos USD $300,000.00 </t>
  </si>
  <si>
    <t>26300 30255134</t>
  </si>
  <si>
    <t>South Coast 20, LLC</t>
  </si>
  <si>
    <t>OC South Coast Lotes 19 Y 20 CBC USD $18,000,000.00 </t>
  </si>
  <si>
    <t>100-0000083918-01</t>
  </si>
  <si>
    <t>Ec // Mobinsa 6-Ap-016 // S.A. Usd $ 153,749.00 / Av 5 De Febrero 1351 - 202, Benito Juárez</t>
  </si>
  <si>
    <t>26300 30255679</t>
  </si>
  <si>
    <t>Empresariales Caseta Four Seasons Cabo del Sol  Edificio USD 324,193.35 Contenidos USD $7,352.94</t>
  </si>
  <si>
    <t>Monte Elbruz 105 A.C.</t>
  </si>
  <si>
    <t>ME // Condominio Habitacional - Monte Elbruz NO. 105  CDMX. C.P. 11530  EDIF USD $5,200,000.  RC USD $1,000,000.00</t>
  </si>
  <si>
    <t>Soula Lacal Ruben Dario Arturo</t>
  </si>
  <si>
    <t>Empresariales /  Vicente Suarez No. 110 / EDIF 7,500,000</t>
  </si>
  <si>
    <t>26300 30255615</t>
  </si>
  <si>
    <t>Ec 3 carros DE golf BRP 2023</t>
  </si>
  <si>
    <t>26300 30293129</t>
  </si>
  <si>
    <t>JCCC-Cabo, LLC</t>
  </si>
  <si>
    <t>Casa Habitación RE38 Edificio: $ 7,516,371.69 USD, Contenidos: $ 355,965.13 USD</t>
  </si>
  <si>
    <t>26300 30292932</t>
  </si>
  <si>
    <t>Gabriola Marketing, S. de R.L. de C.V.</t>
  </si>
  <si>
    <t>EC Carrito de Golf Todos Santos de la Paz</t>
  </si>
  <si>
    <t>26300 30292406</t>
  </si>
  <si>
    <t>Grupo Almarter S.A. de C.V.</t>
  </si>
  <si>
    <t>AVI</t>
  </si>
  <si>
    <t>26300 30292754</t>
  </si>
  <si>
    <t>AVI / CIRRUS / ST22T / 2024 S.A. CASCO $1,200,600.00 USD</t>
  </si>
  <si>
    <t>26300 30292399</t>
  </si>
  <si>
    <t>AVI /  SA   500,000  USD    MAULE  N65VR</t>
  </si>
  <si>
    <t>26300 30292371</t>
  </si>
  <si>
    <t>AVI / MAULE / MT 7-260 / 2021 / 27016C</t>
  </si>
  <si>
    <t>100-0000078027-03</t>
  </si>
  <si>
    <t>100-0000074804-03</t>
  </si>
  <si>
    <t>Ec // Nemak 105-Ap-023 /  S.A. $ 25,462.56 Usd / Av 5 De Febrero 1351 - 202, Benito Juárez</t>
  </si>
  <si>
    <t>26300 30293584</t>
  </si>
  <si>
    <t>Timbuktu Properties, LLC</t>
  </si>
  <si>
    <t>Casa Habitación HV217 CBC Edificio: $ 3,992,000.00 USD Contenidos: $ 757,000.00 USD</t>
  </si>
  <si>
    <t>26300 30293272</t>
  </si>
  <si>
    <t>Bass Karan Gay</t>
  </si>
  <si>
    <t>Hogar // PH Villa Coral 402. Cabo Real. BCS // Contenidos USD 800,000. RC USD</t>
  </si>
  <si>
    <t>NCGL-070-1001837-0-1</t>
  </si>
  <si>
    <t>GL Wrap Incl HV408</t>
  </si>
  <si>
    <t>NCGL-070-1001834-0-1</t>
  </si>
  <si>
    <t>RC GL Wrap Inclusión Estero Villas 5, 6, 9, 10, 17 y 18</t>
  </si>
  <si>
    <t>100-0000089246-00</t>
  </si>
  <si>
    <t>Martínez Gutiérrez Rodolfo Enrique</t>
  </si>
  <si>
    <t>Casa Habitación / Bungalos Village / Edif: US 195,000</t>
  </si>
  <si>
    <t>K6 44007030</t>
  </si>
  <si>
    <t>Sanchez Rucobo Raul</t>
  </si>
  <si>
    <t>Casa Habitación Edificio MXN $5,000,000.00 Contenidos MXN $550,000.00 R.C. MXN $3,000,000.00</t>
  </si>
  <si>
    <t>Cadiz Ventura, S.A. DE C.V.</t>
  </si>
  <si>
    <t>ME // EDIF DEPARTAMENTOS - SALAMANCA 31 COL ROMA NORTE // EDIF $ 80 MDP RC $ 3 MDP</t>
  </si>
  <si>
    <t>Condominio Bosques De Cidros 88 AC</t>
  </si>
  <si>
    <t>EmpresarialesME // Condominio Habitacional - Bosques De Cidros 88. B. Las Lomas. Cuajimalpa, CDMX // EDIF $ 91 MDP  - RC $ 5 MDP</t>
  </si>
  <si>
    <t>26300 30256561</t>
  </si>
  <si>
    <t>Ford Chileno Holdings, LLC</t>
  </si>
  <si>
    <t>Casa Habitación Hillside Building 6 unit Villa 6B Edificio: $ 60,000.00 usd contenidos: $ 350,000.00</t>
  </si>
  <si>
    <t>Jasso Galvez Juan Pablo</t>
  </si>
  <si>
    <t>Casa Habitación // Depto A006 Torre La Toscana - Zapopan Jal. // Rc Arrendatario $ 4 MDP</t>
  </si>
  <si>
    <t>100-0000084014-01</t>
  </si>
  <si>
    <t>Ec // Mopla 302-Apmxp -006 // S.A. Usd $ 80,320.33 / Av 5 De Febrero 1351 - 202, Benito Juárez</t>
  </si>
  <si>
    <t>D00-2-2-43153</t>
  </si>
  <si>
    <t>Transportes Anual // Tequila Y Mezcal En Carros Tanque //  PAE $ 200,000,000.00 MN - LMXE $ 6,000,000.00 MN</t>
  </si>
  <si>
    <t>26300 30209239</t>
  </si>
  <si>
    <t>Fideicomiso 3463</t>
  </si>
  <si>
    <t>Extensión de vigencia 24/08/2024 S.A. $44,000,000 Alvaro Obregón 150 ,Colonia Roma Norte</t>
  </si>
  <si>
    <t>26300 30209177</t>
  </si>
  <si>
    <t>Extensión de vigencia 24/08 S.A. $88,000,000 Alvaro Obregón 152 ,Colonia Roma Norte</t>
  </si>
  <si>
    <t>62 - 14050</t>
  </si>
  <si>
    <t>Ramirez Nieto Guillermo Eduardo</t>
  </si>
  <si>
    <t>Casa Habitación S.A.$ 600,000.00 MXN Coto Hacienda Los Pinos 6274 , Hacienda Del Seminario, C.P. 82129, Mazatlan, Mazatlan, Sinaloa</t>
  </si>
  <si>
    <t>517996401-2</t>
  </si>
  <si>
    <t>Krasovitzky Leventer Alfredo</t>
  </si>
  <si>
    <t>Casa Habitación/Mimosa 45 RC. MXN $7,490,000</t>
  </si>
  <si>
    <t>26300 30293502</t>
  </si>
  <si>
    <t>Casa Habitación // Casa Muestra/Huéspedes. Reserva de los Jinetes cont. $ 560,000.00 MX RC $ 5,000,000.00 MX</t>
  </si>
  <si>
    <t>26300 30291461</t>
  </si>
  <si>
    <t>Hyde Micah Richmond</t>
  </si>
  <si>
    <t>Casa Habitación / Av. Paseo De Las Misiones 1942 / Edif: USD $1,435,047.88 Cont: $297,852</t>
  </si>
  <si>
    <t>100-0000074852-03</t>
  </si>
  <si>
    <t>Ec // Convenio / Nemak 105-Ap-024 // S.A. Usd $ 61,821.38 / Av 5 De Febrero 1351 - 202, Benito Juárez</t>
  </si>
  <si>
    <t>100-0000074853-03</t>
  </si>
  <si>
    <t>Ec // Convenio // Nemak 106-Ap-006 // S.A. Usd $ 61,822.00 / Av 5 De Febrero 1351 - 202, Benito Juárez</t>
  </si>
  <si>
    <t>4-SBS-10013366-1</t>
  </si>
  <si>
    <t>OB Publicaciones S.A.P.I. DE C.V.</t>
  </si>
  <si>
    <t>Empresariales // OFICINAS DE EDITORES - SIRIO NO 3302 PISO 3. COL. CONCEPTCION LAS LAJAS. PUEBLA, PUE. C.P. 72190 S.A. CONT $ 166,655.00 MN  -  RC $ 3,000,000.00 MN</t>
  </si>
  <si>
    <t>26300 30291210</t>
  </si>
  <si>
    <t>Asociacion de Condominos Riviera Oeste A.C.</t>
  </si>
  <si>
    <t>Casa Habitación Edificio: $ 38,299,069.00 USD Contenidos: $ 4,000,000.00 USD Carretera Transpeninsular Km. 10.3 S/N Club Villa 3-4 Cabo Del Sol</t>
  </si>
  <si>
    <t>26300 30292718</t>
  </si>
  <si>
    <t>Empresariales carretera transpeninsular km 29.5 SN. Plaza península loc. 3c. La jolla san José del cabo S.A. Cont. $ 250,000.00 MX RC $ 5,000,000.00 </t>
  </si>
  <si>
    <t>26300 30293860</t>
  </si>
  <si>
    <t>Eq contratistas CBC alta 24 equipos S.A. $ 83,214,383.07 MX </t>
  </si>
  <si>
    <t>100-0000089304-00</t>
  </si>
  <si>
    <t>Mopla 302-AP-036 // S.A. USD 124,227.62</t>
  </si>
  <si>
    <t>100-0000089296-00</t>
  </si>
  <si>
    <t>Mopla 302-AP-035 // S.A. USD 52,100.00</t>
  </si>
  <si>
    <t>26300 30293922</t>
  </si>
  <si>
    <t>EC Carro de Golf Lifted Onward 6 Pax $ 21,950.00 USD</t>
  </si>
  <si>
    <t>26300 30292059</t>
  </si>
  <si>
    <t>Empresariales // 4 oficinas móviles - EQ. Contratistas $ 1,387,560.00 MX  RC $ 1,000,000.00 MX</t>
  </si>
  <si>
    <t>100-0000078143-03</t>
  </si>
  <si>
    <t>100-0000089343-00</t>
  </si>
  <si>
    <t>Bustrain 8-AP-005 // S.A. USD 754.591.50</t>
  </si>
  <si>
    <t>100-0000089346-00</t>
  </si>
  <si>
    <t>Mopla 302-AP-037 // S.A. USD 163,033.37</t>
  </si>
  <si>
    <t>100-0000084149-01</t>
  </si>
  <si>
    <t>Ec // Mobajsa 336-Ap-002 // S.A. Usd $ 53,000.00 / Av 5 De Febrero 1351 - 202, Benito Juárez</t>
  </si>
  <si>
    <t>D00-2-55-36682</t>
  </si>
  <si>
    <t>Tantum Business S.A. de C.V.</t>
  </si>
  <si>
    <t>HOGAR // Casa 4 Paseo De La Reforma No. 2394. Lomas Altas. CDMX. C.P. 11950 S.A. EDIF $ 17,143,247.00 RC $ 2,000,000.00 MN</t>
  </si>
  <si>
    <t>The Fish Benoist Revocable Living Trust Jason Fish T</t>
  </si>
  <si>
    <t>Casa Habitación HV 206</t>
  </si>
  <si>
    <t>100-0000077784-04</t>
  </si>
  <si>
    <t>EC // JV 4-AP-026 // S.A. USD $ 294.13</t>
  </si>
  <si>
    <t>100-0000089463-00</t>
  </si>
  <si>
    <t>JV  4-AP-043 // S.A. USD 21,700.00</t>
  </si>
  <si>
    <t>100-0000078466-02</t>
  </si>
  <si>
    <t>Ec // Momatosa 134-Ap-009 // S.A. Usd $ 115,586.12 / Av 5 de Febrero 1351 - 202, Benito Juárez</t>
  </si>
  <si>
    <t>K6 44007462</t>
  </si>
  <si>
    <t>Obregón Villegas María Eugenia</t>
  </si>
  <si>
    <t>HOGAR // Av Tabachines 327 # Depto 901-Torre 1, Bosques de las Lomas, Ciudad de México, México 05120 S.A.  EDIC $ 10,000,000. MN  -  RC $ 5,000,000. MN</t>
  </si>
  <si>
    <t>K6 44007640</t>
  </si>
  <si>
    <t>Caracoleta</t>
  </si>
  <si>
    <t>Empresariales S.A. CONT $ 500,000.00 MN RC $10,000.000. MN</t>
  </si>
  <si>
    <t>Cañada de Vista Hermosa 44 A.C.</t>
  </si>
  <si>
    <t>Empresariales S.A. EDIF $ 35,000,000.MN -  RC $ 3,000,000. MN</t>
  </si>
  <si>
    <t>Inmobiliaria Gutimar S.A.</t>
  </si>
  <si>
    <t>Empresariales // Condominio Campos Elíseos No. 325. Polanco III Secc. Cdmx  Edif USD $ 17,300,000.00  RC USD $ 1,000,000.00</t>
  </si>
  <si>
    <t>Casa Habitación CASA FSR04L</t>
  </si>
  <si>
    <t>Casa Habitación CASA FSR08L</t>
  </si>
  <si>
    <t>Casa Habitación CASA FSR09R01</t>
  </si>
  <si>
    <t>Casa Habitación CASA FSR08U</t>
  </si>
  <si>
    <t>Casa Habitación CASA FSR06U</t>
  </si>
  <si>
    <t>Casa Habitación CASA FSR05L</t>
  </si>
  <si>
    <t>Casa Habitación  CASA FSR02L</t>
  </si>
  <si>
    <t>Casa Habitación CASA FSR06L</t>
  </si>
  <si>
    <t>Casa Habitación CASA FSR13L</t>
  </si>
  <si>
    <t>Casa Habitación CASA FSR01L</t>
  </si>
  <si>
    <t>Casa Habitación CASA FSR01U</t>
  </si>
  <si>
    <t>Casa Habitación CASA FSR02U</t>
  </si>
  <si>
    <t>Casa Habitación CASA FSR04U</t>
  </si>
  <si>
    <t>Casa Habitación CASA FSR07U</t>
  </si>
  <si>
    <t>Casa Habitación CASA FSR14L</t>
  </si>
  <si>
    <t>Casa Habitación CASA FSR19L</t>
  </si>
  <si>
    <t>Casa Habitación CASA FSR19U</t>
  </si>
  <si>
    <t>Casa Habitación CASA FSR20L</t>
  </si>
  <si>
    <t>Casa Habitación CASA FSR20U</t>
  </si>
  <si>
    <t>Casa Habitación CASA FSR03L</t>
  </si>
  <si>
    <t>Casa Habitación CASA FSR03U</t>
  </si>
  <si>
    <t>Casa Habitación CASA FSR14U</t>
  </si>
  <si>
    <t>Casa Habitación CASA FSR15L</t>
  </si>
  <si>
    <t>Casa Habitación CASA FSR15U</t>
  </si>
  <si>
    <t>Casa Habitación CASA FSR17L</t>
  </si>
  <si>
    <t>Casa Habitación CASA FSR18L</t>
  </si>
  <si>
    <t>Casa Habitación CASA FSR18U</t>
  </si>
  <si>
    <t>Casa Habitación CASA FSR10PH</t>
  </si>
  <si>
    <t>Casa Habitación CASA FSR12L</t>
  </si>
  <si>
    <t>Casa Habitación CASA FSR16L</t>
  </si>
  <si>
    <t>Casa Habitación CASA FSR16U</t>
  </si>
  <si>
    <t>Casa Habitación CASA FSR17U</t>
  </si>
  <si>
    <t>Casa Habitación CASA FSR09R02</t>
  </si>
  <si>
    <t>Casa Habitación CASA FSR09R03</t>
  </si>
  <si>
    <t>Casa Habitación CASA FSR09R04</t>
  </si>
  <si>
    <t>Casa Habitación CASA FSR09R05</t>
  </si>
  <si>
    <t>Casa Habitación CASA FSR09R07</t>
  </si>
  <si>
    <t>Casa Habitación CASA FSR10L</t>
  </si>
  <si>
    <t>Casa Habitación CASA FSR10M</t>
  </si>
  <si>
    <t>49-CRCG-20000267-1-0</t>
  </si>
  <si>
    <t>RC // Contratistas - Servicios limpieza  - Plaza Comercial Oriente</t>
  </si>
  <si>
    <t>49-CRCG-20000268-1-0</t>
  </si>
  <si>
    <t>RC // Contratistas- Servicios limpieza  - Distribuidora Parador del viajero</t>
  </si>
  <si>
    <t>Jado Investments II LLC</t>
  </si>
  <si>
    <t>Casa Habitación FSR11L</t>
  </si>
  <si>
    <t>100-0000078467-02</t>
  </si>
  <si>
    <t>EC // JV 4-AP-027 A 029 // S.A. USD $ 312,097.47</t>
  </si>
  <si>
    <t>Residencial San Miguel 18 A.C</t>
  </si>
  <si>
    <t>EMPRESARIAL // CONDOMINIO EN GENERAL ANTONIO LEON NO. 18. CDMX S.A.  EDIF $ 29,425,000. MN  -  RC $ 5,000,000. MN</t>
  </si>
  <si>
    <t>26300 30256963</t>
  </si>
  <si>
    <t>Ogarrio Mereles Andres</t>
  </si>
  <si>
    <t>Casa Habitación S.A. $ 1,350,000.00 Vistas Del Valle Lote 36 Sección Los Valle Sn Lote 36 Colonia San José Del Cabo Centro</t>
  </si>
  <si>
    <t>26300 30256918</t>
  </si>
  <si>
    <t>Casa Habitación  $1,350,000.00 Espíritu Santo Km 7.5 Carr A Pichilingue Km 7.5 Int. Lote 32 Sn Sudcaliforniana</t>
  </si>
  <si>
    <t>26300 30294128</t>
  </si>
  <si>
    <t>Casa Habitación $ 1,350,000.00 Paseo De La Misiones No. Ext. 927 No. Int: A 103 Campo De Golf</t>
  </si>
  <si>
    <t>100-0000089497-00</t>
  </si>
  <si>
    <t>Ceiba 171-AP-005 // S.A. USD 36,700.00</t>
  </si>
  <si>
    <t>01-091-07000255-00000-01</t>
  </si>
  <si>
    <t>Holders Club S.A.P.I. de C.V.</t>
  </si>
  <si>
    <t>RC Padre Sisteaga 187. Puerto Los Cabos</t>
  </si>
  <si>
    <t>D00-2-49-98350</t>
  </si>
  <si>
    <t>Empresariales, Holders Club 5434</t>
  </si>
  <si>
    <t>MARD/00007656</t>
  </si>
  <si>
    <t>BAR / A / 0 S.A. USD $272,461.00 53 embarcaciones</t>
  </si>
  <si>
    <t>Empresariales | Renovación Zurich S.A MXN $1,575,000</t>
  </si>
  <si>
    <t>01-035-07002108-00000-01</t>
  </si>
  <si>
    <t>Torres Molina Isaias</t>
  </si>
  <si>
    <t>BAR / JOHNSON YACHT / 95 / JSY95050D111 / 2011 / Go</t>
  </si>
  <si>
    <t>100-0000084175-01</t>
  </si>
  <si>
    <t>EC // Salina Lobos 274-AP-004 // S.A. USD $ 111,250.00</t>
  </si>
  <si>
    <t>Overman Brett Ashley</t>
  </si>
  <si>
    <t>Casa Habitación Ph08 Edificio USD $4,000,000.00 Contenidos USD $1,650,000.00</t>
  </si>
  <si>
    <t>4-PLUS-00002029-01</t>
  </si>
  <si>
    <t>All Venture Partners S.C.</t>
  </si>
  <si>
    <t>Empresariales // Oficinas // Sierra Mojada No. 447 Pb. Lomas De Chapultepec. CDMX S.A. MXN $500,000.00</t>
  </si>
  <si>
    <t>El Dorado Seccion 3 Asociacion de Condominio Maestro Ac</t>
  </si>
  <si>
    <t>ANA011630000</t>
  </si>
  <si>
    <t>SMM Flight Services SA de CV</t>
  </si>
  <si>
    <t>AVI / JET / 31A / 1998 / XA-SMM</t>
  </si>
  <si>
    <t>0203-003263-00</t>
  </si>
  <si>
    <t>Distribuidora de Dulces Nila S.A. de C.V.</t>
  </si>
  <si>
    <t>TN // POLIZA ANUAL A DECLARACION // PAE $ 20,000,000.00 MN / LMXE $ 800,000.00 - DULCES</t>
  </si>
  <si>
    <t>100-0000069167-04</t>
  </si>
  <si>
    <t>Vigil Martinez Javier</t>
  </si>
  <si>
    <t>Casa Habitación // Javier Vigil Martinez // Crédito Hipotecario S.A. EDIF $ 82,500,000.00 RC 5,000,000.00</t>
  </si>
  <si>
    <t>Tutton Christopher James</t>
  </si>
  <si>
    <t>Casa Habitación Cjon De Las Estrellas 20 El Pedregal</t>
  </si>
  <si>
    <t>K6 44007175</t>
  </si>
  <si>
    <t>Karl Heinz Klocker</t>
  </si>
  <si>
    <t>Casa Habitación S.A.</t>
  </si>
  <si>
    <t>100-0000089581-00</t>
  </si>
  <si>
    <t>EC / MOPLA 302-AP-038</t>
  </si>
  <si>
    <t>100-0000089833-00</t>
  </si>
  <si>
    <t>EC / MOBAJSA 336-AP-015</t>
  </si>
  <si>
    <t>100-0000089824-00</t>
  </si>
  <si>
    <t>EC / MOBAJSA 336-AP-014</t>
  </si>
  <si>
    <t>Hoblin L.L.C</t>
  </si>
  <si>
    <t>Casa Habitación Costa Palmas Beach Club Casitas 7 edificio: $ 4,000,000.00 USD contenidos: $ 550,000.00 USD </t>
  </si>
  <si>
    <t>1-430-300043505 / 3</t>
  </si>
  <si>
    <t>Legorreta, Gomez y Asociados Administrador, S.C.</t>
  </si>
  <si>
    <t>Empresariales Campos Eliseos No. 345 501A Contenidos 2,500,000.00</t>
  </si>
  <si>
    <t>K6 44007275</t>
  </si>
  <si>
    <t>Inmobiliaria Medi Access S.A. de C.V.</t>
  </si>
  <si>
    <t>Empresariales // 2 Ubicaciones Arrendadas en Hidalgo // Uso: Clínicas con Consultorios, Farmacia Y Toma De Muestras S.A.  EDIF $ 11,200,000.00 MN  RC $ 2,000,000.00 MN</t>
  </si>
  <si>
    <t>100-0000089574-00</t>
  </si>
  <si>
    <t>EC / MOBINSA 6-AP-024</t>
  </si>
  <si>
    <t>26300 30295190</t>
  </si>
  <si>
    <t>Nauti Gas S.A. de C.V.</t>
  </si>
  <si>
    <t>01-047-07006557-00000-02</t>
  </si>
  <si>
    <t>Grupo Addim S.A.de C.V.</t>
  </si>
  <si>
    <t>RC GENERAL SA MXN$ 8,250,000.00</t>
  </si>
  <si>
    <t>NCGL-070-1001841-0</t>
  </si>
  <si>
    <t>GL Wrap Inclusión CV 14-15 Reef</t>
  </si>
  <si>
    <t>BNA068290100</t>
  </si>
  <si>
    <t>RC S.A. MXN $100,000.00</t>
  </si>
  <si>
    <t>100-0000075125-03</t>
  </si>
  <si>
    <t>EC // Convenio // JV 4-AP-021 // S.A. USD $ 301,500.00</t>
  </si>
  <si>
    <t>100-0000075126-03</t>
  </si>
  <si>
    <t>EC // Convenio // Delta 246-AP-001 // S.A. USD $ 151,764.00</t>
  </si>
  <si>
    <t>26300 30223794</t>
  </si>
  <si>
    <t>Riviera 3 L.L.C</t>
  </si>
  <si>
    <t>Casa Habitación La Riviera 3</t>
  </si>
  <si>
    <t>Aviva Laura</t>
  </si>
  <si>
    <t>Casa Habitación // Amsterdam 180 Col. Hipodromo Condesa CP 6100 CDMX  EDIF USD $450,000.   RC USD $500,000.</t>
  </si>
  <si>
    <t>Megawatts S.A.P.I. de C.V.</t>
  </si>
  <si>
    <t>RC CONTRATISTA-GMX-MEGAWATTS SUMA ASEGURADA MXN$ 200,000,000.00</t>
  </si>
  <si>
    <t>RM  CMI /1,000,000.00</t>
  </si>
  <si>
    <t>26300 30258694</t>
  </si>
  <si>
    <t>Brent Handler Revocable Trust</t>
  </si>
  <si>
    <t>EC Carrito de Golf Express L6 Electric 2022</t>
  </si>
  <si>
    <t>26300 30115517</t>
  </si>
  <si>
    <t>Residencias La Loma S.A. de C.V.</t>
  </si>
  <si>
    <t>ME // Asilo - Sierra Vertientes 3803 Lomas de Chapultepec. CDMX. Edif USD $ 1,000,000.00 RC USD $ 100,000.00 </t>
  </si>
  <si>
    <t>26300 30258578</t>
  </si>
  <si>
    <t>Cabo Chloe Chileno, LLC</t>
  </si>
  <si>
    <t>Casa Habitación HV 422 USD $8,000,000.00 Contenidos USD $1,680,000.00</t>
  </si>
  <si>
    <t>26300 30258355</t>
  </si>
  <si>
    <t>Grupo Carbel S.A. de C.V</t>
  </si>
  <si>
    <t>Empresariales MXN $ 66,000,000.00 Camino A Penwalt Km 22.5 S/N El Salto Jalisco C.P.45680</t>
  </si>
  <si>
    <t>AVI2400000000040</t>
  </si>
  <si>
    <t>AVI / Avión / CIRRUS / SR22T / 2012 / 0412 / N102TX</t>
  </si>
  <si>
    <t>ANA011010100</t>
  </si>
  <si>
    <t>AVI / DIAMOND / HK36TTC / 1998 / 36613 / N613TT S.A. $140,000 USD</t>
  </si>
  <si>
    <t>AVI2400000000038</t>
  </si>
  <si>
    <t>AVI / Avión / Pilatus / PC12-47 / 2007 / 828 / XA-ERO S.A. $3,700,000.00</t>
  </si>
  <si>
    <t>AVI2400000000037</t>
  </si>
  <si>
    <t>AVI / Avión / Piper / Saratoga II  TC / 2005 / 3257378 / XA-UQK S.A. $500,000.00</t>
  </si>
  <si>
    <t>AVI2400000000039</t>
  </si>
  <si>
    <t>AVI / Avión / Quest / Kodiak 100 / 2016 / 198 / XA-PVR S.A. $1,900,000.00</t>
  </si>
  <si>
    <t>01-043-07000181-00000-07</t>
  </si>
  <si>
    <t>RC / , Puerto Vallarta/Tlajomulco de Zúñiga, Jalisco, México 48310/4565 S.A. USD $ 1,500,000</t>
  </si>
  <si>
    <t>26300 30258202</t>
  </si>
  <si>
    <t>Empresariales // áreas comunes desarrollo reserva de los jinetes S.A. Edif $ 14,83,000.00 MX RC $ 10,000,000.00 MX </t>
  </si>
  <si>
    <t>100-0000093141-00</t>
  </si>
  <si>
    <t>100-0000089637-00</t>
  </si>
  <si>
    <t>EC // Industrializadora de Maíz 000443-AP-001 // USD 188,510</t>
  </si>
  <si>
    <t>100-0000089633-00</t>
  </si>
  <si>
    <t>EC // MOPLA 000302-AP-039 Y 040 // USD 7,081</t>
  </si>
  <si>
    <t>100-0000081069-02</t>
  </si>
  <si>
    <t>EC //  Mopla 302-AP-007 Y 008 // S.A. USD $ 57,461.00 | 9 MESES</t>
  </si>
  <si>
    <t>01-047-07004743-00000-03</t>
  </si>
  <si>
    <t>RC // ACTIVIDADES - INSPECCION DE EMISION DE METANO // S.A. USD $ 1,000,000,00</t>
  </si>
  <si>
    <t>100-0000084369-01</t>
  </si>
  <si>
    <t>EC // Mopla 302-AP-014 // S.A.  USD $ 247,413.79</t>
  </si>
  <si>
    <t>Casa Habitación Ridge Estate 15</t>
  </si>
  <si>
    <t>01-035-07001812-00000-02</t>
  </si>
  <si>
    <t>Corporativo Costa Afuera S.A. de C.V.</t>
  </si>
  <si>
    <t>BAR Embarcación Clon Casco y P&amp;I S.A. USD $ 3,000,000.00 RC USD $ 1,000,000.00</t>
  </si>
  <si>
    <t>26300 30258792</t>
  </si>
  <si>
    <t>Cabo Villa 1, LLC</t>
  </si>
  <si>
    <t>Casa Habitación Luna 7 Auberge CBC Contenidos: $ 200,000.00 USD</t>
  </si>
  <si>
    <t>ANA011670001</t>
  </si>
  <si>
    <t>RC Hangares</t>
  </si>
  <si>
    <t>K6 44008084</t>
  </si>
  <si>
    <t>Berrondo Barroso Ivette</t>
  </si>
  <si>
    <t>RC // Contratistas - Construcción De Casa 3 Niveles - Tembleque Mz 1 Lt 22. Boques Sta Fe. // S.A. 1,000,000.00</t>
  </si>
  <si>
    <t>100-0000089678-00</t>
  </si>
  <si>
    <t>EC // MOPLA 000302-AP-041 // USD 2,746</t>
  </si>
  <si>
    <t>100-0000075170-03</t>
  </si>
  <si>
    <t>EC //  Convenio // Vibracoutic 255-AP-001 Y 002 // S.A. USD $ 418,153.00</t>
  </si>
  <si>
    <t>Servicios Inmobiliarios El Puente S.A. de C.V.</t>
  </si>
  <si>
    <t>ME // PLAZA COMERCIAL - CORREGIDORA NTE. 913 MANUFACTURA NO. 1. QUERETRO</t>
  </si>
  <si>
    <t>EC CARRITO ELÉCTRICO UTILITARIO CON PLATAFORMA 5ASAX27476F039057 CARRO CAFÉ EXPRESS MD1718812972 CARRO CAFÉ EXPRESS MD1718812971</t>
  </si>
  <si>
    <t>26300 30258989</t>
  </si>
  <si>
    <t>EC Express Elite 2021 S.A. USD</t>
  </si>
  <si>
    <t>100-0000085162-05</t>
  </si>
  <si>
    <t>100-0000067979-10</t>
  </si>
  <si>
    <t>EC // Toledo 148-AP-001 Suma Asegurada $102,693.00  USD</t>
  </si>
  <si>
    <t>100-0000089692-00</t>
  </si>
  <si>
    <t>EC // KOWI 000135-AP-006 // USD 623,665</t>
  </si>
  <si>
    <t>100-0000089684-00</t>
  </si>
  <si>
    <t>100-0000084394-01</t>
  </si>
  <si>
    <t>EC // Arizlu 42-AP-016 // S.A.  USD $ 75,000.00</t>
  </si>
  <si>
    <t>100-0000084395-01</t>
  </si>
  <si>
    <t>EC // Arizlu 42-AP-015 // S.A. USD $ 75,000.00</t>
  </si>
  <si>
    <t>100-0000084426-01</t>
  </si>
  <si>
    <t>EC // Simac 5-AP-027 // S.A. USD $ 34,960.00</t>
  </si>
  <si>
    <t>Empresariales Maria de la Piedad, Coatzacoalcos - Veracruz</t>
  </si>
  <si>
    <t>26300 30296180</t>
  </si>
  <si>
    <t>HOGAR // Paseo De Las Misiones 927- E 403. San Jose Del CabO. BCS. CP 23400. EDIF USD 300,000.00</t>
  </si>
  <si>
    <t>01-035-07000805-00000-06</t>
  </si>
  <si>
    <t>Vaughan Redo Joaquin Jorge</t>
  </si>
  <si>
    <t>BAR / 0 S.A. $100,000.00</t>
  </si>
  <si>
    <t>D00-2-49-98338</t>
  </si>
  <si>
    <t>Panera El Roble S.A. de C.V.</t>
  </si>
  <si>
    <t>Empresariales Contenidos MXN $ 12,660,000.00,  R.C. MXN $ 23,000,000.00</t>
  </si>
  <si>
    <t>100-0000075171-03</t>
  </si>
  <si>
    <t>EC // Convenio // Dleta 246-AP-002 // S.A. USD $ 66,478.06</t>
  </si>
  <si>
    <t>26300 30197108</t>
  </si>
  <si>
    <t>Legorreta Mestre Eduardo</t>
  </si>
  <si>
    <t>Casa Habitación/Sierra Paracaima 1180, Lomas De Chapultepec edificio: $ 4,600,000.00 m.n. Contenidos: $ 1,400,000.00 m.n. </t>
  </si>
  <si>
    <t>26300 30293227</t>
  </si>
  <si>
    <t>Two Amigos L.L.C</t>
  </si>
  <si>
    <t>Casa Habitación / Two Amigos / Edif:$ 6,979,824.7</t>
  </si>
  <si>
    <t>26300 30259933</t>
  </si>
  <si>
    <t>Black Platinum Mexico LLC</t>
  </si>
  <si>
    <t>Hogar // Paseo De La Bahía Lote 20 Desarrollo Casa Del Mar. La cruz de Huanacaxtle. Bahía de banderas. Nay. Cp. 63734 edif. USD $3,000,000.00 - RC USD $1,000,000.00 </t>
  </si>
  <si>
    <t>100-0000078718-04</t>
  </si>
  <si>
    <t>K6 45006466</t>
  </si>
  <si>
    <t>100-0000074256-04</t>
  </si>
  <si>
    <t>EC // Convenio // Nemak 105-AP-021 // S.A. USD $ 68,768.00</t>
  </si>
  <si>
    <t>100-0000087057-02</t>
  </si>
  <si>
    <t>EC // Prenske 136-AP-010 // S.A. USD $ 34,500.00</t>
  </si>
  <si>
    <t>100-0000084540-01</t>
  </si>
  <si>
    <t>EC | Contrato Gmobinsa 85-AP-004 | SA $ 209,200.00</t>
  </si>
  <si>
    <t>100-0000089795-00</t>
  </si>
  <si>
    <t>EC / BUSTRAIN 8-AP-006</t>
  </si>
  <si>
    <t>100-0000089794-00</t>
  </si>
  <si>
    <t>EC / MOPLA 302-AP-042</t>
  </si>
  <si>
    <t>100-0000089919-00</t>
  </si>
  <si>
    <t>EC // MOMATOSA 000134-AP-020 Y 021 // USD 162,482</t>
  </si>
  <si>
    <t>Cassab Achy Carlos</t>
  </si>
  <si>
    <t>Casa Habitación | Nueva emisión S.A. MXN $6,500,000</t>
  </si>
  <si>
    <t>26300 30260084</t>
  </si>
  <si>
    <t>Casa Habitación // Circuito de la Concha no 58. Terrarta. Bucerias. Nay. Cp. 06363732 S.A. Edif. $4,000,000.00 RC $5,000,000.00 </t>
  </si>
  <si>
    <t>26300 30297919</t>
  </si>
  <si>
    <t>ABT William Paul</t>
  </si>
  <si>
    <t>Casa Habitación // Cove Club Reef Vila 8 Desarollo Cabo Del Sol. Bcs c.p. 23410</t>
  </si>
  <si>
    <t>01-074-07031853-00000-01</t>
  </si>
  <si>
    <t>Ogarqo S.A. de C.V.</t>
  </si>
  <si>
    <t>RC Contristas // Construcción De Edificio  Condominios - Club Golf Campestre San José Los Cabos</t>
  </si>
  <si>
    <t>100-0000078831-02</t>
  </si>
  <si>
    <t>EC // JV 4-AP-030 // S.A. USD $ 29,580.00</t>
  </si>
  <si>
    <t>100-0000084599-01</t>
  </si>
  <si>
    <t>EC | Contrato JV 4-AP-035 | SA $72,500</t>
  </si>
  <si>
    <t>100-0000087231-01</t>
  </si>
  <si>
    <t>EC // Penske 136-APMXP-008 // S.A. USD $ 6,395.00</t>
  </si>
  <si>
    <t>100-0000087005-02</t>
  </si>
  <si>
    <t>EC // Penske 136-APMXP-009 // S.A. USD $ 159,552.00</t>
  </si>
  <si>
    <t>26300 30196706</t>
  </si>
  <si>
    <t>Casa Habitación/Fontana Brava 10 11 int6, Col Avándaro, Valle de Bravo, Edo México, CP. 51200 S.A. $2,200,000</t>
  </si>
  <si>
    <t>26300 30279733</t>
  </si>
  <si>
    <t>OC // construcción casa lt sc112 chileno / Chileno Bay Club Lote CS11. Cabo San Lucas //   oc USD $ 13,577,338 RC USD $ 2,000,000.00 </t>
  </si>
  <si>
    <t>100-0000089924-00</t>
  </si>
  <si>
    <t>EC // MOBAJSA 000336-AP-016 Y 017 // USD 41,278</t>
  </si>
  <si>
    <t>100-0000089897-00</t>
  </si>
  <si>
    <t>EC // MOPLA 000302-AP-043 // USD 612,511</t>
  </si>
  <si>
    <t>Sarah E. Anderson Revocable Trust</t>
  </si>
  <si>
    <t>Casa Habitación HV305 Sarah E. Anderson revocable trust fideicomiso S.A. edificio USD $1,540,000.00 contenidos USD $507,100.00 </t>
  </si>
  <si>
    <t>K6 44008703</t>
  </si>
  <si>
    <t>JORDACY MEXICO, S.A. DE C.V.</t>
  </si>
  <si>
    <t>RC Ambiental // Importación De Plaguicidas // S.A. USD 250,000.00</t>
  </si>
  <si>
    <t>D00-2-56-18187</t>
  </si>
  <si>
    <t>Keller John Peter IV</t>
  </si>
  <si>
    <t>Casa Habitación Chileno Point 123  Daños Materiales del Inmueble $45,285.60</t>
  </si>
  <si>
    <t>100-0000078895-02</t>
  </si>
  <si>
    <t>EC // Mobinsa A 63-AP-001 // S.A. USD $ 298,030.95</t>
  </si>
  <si>
    <t>100-0000071446-07</t>
  </si>
  <si>
    <t>K6 45001388</t>
  </si>
  <si>
    <t>Z&amp;Z Construcciones S.A. de C.V.</t>
  </si>
  <si>
    <t>RC Cto SN Remodelación WE Lot 7 EL Dorado</t>
  </si>
  <si>
    <t>K6 44008772</t>
  </si>
  <si>
    <t>Desarrolladora Up Santa Fe S.A. de C.V.</t>
  </si>
  <si>
    <t>Torre de uso mixto:Carretera Federal México-Toluca, no. 5440, El Yaqui, Cuajimalpa de Morelos,  Extensión del seguro al 14 de octubre de 2024</t>
  </si>
  <si>
    <t>26300 30297928</t>
  </si>
  <si>
    <t>EC // 2 Carros De Golf // Valor Total USD 41,614.48</t>
  </si>
  <si>
    <t>Huckleberry Mexico, LLC</t>
  </si>
  <si>
    <t>Casa Habitación Hillside 9B Incendio Contenidos $750,000.00</t>
  </si>
  <si>
    <t>100-0000087007-02</t>
  </si>
  <si>
    <t>EC // Penske 136-APMX-004 // S.A. USD $ 35,175.00</t>
  </si>
  <si>
    <t>100-0000088821-04</t>
  </si>
  <si>
    <t>100-0000086920-03</t>
  </si>
  <si>
    <t>EC // Nemak 104-AP-001 // S.A. USD $1,881,250.00</t>
  </si>
  <si>
    <t>100-0000071454-04</t>
  </si>
  <si>
    <t>EC // Induspac 190-AP-002 // S.A. USD $ 92,040.00</t>
  </si>
  <si>
    <t>100-0000064317-06</t>
  </si>
  <si>
    <t>EC // Penske136-APMX-002 Y 003 // S.A. USD $ 437,032.82 //</t>
  </si>
  <si>
    <t>26300 30287591</t>
  </si>
  <si>
    <t>Daño Físico S.A. $16,050,000 USD Y Bi $4,176,972 USD - Campo Cuichapa. Paseo De Las Reforma 483 Piso 52 Colonia  Cuauhtémoc Ciudad De México C.P. 0650</t>
  </si>
  <si>
    <t>26300 30287608</t>
  </si>
  <si>
    <t>Daño Físico Sa $16,176,459 USD Campo Cuichapa Y Días Paso De Oro. Av. Paseo De La Reforma 350 Piso 6b Núm. Int Núm. Edif Juarez Cuauhtémoc Ciudad De México C.P. 06600</t>
  </si>
  <si>
    <t>Brachman Fried Richard</t>
  </si>
  <si>
    <t>Casa Habitación HV 209</t>
  </si>
  <si>
    <t>26300 30261591</t>
  </si>
  <si>
    <t>Chileno Ridge 9A, LLC</t>
  </si>
  <si>
    <t>Casa Habitación Hillside 9A S.A. USD $500,000.00 </t>
  </si>
  <si>
    <t>D00-2-56-18181</t>
  </si>
  <si>
    <t>Gardner Curtis Sorensen</t>
  </si>
  <si>
    <t>Casa Habitación Ocean Estates 14 CBC</t>
  </si>
  <si>
    <t>K6 44008574</t>
  </si>
  <si>
    <t>Casa Habitación / Fontana Rosa # 9-Lt.2, Avándaro, Valle de Bravo, México, México 51200 S.A.Edificio $10,613,000.00  MXN contenidos $500,000.00 MXN</t>
  </si>
  <si>
    <t>100-0000084733-01</t>
  </si>
  <si>
    <t>EC | nueva póliza | Gmobinsa 85-AP-005 | SA USD $ 176,200.00</t>
  </si>
  <si>
    <t>26300 30261537</t>
  </si>
  <si>
    <t>Two Point Properties, LLC</t>
  </si>
  <si>
    <t>Casa Habitación Hillside de Unit 6A S.A.</t>
  </si>
  <si>
    <t>01-036-07001239-00000-03</t>
  </si>
  <si>
    <t>Marina San Carlos S.A. de C.V.</t>
  </si>
  <si>
    <t>EC // Diversos equipos para operaciones en marina seca y marina mojada de embarcaciones S.A.  Equipo USD $ 3,078,739.00</t>
  </si>
  <si>
    <t>si</t>
  </si>
  <si>
    <t>100-0000084703-01</t>
  </si>
  <si>
    <t>EC | Nueva Poliza | Contrato Madereria 366-AP-001 | SA USD $ 38,435.00</t>
  </si>
  <si>
    <t>01-037-07027120-00000-01</t>
  </si>
  <si>
    <t>Achy Geraix Mary Nagla</t>
  </si>
  <si>
    <t>Casa Habitación / Paseo de los Laureles # 404-302, Bosques de las Lomas, Cuajimalpa de Morelos, Ciudad de México, México 05120</t>
  </si>
  <si>
    <t>100-0000076334-04</t>
  </si>
  <si>
    <t>100-0000076335-04</t>
  </si>
  <si>
    <t>1-420-100072540</t>
  </si>
  <si>
    <t>Dot De Beltran Monserrat</t>
  </si>
  <si>
    <t>Vega Del Manantial No. 107 Col. Avándaro Valle De Bravo Estado De México C.P. 51200 Vivienda $8,000,000.00 Contenidos $50,000.00</t>
  </si>
  <si>
    <t>Asociacion de Condominios del Portico A.C.</t>
  </si>
  <si>
    <t>EMPRESARIAL //  GUILLERMO GONZALEZ CAMARENA 111. SANTA FE. 01210 EDIF $ 120,000,000.00 MN - RC $  10,000,000.00 MN</t>
  </si>
  <si>
    <t>26300 30198848</t>
  </si>
  <si>
    <t>Anchor Down 409 L.L.C.</t>
  </si>
  <si>
    <t>Casa Habitación / Carretera Transpeninsular km 15 s/n # Villa 409, San José Del Cabo, Los Cabos, Baja California Sur, México 23450 S.A. USD $450,000 </t>
  </si>
  <si>
    <t>26300 30278789</t>
  </si>
  <si>
    <t>OC Fideicomiso Cabo del Sol, Banamex 140819-2 / Four Seasons Estates lote sol 12 / obra civil S.A. $4,899,939 </t>
  </si>
  <si>
    <t>01-035-07001410-00000-04</t>
  </si>
  <si>
    <t>Hagarty Garry Lyle</t>
  </si>
  <si>
    <t>BAR / Sea Ray / Sundancer 360 / SERF9884K304 / 2004</t>
  </si>
  <si>
    <t>Casita Contenta II, LLC</t>
  </si>
  <si>
    <t>Casa Habitación Casa Bella Las Colinas 17 UP # 15</t>
  </si>
  <si>
    <t>100-0000073589-06</t>
  </si>
  <si>
    <t>100-0000087010-02</t>
  </si>
  <si>
    <t>EC // Penske 136-APMXP-007 // S.A. USD $ 254,160.00</t>
  </si>
  <si>
    <t>26300 30298981</t>
  </si>
  <si>
    <t>Santiago Rodríguez Lizbeth Alin</t>
  </si>
  <si>
    <t>26300 30299739</t>
  </si>
  <si>
    <t>La Máquina Reluciente, S.A. de C.V.</t>
  </si>
  <si>
    <t>RC Contratistas // Servicios De Limpieza, Reparación Y Mantenimiento De Autos Y Camiones</t>
  </si>
  <si>
    <t>01-049-07000043-00000-05</t>
  </si>
  <si>
    <t>Vista Guitarron S.A. de C.V.</t>
  </si>
  <si>
    <t>RC S.A. USD $ 462,888.37 Espigón en la zona Federal Marítimo Terrestre, Guitarrón num 180, lote D-5</t>
  </si>
  <si>
    <t>100-0000082205-02</t>
  </si>
  <si>
    <t>EC // Ohtli X //SA USD $ 371,253.86</t>
  </si>
  <si>
    <t>26300 30227353</t>
  </si>
  <si>
    <t>Casa Alba L.L.C.</t>
  </si>
  <si>
    <t>Casa Habitación Cove Bungalow 01 CDS Contenidos: $ 350,000.00 USD </t>
  </si>
  <si>
    <t>26300 30299436</t>
  </si>
  <si>
    <t>Arte Cove Bungalow 01 CDS S.A. USD $ 30,000 </t>
  </si>
  <si>
    <t>01-048-07010184-00002-02</t>
  </si>
  <si>
    <t>Colux S.A. de C.V.</t>
  </si>
  <si>
    <t>AVI / CIRRUS / SR22 / 2020 / 4885 / N392JL</t>
  </si>
  <si>
    <t>100-0000087035-02</t>
  </si>
  <si>
    <t>EC // Penske 136-APMXP-006 // S.A. USD $ 73,536.00</t>
  </si>
  <si>
    <t>100-0000084751-01</t>
  </si>
  <si>
    <t>EC | Simac 5-AP-28 | SA USD $ 32,545</t>
  </si>
  <si>
    <t>Asociacion De Condominos Sindicalismo 20, A.C.</t>
  </si>
  <si>
    <t>Empresariales // Condominio Habitacional - Sindicalismo No. 20. Col. Hipódromo. C.P. 06100 // Reexp por cambio valores EDIF $ 27,000,000.00 MN  RC $ 5,000,000.00 MN</t>
  </si>
  <si>
    <t>TERRORISMO ESPERANZA, S.A. $50,000,000 USD</t>
  </si>
  <si>
    <t>K6 44009113</t>
  </si>
  <si>
    <t>Inmobiliaria Belgrado S.A. de C.V.</t>
  </si>
  <si>
    <t>BAR / Bote Inflable Highfield Sport Sp360 - Suma Asegurada: $34,362.11</t>
  </si>
  <si>
    <t>100-0000069904-04</t>
  </si>
  <si>
    <t>EC // Nemak 105-AP-013 // S.A USD $ 219,486.00</t>
  </si>
  <si>
    <t>100-0000069899-04</t>
  </si>
  <si>
    <t>EC // Nemak 105-AP-012 // S.A. USD $ 626,527.00</t>
  </si>
  <si>
    <t>100-0000073609-04</t>
  </si>
  <si>
    <t>EC //  Penske 136-APMXP-010 // S.A. USD $ 15,748.00</t>
  </si>
  <si>
    <t>100-0000084778-01</t>
  </si>
  <si>
    <t>EC |  Momatosa 134-AP-013 | SA USD $ 499,800</t>
  </si>
  <si>
    <t>26300 30199375</t>
  </si>
  <si>
    <t>Casa Habitación Hilltop Penthouse 416 El Dorado contenidos: $ 400,000.00 USD </t>
  </si>
  <si>
    <t>26300 30299212</t>
  </si>
  <si>
    <t>Arte Hilltop Penthouse 416 El Dorado S.A. $111,517.00 USD </t>
  </si>
  <si>
    <t>01-048-07011321-00000-01</t>
  </si>
  <si>
    <t>AVI /  RC  LEGAL  Cirrus SR22T  Matricula: N743WG  S/N: 10262</t>
  </si>
  <si>
    <t>100-0000070018-09</t>
  </si>
  <si>
    <t>EC //  TMMG 201-AP-001 // S.A. USD $ 161,046.00</t>
  </si>
  <si>
    <t>100-0000070017-08</t>
  </si>
  <si>
    <t>100-0000063886-08</t>
  </si>
  <si>
    <t>100-0000087055-02</t>
  </si>
  <si>
    <t>EC // Pemske 136-APMXP-001 // S.A. USD $ 119,292.00</t>
  </si>
  <si>
    <t>D00-2-56-18211</t>
  </si>
  <si>
    <t>Asociacion de Condominios Rivera del Este A.C.</t>
  </si>
  <si>
    <t>CASA HABITACION BEACH VILLA 1-2</t>
  </si>
  <si>
    <t>D00-2-56-18215</t>
  </si>
  <si>
    <t>CASA HABITACION VILLA 5-8</t>
  </si>
  <si>
    <t>D00-2-56-18212</t>
  </si>
  <si>
    <t>CASA HABITACION COVE BUNGALOW 1-4</t>
  </si>
  <si>
    <t>D00-2-56-18213</t>
  </si>
  <si>
    <t>CASA HABITACION VILLA 7 - 8</t>
  </si>
  <si>
    <t>D00-2-56-18214</t>
  </si>
  <si>
    <t>Casa Habitación VILLA 9-10</t>
  </si>
  <si>
    <t>Adame Gonzalez de Castilla y Asociados S.C.</t>
  </si>
  <si>
    <t>RCPRO // DESPACHO DE ABOGADOS // S.A. 2,500,000.00 MN</t>
  </si>
  <si>
    <t>100-0000084819-01</t>
  </si>
  <si>
    <t>EC | Contrato Acompatado 390-AP-001 | SA USD $ 32,850.00</t>
  </si>
  <si>
    <t>100-0000067145-05</t>
  </si>
  <si>
    <t>EC // Newak 106-AP-003 // S.A. USD $ 353,196.00</t>
  </si>
  <si>
    <t>100-0000084822-01</t>
  </si>
  <si>
    <t>EC | Contrato MobajSA 336-AP-004 | SA USD $ 18,000</t>
  </si>
  <si>
    <t>100-0000087229-01</t>
  </si>
  <si>
    <t>EC // Newak 106-AP-002 // S-A-  USD $ 432,881.00</t>
  </si>
  <si>
    <t>01-035-07001833-00000-02</t>
  </si>
  <si>
    <t>Planeacion Estrategica MZ S.C.</t>
  </si>
  <si>
    <t>BAR / Sea Ray / 21 SPX / SERV1719J617 / 0 / La Chula</t>
  </si>
  <si>
    <t>K6 44008989</t>
  </si>
  <si>
    <t>Aumento de suma asegurada de $ 18,000,000.00 MN a quedar en $ 36,000,000.00 MN</t>
  </si>
  <si>
    <t>D00-2-55-36705</t>
  </si>
  <si>
    <t>Casa Habitación // Capulines No. 25. Col. Bosques De Las Lomas. Cdmx. C.P. 11700 Edif $ 11,000,000.00     Rc $ $ 1,500,00.00</t>
  </si>
  <si>
    <t>D00-2-56-18200</t>
  </si>
  <si>
    <t>Jay A. Cohen and Laura Cox Cohen Revocable Trust Agreement</t>
  </si>
  <si>
    <t>Casa Habitación RE-18 edificio: $ 6,000,000.00 USD contenidos: $ 955,000.00 USD </t>
  </si>
  <si>
    <t>0501-010826-01</t>
  </si>
  <si>
    <t>WHMX Properties SAPI. de C.V.</t>
  </si>
  <si>
    <t>K6 44009337</t>
  </si>
  <si>
    <t>26300 30300086</t>
  </si>
  <si>
    <t>RC D&amp;O // S.A. USD $ 1,000,000.00 (AON) </t>
  </si>
  <si>
    <t>26300 30298320</t>
  </si>
  <si>
    <t>Nuodex Mexicana S.A. de C.V.</t>
  </si>
  <si>
    <t>Tra / anual de pronóstico // productos para elaboración de pinturas // PAE $ 16,000,000. - LMXE $ 2,000,000. </t>
  </si>
  <si>
    <t>100-0000090367-00</t>
  </si>
  <si>
    <t>EC Contrato MOBAJSA 336-AP-003  | S.A. USD $ 48,794.00</t>
  </si>
  <si>
    <t>01-035-07000830-00000-06</t>
  </si>
  <si>
    <t>Flores Ferriño Alejandro</t>
  </si>
  <si>
    <t>BAR / Societa /  2017 /  S.A USD $ 57,100</t>
  </si>
  <si>
    <t>CAAB-070-1001329-0-1</t>
  </si>
  <si>
    <t>Consorcio Hidalgo S.A. de C.V.</t>
  </si>
  <si>
    <t>BAR / YATE / 50 HT  / $300,000.00 USD</t>
  </si>
  <si>
    <t>1-430-46518</t>
  </si>
  <si>
    <t>Residencial Vista Alta 29</t>
  </si>
  <si>
    <t>Empresariales S.A. $482,000,000 MXN</t>
  </si>
  <si>
    <t>Greenline Sociedad Financiera SAPI de CV  SOFOM ENR</t>
  </si>
  <si>
    <t>RC/CENTENARIO LA BARRAN-648, SAN AGUSTIN FRACC TRN TORREON, COAHUILA</t>
  </si>
  <si>
    <t>ANA011090100</t>
  </si>
  <si>
    <t>Aeromedica S.A. de C.V.</t>
  </si>
  <si>
    <t>AVI /Bombardier Lear Jet 45 XR / Matrícula XA-SAP / USD 4,100,000.00</t>
  </si>
  <si>
    <t>PROAIRTAX S.A de C.V</t>
  </si>
  <si>
    <t>AVI / GULFSTREAM G150  / 4,500,000</t>
  </si>
  <si>
    <t>Aviones Individual</t>
  </si>
  <si>
    <t>26300 30300647</t>
  </si>
  <si>
    <t>Leyendas, LLC</t>
  </si>
  <si>
    <t>Casa Habitación Hillside Unit 1b incremento RC a USD$ 2,000,000 Contenidos: $ 110,000.00 USD</t>
  </si>
  <si>
    <t>D00-2-56-18226</t>
  </si>
  <si>
    <t>Cuerno de Alce S.A. de C.V.</t>
  </si>
  <si>
    <t>Casa Habitación  Desarrollo Maravilla. Carr. Transpeninsular Km 12.5 Lote 55</t>
  </si>
  <si>
    <t>01-074-07032279-00000-01</t>
  </si>
  <si>
    <t>Ogcon S.A. de C.V.</t>
  </si>
  <si>
    <t>RC Contratistas / Edif. Departamentos - Paseo Lomas Altas 260 CDMX RC $ 1,000,000.00 (Avance 80%)</t>
  </si>
  <si>
    <t>01-035-07001849-00000-02</t>
  </si>
  <si>
    <t>Waryn Richard Henry</t>
  </si>
  <si>
    <t>BAR // PRESUSCRITO // LANCHA "HAPPY DAYS" - CHRIS CRAFT LANCER 20 MOD 2009  HIN US-CCBLS838F809 // SA USD $ 23,500.00</t>
  </si>
  <si>
    <t>MARD/00007756</t>
  </si>
  <si>
    <t>Blue Water LLC</t>
  </si>
  <si>
    <t>BAR / SUNSEEKER / MANHATTAN  63 / DL8097AF / 2013 / INI III</t>
  </si>
  <si>
    <t>89 - 11085</t>
  </si>
  <si>
    <t>Batezzati Santiago</t>
  </si>
  <si>
    <t>Casa Habitación // Depto. 402 En Juan Sanchez Azcona 1631 Col. Del Valle // Cont $ 150,000. Mn</t>
  </si>
  <si>
    <t>100-0000080599-02</t>
  </si>
  <si>
    <t>Cabo Retreat, LLC</t>
  </si>
  <si>
    <t>Casa Habitación Diamante Casa Cardonal 27</t>
  </si>
  <si>
    <t>100-0000080613-02</t>
  </si>
  <si>
    <t>100-0000080639-02</t>
  </si>
  <si>
    <t>D00-2-56-18225</t>
  </si>
  <si>
    <t>Casa Costallotta  L.L.C.</t>
  </si>
  <si>
    <t>Casa Habitación // Lote 410 Chileno Bay Club. Carr transpeninsular km 15. CSL. B.C.S. S.A.$4,000,000.00 USD</t>
  </si>
  <si>
    <t>4-RCPA-30000432-01</t>
  </si>
  <si>
    <t>RC / Bosques de Duraznos # 65-Ofc 608, Bosque de las Lomas, Miguel Hidalgo, Ciudad de México, México 11700</t>
  </si>
  <si>
    <t>100-0000090357-00</t>
  </si>
  <si>
    <t>EC // CONTRATO MOBINSA 6-AP-026 // SA USD $190,142</t>
  </si>
  <si>
    <t>26300 30199785</t>
  </si>
  <si>
    <t>EC Vehiculo Moke - USD 26,873.000 y RC $ 1,000,000.00 USD</t>
  </si>
  <si>
    <t>26300 30301682</t>
  </si>
  <si>
    <t>EC Evolution Forester 6 Plus</t>
  </si>
  <si>
    <t>100-0000085058-01</t>
  </si>
  <si>
    <t>100-0000074771-04</t>
  </si>
  <si>
    <t xml:space="preserve">Ec // Nemak 105-Ap-022 // S.A. Usd  $ 25,462.00 </t>
  </si>
  <si>
    <t>100-0000085045-01</t>
  </si>
  <si>
    <t>100-0000085116-01</t>
  </si>
  <si>
    <t>100-0000064202-05</t>
  </si>
  <si>
    <t>D00-2-56-18248</t>
  </si>
  <si>
    <t>100-0000090440-00</t>
  </si>
  <si>
    <t>EC / MARSA AP // SA USD $67,516.00</t>
  </si>
  <si>
    <t>100-0000090426-00</t>
  </si>
  <si>
    <t>EC // CONTRATO AB INVERB // SA USD $1,013,056.00</t>
  </si>
  <si>
    <t>100-0000090427-00</t>
  </si>
  <si>
    <t>EC // CONTRATO ARIZLU 42-AP // SA USD $37,300.00</t>
  </si>
  <si>
    <t>100-0000090401-00</t>
  </si>
  <si>
    <t>EC // CONTRATO MOBAJSA 336-AP-019 // SA USD $19,822.00</t>
  </si>
  <si>
    <t>100-0000090435-00</t>
  </si>
  <si>
    <t>EC // CONTRATO MOBAJSA 336-AP-020 // SA USD $41,432.00</t>
  </si>
  <si>
    <t>100-0000090438-00</t>
  </si>
  <si>
    <t>EC // CONTRATO MOBAJSA 336-AP-021 // SA USD $25,963.00</t>
  </si>
  <si>
    <t>100-0000090402-00</t>
  </si>
  <si>
    <t>EC // CONTRATO MATRO 162-AF-001 // SA USD $39,928.00</t>
  </si>
  <si>
    <t>100-0000090439-00</t>
  </si>
  <si>
    <t>EC // CONTRATO PENSKE 136-APMXP // SA USD $38,698.00</t>
  </si>
  <si>
    <t>100-0000090429-00</t>
  </si>
  <si>
    <t>EC // CONTRATO TMMG 201-AP // SA USD $336,405.00</t>
  </si>
  <si>
    <t>100-0000090400-00</t>
  </si>
  <si>
    <t>EC // CONTRATO MOBAJSA 336-AP-018 // SA USD $21,146.00</t>
  </si>
  <si>
    <t>01-033-07000430-00000-04</t>
  </si>
  <si>
    <t>Aerovuelox S.A. de C.V.</t>
  </si>
  <si>
    <t>AVI / Pilatus / PC 24 / 2019 / 148 / XA-ENR /  VALOR D $11,500,000</t>
  </si>
  <si>
    <t>Casa Habitación Torre Ginebra 18I  $ 6,000,000MXN</t>
  </si>
  <si>
    <t>Casa Habitación Torre Ginebra 20K S.A. MXN $9,000,000</t>
  </si>
  <si>
    <t>100-0000074804-04</t>
  </si>
  <si>
    <t>Empresariales / Nemak 105-Ap-023 / S.A. $ 25,462.56</t>
  </si>
  <si>
    <t>26300 30200602</t>
  </si>
  <si>
    <t>Centro Medico Pedregal 51 S.A. de C.V.</t>
  </si>
  <si>
    <t>ME // Consultorios médicos en renta - Pedregal 51 col. Lomas de Chapultepec IV secc. CDMX contenidos $ 4,085,000.00 MX - RC$ 5,000,000.00 MX</t>
  </si>
  <si>
    <t>TNA126120100</t>
  </si>
  <si>
    <t>EC // Retroexcavadora JCB MOD. 2020 Serie JCBJS22FEG2424983  // S.A. $ 2,330,075.00 MN</t>
  </si>
  <si>
    <t>D00-2-56-18345</t>
  </si>
  <si>
    <t>Casa Coyote -  Maravilla Lots 16 Y 17 // S.A. USD 20,000,00.00</t>
  </si>
  <si>
    <t>OBJPER / 0.00 / 0.00</t>
  </si>
  <si>
    <t>D00-2-56-18249</t>
  </si>
  <si>
    <t>26300 30302734</t>
  </si>
  <si>
    <t>D00-2-56-18297</t>
  </si>
  <si>
    <t>100-0000090457-00</t>
  </si>
  <si>
    <t>EC // CONTRATO MOPLA 302-AP-044 // SA USD $7,200.00</t>
  </si>
  <si>
    <t>100-0000090456-00</t>
  </si>
  <si>
    <t>EC // CONTRATO MOBAJSA 336-AP-022 // SA USD $16,140.00</t>
  </si>
  <si>
    <t>100-0000090455-00</t>
  </si>
  <si>
    <t>EC // CONTRATO MOMATOSA 134-AP-024 // SA USD $255,440.00</t>
  </si>
  <si>
    <t>100-0000085106-01</t>
  </si>
  <si>
    <t>K6 44009591</t>
  </si>
  <si>
    <t>26300 30228762</t>
  </si>
  <si>
    <t>Casa Habitación Auberge jardín 2</t>
  </si>
  <si>
    <t>D00-2-56-18269</t>
  </si>
  <si>
    <t>100-0000084751-02</t>
  </si>
  <si>
    <t>26300 30302725</t>
  </si>
  <si>
    <t>Bivens Philip William</t>
  </si>
  <si>
    <t>EC 4 Golf carts</t>
  </si>
  <si>
    <t>100-0000070348-04</t>
  </si>
  <si>
    <t>100-0000070349-04</t>
  </si>
  <si>
    <t>K6 44009461</t>
  </si>
  <si>
    <t>RC / USD $ 3,000,000</t>
  </si>
  <si>
    <t>D00-2-56-18290</t>
  </si>
  <si>
    <t>100-0000090628-00</t>
  </si>
  <si>
    <t>EC // Mopla 302-AP-045 S.A. USD   $35,600.00</t>
  </si>
  <si>
    <t>100-0000090585-00</t>
  </si>
  <si>
    <t>EC // Mobajsa 336-ap-023 S.A. USD $47,464.60</t>
  </si>
  <si>
    <t>100-0000090696-00</t>
  </si>
  <si>
    <t>EC // Mobajsa 336-ap-024 S.A. USD  $48,060.98</t>
  </si>
  <si>
    <t>3922400003801</t>
  </si>
  <si>
    <t>Artha Controladora III Sapi de C.V</t>
  </si>
  <si>
    <t>100-0000084819-02</t>
  </si>
  <si>
    <t>100-0000084822-02</t>
  </si>
  <si>
    <t>K6 45008288</t>
  </si>
  <si>
    <t/>
  </si>
  <si>
    <t>26300 30303261</t>
  </si>
  <si>
    <t>26300 30301110</t>
  </si>
  <si>
    <t>Empresarial / 3 ubicaciones / calle 26 no. 2560 zona industrial Guadalajara, Jalisco, Av. de las Granjas no. 536 Santo Tomas Azcapotzalco cp. 02020, calle José Alvarado  no. 1836, Jardín Español, Monterrey Nuevo León edificio: $ 8,700,000.00 m.n. Con</t>
  </si>
  <si>
    <t>100-0000085232-01</t>
  </si>
  <si>
    <t>100-0000085236-01</t>
  </si>
  <si>
    <t>D00-2-56-18287</t>
  </si>
  <si>
    <t>NCGL-070-1001874-0</t>
  </si>
  <si>
    <t>GL Wrap Inclusión EV36, EV38 y EV42</t>
  </si>
  <si>
    <t>26300 30302663</t>
  </si>
  <si>
    <t>RC desarrollo Chileno Bay S.A. $5,000,000.00 USD Carretera Transpeninsular S/N El Tule</t>
  </si>
  <si>
    <t>26300 30288233</t>
  </si>
  <si>
    <t>OC Mountain Side edificio 1 unidades a Y b S.A. $10,400,268.00 Chileno Bay Club Carretera Transpeninsular Km 15 Mountain Side 1 Núm. Int Núm. Edif Rancho El Tule Los Cabos Baja California Sur C.P. 23400</t>
  </si>
  <si>
    <t>Infraestructura y Servicios Profesionales del Cabo S. de R.L. de C.V.</t>
  </si>
  <si>
    <t>RC Contratista Cortinas S.A.$ 1.753.440,00 MXN</t>
  </si>
  <si>
    <t>D00-2-56-18397</t>
  </si>
  <si>
    <t>MSGAL L.L.C</t>
  </si>
  <si>
    <t>Casa Habitación HV220 CBC</t>
  </si>
  <si>
    <t>100-0000085230-01</t>
  </si>
  <si>
    <t>EC | Contrato Gmobinsa 85-AP-007 | SA USD $ 151,200.00</t>
  </si>
  <si>
    <t>100-0000085231-01</t>
  </si>
  <si>
    <t>EC | Contrato Dassa 188-AP-003 | SA USD $ 56,300.00</t>
  </si>
  <si>
    <t>D00-2-56-18320</t>
  </si>
  <si>
    <t>The Flynn Family 2007 Trust</t>
  </si>
  <si>
    <t>Casa Habitación PH  7 CBC Edificio: $ 8,119,100.00 USD Contenidos: $ 1,089,000.00 USD</t>
  </si>
  <si>
    <t>26300 30178824</t>
  </si>
  <si>
    <t>Koudsi Natalia Noela</t>
  </si>
  <si>
    <t>Eq contratistas // Carro de golf - S.A. $ 10,479.00 USD</t>
  </si>
  <si>
    <t>01-035-07001651-00000-03</t>
  </si>
  <si>
    <t>Uriarte Rivas Miguel Carlos</t>
  </si>
  <si>
    <t>BAR / Regal / 2800 / RGMWL2311617 / 2017 / Regal 2800</t>
  </si>
  <si>
    <t>Love Shack Holdings LLC</t>
  </si>
  <si>
    <t>Casa Habitación Club Villa 2 CDS</t>
  </si>
  <si>
    <t>RC // D&amp;O // USD $ 1,000,000.00</t>
  </si>
  <si>
    <t>100-0000090713-00</t>
  </si>
  <si>
    <t>EC //MOMATOSA 134-AP-025 S.A. USD   $201,631.23</t>
  </si>
  <si>
    <t>01-037-07027627-00000-01</t>
  </si>
  <si>
    <t>Barranco Arevalo Miguel Oliverio</t>
  </si>
  <si>
    <t>Casa Habitación /   edificio  $6,420,000 mn</t>
  </si>
  <si>
    <t>100-0000085260-01</t>
  </si>
  <si>
    <t>EC | Contrato Pesquera 394-AP-001 | SA USD $ 70,900.00</t>
  </si>
  <si>
    <t>100-0000085270-01</t>
  </si>
  <si>
    <t>EC | Contrato JV 4-AP-036 | SA USD $ 45,914.00</t>
  </si>
  <si>
    <t>26300 30303831</t>
  </si>
  <si>
    <t>EC 2 Carros de golf</t>
  </si>
  <si>
    <t>Veinticinco, LLC</t>
  </si>
  <si>
    <t>26300 30231534</t>
  </si>
  <si>
    <t>Verum Calificadora de Valores S.A. Promotora de Inversion de C.V.</t>
  </si>
  <si>
    <t>RC arrendatario / S.A. 240,150.00/ campos corporativos Coyoacán RC $ 240,150.00 USD </t>
  </si>
  <si>
    <t>Estero Villa 39, LLC</t>
  </si>
  <si>
    <t>Casa Habitación Estero Villa 39</t>
  </si>
  <si>
    <t>Campos Unidos Mexico 1x S.C.</t>
  </si>
  <si>
    <t>MARD/00007851</t>
  </si>
  <si>
    <t>Sordo Bringas Magdalena</t>
  </si>
  <si>
    <t>BAR / HANSE / 630 / DE-HANY0024E808 / 2008 / AYACUCHO S.A. $ 709,000  USD</t>
  </si>
  <si>
    <t>100-0000090788-00</t>
  </si>
  <si>
    <t>EC // MOPLA 302-APMXP-009  // USD $29,300.00</t>
  </si>
  <si>
    <t>100-0000090759-00</t>
  </si>
  <si>
    <t>EC //Momatosa 000134-AP-022.A. USD  $96,240.00</t>
  </si>
  <si>
    <t>100-0000090755-00</t>
  </si>
  <si>
    <t>EC //Momatosa 000134-AP-023 S.A. USD   $431,779.00</t>
  </si>
  <si>
    <t>100-0000090787-00</t>
  </si>
  <si>
    <t>EC // JV 4-AP-044 // USD  $23,296.00</t>
  </si>
  <si>
    <t>100-0000090790-00</t>
  </si>
  <si>
    <t>EC // MOBINSA 6-AP-025 // USD    $460.655,00</t>
  </si>
  <si>
    <t>100-0000090760-00</t>
  </si>
  <si>
    <t>EC // Mobajsa 336-ap-025 //  S.A. USD $41,432.00</t>
  </si>
  <si>
    <t>100-0000090763-00</t>
  </si>
  <si>
    <t>EC //   Mobinsa 6-AP-027 //  S.A. USD $239,032.00</t>
  </si>
  <si>
    <t>100-0000090789-00</t>
  </si>
  <si>
    <t>EC //TOYOTA LIFT RENTALS 60-AP-007 // USD 250,002.00</t>
  </si>
  <si>
    <t>Condominio Tiro Al Pichon A.C.</t>
  </si>
  <si>
    <t>Empresariales // CONDOMINIO EN TIRO AL PICHON NO.44. LOMAS DE BEZARES S.A. MXN $ 25,150,000</t>
  </si>
  <si>
    <t>D00-2-56-18472</t>
  </si>
  <si>
    <t>Beaumont Investments Limited Partnership</t>
  </si>
  <si>
    <t>Casa Habitación HV10</t>
  </si>
  <si>
    <t>100-0000090806-00</t>
  </si>
  <si>
    <t>EC // CEIBA 171-AP-006  // USD  $45,087.00</t>
  </si>
  <si>
    <t>D00-2-56-18470</t>
  </si>
  <si>
    <t>MLS Chileno LLC</t>
  </si>
  <si>
    <t>Casa Habitación RE 25</t>
  </si>
  <si>
    <t>D00-2-56-18381</t>
  </si>
  <si>
    <t>Casa Habitación WEL6 ElDOL</t>
  </si>
  <si>
    <t>26300 30303190</t>
  </si>
  <si>
    <t>Casa Habitación Twin Dolphin Casita 7</t>
  </si>
  <si>
    <t>K6 44010143</t>
  </si>
  <si>
    <t>RC // ACT E INM - PLANTA GENERADORA DE ENERGIA // S.A. USD 10,000,000.00</t>
  </si>
  <si>
    <t>Kalishman Thomas Newton</t>
  </si>
  <si>
    <t>Casa Habitación FSR11U</t>
  </si>
  <si>
    <t>01-035-07001676-00000-03</t>
  </si>
  <si>
    <t>Moto Acuatica / Kawasaki / STX 160 LX / USKAW40607A020 / 2020 RC $310,000.00 MXN</t>
  </si>
  <si>
    <t>Casa Habitación BV 7 CDS</t>
  </si>
  <si>
    <t>100-0000090809-00</t>
  </si>
  <si>
    <t>EC // Momatosa 134-AP-026  // USD   $111,304.64</t>
  </si>
  <si>
    <t>26300 30304091</t>
  </si>
  <si>
    <t>Cabo Casa Five, LLC</t>
  </si>
  <si>
    <t>EC</t>
  </si>
  <si>
    <t>K6 44010084</t>
  </si>
  <si>
    <t>Tenorio Rico Luis Alberto</t>
  </si>
  <si>
    <t>Casa Habitación // DEPTO. 101. RIO TIGRIS NO. 62. COL. CUAUHEMOC C.P.06500 S.A. $3,000,000</t>
  </si>
  <si>
    <t>100-0000076184-03</t>
  </si>
  <si>
    <t>EC // Piedras Head // S.A. USD $ 192,455.00</t>
  </si>
  <si>
    <t>01-034-07001495-00000-03</t>
  </si>
  <si>
    <t>Osorio Zuckermann Juan Alberto</t>
  </si>
  <si>
    <t>AVI / CESSNA / P210N / 1978 / P21000121 / XB-KQW S.A. 400,000 USD $</t>
  </si>
  <si>
    <t>26300 30202762</t>
  </si>
  <si>
    <t>The Blake L. Sartini and delise F. Sartini Family Trust</t>
  </si>
  <si>
    <t>SDA254110000</t>
  </si>
  <si>
    <t>Humer Franz Bernhard</t>
  </si>
  <si>
    <t>Casa Habitación Beach Villa 5 CDS</t>
  </si>
  <si>
    <t>ALTA DE  EQUIPO</t>
  </si>
  <si>
    <t>26300 30304055</t>
  </si>
  <si>
    <t>ME // EDIFICIO DE DEPARTAMENTOS EN AV. VERACRUZ 72. COL. ROMA NORTE. CDMX // VALOR EDIFICIO $ 80,404,000.00 MN</t>
  </si>
  <si>
    <t>Ultra Energia de Mexico Services S. de R.L. de C.V.</t>
  </si>
  <si>
    <t>RC // CONSEJEROS Y  FUNCIONARIOS US$ 3,000,000.00</t>
  </si>
  <si>
    <t>K6 44010048</t>
  </si>
  <si>
    <t>RC CONTAMINACION  //  S.A. USD $ 1,000,0000.00 // DISTRIBUCION DE DIESEL Y GASOLINA</t>
  </si>
  <si>
    <t>01-035-07001867-00000-02</t>
  </si>
  <si>
    <t>Stein De Velasco Guillermo</t>
  </si>
  <si>
    <t>BAR / Seawind / 1160 / VNCSR0712FI324 / 2023 / Ostro</t>
  </si>
  <si>
    <t>D00-2-56-18497</t>
  </si>
  <si>
    <t>Tranquilo SC10, LLC</t>
  </si>
  <si>
    <t>RC/ CHILENO BAY CLUB, CARRETERA TRANSPENINSULAR KM 15, UNIDAD PRIVATIVA LOTE SOUTH COAST 10 RANCHO EL TULE LOS CABOS CP: 23405 BAJA CALIFORNIA SUR</t>
  </si>
  <si>
    <t>26300 30303920</t>
  </si>
  <si>
    <t>RC S.A.$ 5,000,000.00 USD  Carretera Transpeninsular Km 21 S/N Cabo Real</t>
  </si>
  <si>
    <t>D00-2-56-18468</t>
  </si>
  <si>
    <t>Casa Habitación Lot 3 El Dol3, LLC. James Randall</t>
  </si>
  <si>
    <t>100-0000090908-00</t>
  </si>
  <si>
    <t>EC //    Mobinsa 6-AP-028 S.A. $ 635,113.00</t>
  </si>
  <si>
    <t>100-0000081419-02</t>
  </si>
  <si>
    <t>EC //  Gema 327-AFMXP-0018 // S.A. USD $ 33,600.00</t>
  </si>
  <si>
    <t>Castillo Sanchez Mejorada Enrique Luis</t>
  </si>
  <si>
    <t>RC VIAJERO LIC. ENRIQUE LUIS CASTILLO POLIZA NUEVA GNP S.A. $ 3,608,250.00</t>
  </si>
  <si>
    <t>01-035-07001459-00000-0</t>
  </si>
  <si>
    <t>BAR / Sunseeker / Manhattan 531 / GBXSK05660I112 / 2011 / La Guajolota Casco: USD $ 734,000.00</t>
  </si>
  <si>
    <t>26300 30304331</t>
  </si>
  <si>
    <t>AVI / RC   LEGAL</t>
  </si>
  <si>
    <t>26300 30304322</t>
  </si>
  <si>
    <t>AVI / casco  $1,250,600.00</t>
  </si>
  <si>
    <t>100-0000085673-01</t>
  </si>
  <si>
    <t>EC // JV 4-AP-038 // SA USD $ 1,126,565.00</t>
  </si>
  <si>
    <t>100-0000070742-04</t>
  </si>
  <si>
    <t>EC // Nemak 105-AP-010 // S.A. USD $ 103,060.00</t>
  </si>
  <si>
    <t>100-0000085669-01</t>
  </si>
  <si>
    <t>EC // JV 4-AP-037 // SA USD $ 374,329.00</t>
  </si>
  <si>
    <t>100-0000085676-01</t>
  </si>
  <si>
    <t>EC // Mopla 302-AP-015// SA USD $ 382,828.00</t>
  </si>
  <si>
    <t>100-0000085675-01</t>
  </si>
  <si>
    <t>EC // Etiflash 397-AP-001// SA USD $ 34,371.00</t>
  </si>
  <si>
    <t>26300 30308373</t>
  </si>
  <si>
    <t>Ec // equipo contratistas // S.A. total $ 1,140,120.16</t>
  </si>
  <si>
    <t>590423026/GNP</t>
  </si>
  <si>
    <t>Revel Coast Resort S.A.P.I. de C.V.</t>
  </si>
  <si>
    <t>OC // Remodelacion De Hotel Mar De Cortez // Suma Asegurada USD $ 51,393,963.00</t>
  </si>
  <si>
    <t>590423026/INBURSA</t>
  </si>
  <si>
    <t>OC // Remodelación De Hotel Mar De Cortez // Suma Asegurada USD $ 51,393,963.00</t>
  </si>
  <si>
    <t>590423026/ZURICH</t>
  </si>
  <si>
    <t>TNA128210000</t>
  </si>
  <si>
    <t>The White Family Trust</t>
  </si>
  <si>
    <t>OC Golf Estate 28 CBC S.A. $12,308,437.00</t>
  </si>
  <si>
    <t>26300 30280124</t>
  </si>
  <si>
    <t>OC / Edificio 3 De Cabo Del Sol Reef 18 / valor USD $ 6,054,964 </t>
  </si>
  <si>
    <t>MARD/00007838</t>
  </si>
  <si>
    <t>BAR / IGUANA YACHT X100 / JMP19112 / 2019 / SOL MATE</t>
  </si>
  <si>
    <t>100-0000090945-00</t>
  </si>
  <si>
    <t>EC // EqSeguro AbInveb 02 S.A.$890,544.00</t>
  </si>
  <si>
    <t>01-091-07000266-00000-01</t>
  </si>
  <si>
    <t>OPERACIONES SALARA BCS, S.A. DE C.V.</t>
  </si>
  <si>
    <t>RC // INMUEBLES EN ARRENDMIENTO TEMPORAL / RANCHO LAS MARAVILLAS VILLAS 2, 7 Y 9 PARCELA 31, EL PESCADERO. BCS C.P.23310</t>
  </si>
  <si>
    <t>FEA002370000</t>
  </si>
  <si>
    <t>OZA PROYECTOS, SA DE CV</t>
  </si>
  <si>
    <t>RC / ERRORES Y OMISIONES ARQ E ING. // S.A. USD 2,000,000.00</t>
  </si>
  <si>
    <t>01-090-07000402-00000-04</t>
  </si>
  <si>
    <t>01-047-07005086-00000-03</t>
  </si>
  <si>
    <t>EE // EQUIPO FIJO Y PORTATIL // S.A. $ 1,748,000.00 MN</t>
  </si>
  <si>
    <t>SDA136440100</t>
  </si>
  <si>
    <t>Casa Habitación // BOSQUES DE ABETOS NO. 25. BOSQUES DE LAS LOMAS.   EDIF USD $600,000.00  RC USD $500,000.00</t>
  </si>
  <si>
    <t>26300 30203501</t>
  </si>
  <si>
    <t>D00-2-56-18467</t>
  </si>
  <si>
    <t>26300 30232506</t>
  </si>
  <si>
    <t>Ford Paul Joseph</t>
  </si>
  <si>
    <t>EC 2 CARROS DE GOLF</t>
  </si>
  <si>
    <t>26300 30268629</t>
  </si>
  <si>
    <t>Casa Habitación condominio unit 324 El Dorado contenidos: $ 300,000.00 USD </t>
  </si>
  <si>
    <t>100-0000088815-02</t>
  </si>
  <si>
    <t>EC // Contrato 000175-AP-001 Nachi Technology Mexico | S.A.  USD $35,267.44</t>
  </si>
  <si>
    <t>100-0000070847-04</t>
  </si>
  <si>
    <t>EC // AGN 180-AS-001 // S.A. USD $ 228,896.00</t>
  </si>
  <si>
    <t>100-0000090946-00</t>
  </si>
  <si>
    <t>EC // JV 4-AP-045 S.A. $653,807.00</t>
  </si>
  <si>
    <t>100-0000090932-00</t>
  </si>
  <si>
    <t>EC // Mobajsa 336-ap-026 S.A.  $50,153.00</t>
  </si>
  <si>
    <t>100-0000085686-01</t>
  </si>
  <si>
    <t>EC // Daily 399-AF-001 // SA USD $ 32,990.00</t>
  </si>
  <si>
    <t>26300 30266319</t>
  </si>
  <si>
    <t>ME // CONDOMINIO HABITACIONAL // CARR TIJUANA-ENSENADA KM 104. ENSENADA BCS C.P.  22760</t>
  </si>
  <si>
    <t>3102500000741</t>
  </si>
  <si>
    <t>3102500000640</t>
  </si>
  <si>
    <t>3102500000637</t>
  </si>
  <si>
    <t>3102500000657</t>
  </si>
  <si>
    <t>3542500000007</t>
  </si>
  <si>
    <t>3542500000004</t>
  </si>
  <si>
    <t>3542500000003</t>
  </si>
  <si>
    <t>3542500000006</t>
  </si>
  <si>
    <t>D00-2-49-99031</t>
  </si>
  <si>
    <t>HOGAR // DEPTO 401 EDF 6. CALZ GUADALUPE 120. JARDINES VILLA COAPA. CDMX. 14356. // EDF, $ 2,950,000.00 MN</t>
  </si>
  <si>
    <t>100-0000073589-07</t>
  </si>
  <si>
    <t>100-0000078718-05</t>
  </si>
  <si>
    <t>100-0000073806-06</t>
  </si>
  <si>
    <t>100-0000073814-06</t>
  </si>
  <si>
    <t>D00-2-49-98849</t>
  </si>
  <si>
    <t>MNJ Capital S.A. de C.V SOFOM ENR</t>
  </si>
  <si>
    <t>RC Arrendatario SUMA ASEGURADA $1,170,000.00 USD</t>
  </si>
  <si>
    <t>01-049-07000103-00000-01</t>
  </si>
  <si>
    <t>Infraestructura Portuaria Mexicana S.A de C.V.</t>
  </si>
  <si>
    <t>RC // OPERADOR PORTUARIO - ADUANA ALTAMIRA. TAMPS. // S.A. USD 12,000,000.00</t>
  </si>
  <si>
    <t>01-074-07037550-00000-01</t>
  </si>
  <si>
    <t>Latch Control Ingenieria y Proyectos S.A.  C.V.</t>
  </si>
  <si>
    <t>RC Cto 19193</t>
  </si>
  <si>
    <t>Martin Ashley</t>
  </si>
  <si>
    <t>Casa Habitación Beach Estate 3 Diamante</t>
  </si>
  <si>
    <t>26300 30180535</t>
  </si>
  <si>
    <t>RC // construcción de estacionamiento - Lucerna 81. Esq. paseo de la Reforma. Col. Juarez CDMX // S.A $ 19,000,000.MX </t>
  </si>
  <si>
    <t>26300 30293771</t>
  </si>
  <si>
    <t>OC // Casa Hazen - Lote 25 Golf States - Desarrollo Chileno Bay - Cabo San Lucas</t>
  </si>
  <si>
    <t>100-0000085748-01</t>
  </si>
  <si>
    <t>EC // Madereria 366-AP-002 // USD $ 74,890.00</t>
  </si>
  <si>
    <t>100-0000065033-05</t>
  </si>
  <si>
    <t>EC // Newak // S.A. USD $ 645,361.00</t>
  </si>
  <si>
    <t>26300 30305223</t>
  </si>
  <si>
    <t>Objper / 0.00 / 0.00 arte clavo a clavo suma asegurada USD $ 77,200.00</t>
  </si>
  <si>
    <t>SDA262200000</t>
  </si>
  <si>
    <t>26300 30231687</t>
  </si>
  <si>
    <t>26300 30305973</t>
  </si>
  <si>
    <t>100-0000081334-02</t>
  </si>
  <si>
    <t>EC// Mopla 302-AP-009 // S.A. USD $ 49,938.00</t>
  </si>
  <si>
    <t>D00-2-49-99030</t>
  </si>
  <si>
    <t>Empresariales //  CONDOMINIO SIERRA CANDELA 37 Y 41. LOMAS DE CHAPULTEPEC / EDIF.  $23,100,000.00 MXN</t>
  </si>
  <si>
    <t>26300 30268255</t>
  </si>
  <si>
    <t>26300 30268362</t>
  </si>
  <si>
    <t>Corporativo Tzacol</t>
  </si>
  <si>
    <t>K6 45009034</t>
  </si>
  <si>
    <t>Campos Sports, S.A. de C.V.</t>
  </si>
  <si>
    <t>RC Cto 472-2025 3 canchas de tenis</t>
  </si>
  <si>
    <t>26300 30271134</t>
  </si>
  <si>
    <t>OC Hillside Edif 15 3 unidades 15a Y 15b A nivel aplanados interiores y terminación de unidad 15c S.A. $16,230,372.00 </t>
  </si>
  <si>
    <t>26300 30203716</t>
  </si>
  <si>
    <t>Desarrolladora University Tower S.A. de C.V.</t>
  </si>
  <si>
    <t>Empresariales // showroom y departamento muestra - Tower City Reforma 150 edificio: $ 8,993,920.00 contenidos: $ 3,992,231.00 </t>
  </si>
  <si>
    <t>26300 30266499</t>
  </si>
  <si>
    <t>Chileno Lot 307 L.L.C</t>
  </si>
  <si>
    <t>Casa Habitación HV 307 edificio: $ 3,650,000.00 USD contenidos: $ 342,000.00 USD </t>
  </si>
  <si>
    <t>26300 30306650</t>
  </si>
  <si>
    <t>ME// DESTILERIA TEQUILA Y MEZCAL / 8 UBICACIONES ZAPOPAN, JAL. // RC USD 2,500,000.00</t>
  </si>
  <si>
    <t>D00-2-56-18469</t>
  </si>
  <si>
    <t>26300 30305492</t>
  </si>
  <si>
    <t>Accent Haven S.A de C.V</t>
  </si>
  <si>
    <t>RC avión Cirrus SR22 Serie 9013 Año 2022 Matricula N149BB  para cada tripulante: USD$30,000.00 para cada pasajero: USD$ 100,000.00 RC USD $1,000,000.00 </t>
  </si>
  <si>
    <t>K6 45000185</t>
  </si>
  <si>
    <t>Beltrán Segura Andrea</t>
  </si>
  <si>
    <t>100-0000086011-01</t>
  </si>
  <si>
    <t>EC // Mobinsa 6-AP-017 Y 018 // USD $ 404,545.00</t>
  </si>
  <si>
    <t>100-0000091172-00</t>
  </si>
  <si>
    <t>EC // MOBAJSA 336-AP-027  // USD  $67,612.50</t>
  </si>
  <si>
    <t>26300 30316293</t>
  </si>
  <si>
    <t>RCC // SUMINISTRO E INSTALACION DE SISTEMA DE ILUMINACION 7 TUNELES AUTOP DUR-MAZ KM 161+100 AL KM 166-280</t>
  </si>
  <si>
    <t>26300 30319325</t>
  </si>
  <si>
    <t>RC CONTRATISTAS // ILUMINACION TUNELES CARR DURANGO- MAZATLAN // SA 4,000,000.00 MN</t>
  </si>
  <si>
    <t>100-0000085809-01</t>
  </si>
  <si>
    <t>EC // Mopla 302-AP-016 // USD $ 138,672.00</t>
  </si>
  <si>
    <t>49-RCPA-30000157-01</t>
  </si>
  <si>
    <t>26300 30271866</t>
  </si>
  <si>
    <t>ME //  OFICINAS //  Rio Lerma No. 4 Piso 5  Cuauhtémoc</t>
  </si>
  <si>
    <t>SDA263160001</t>
  </si>
  <si>
    <t>REEXPEDICION // Casa Habitación contenidos: $ 410,000.00 USD Carretera Transpeninsular Km 15 Auberge Yate Unit #2 . San José Del Cabo</t>
  </si>
  <si>
    <t>26300 30269165</t>
  </si>
  <si>
    <t>01-041-07002421-00000-01</t>
  </si>
  <si>
    <t>D00-2-56-18498</t>
  </si>
  <si>
    <t>RENOV DE  POLIZA</t>
  </si>
  <si>
    <t>100-0000088821-05</t>
  </si>
  <si>
    <t>100-0000091242-00</t>
  </si>
  <si>
    <t>EC // Mopla 302-AP-046 S.A. $58,000.00 USD</t>
  </si>
  <si>
    <t>100-0000091345-00</t>
  </si>
  <si>
    <t>EC //  EqSeguro Salina 274-APMXP-001 S.A. $5,643,866.30 MXN</t>
  </si>
  <si>
    <t>SDA261080000</t>
  </si>
  <si>
    <t>MCHUGH CRAIG LAWRENCE</t>
  </si>
  <si>
    <t>Casa Habitación HV419 Edificio: $ 4,500,000.00 USD Contenidos: $ 723,338.00 USD</t>
  </si>
  <si>
    <t>01-048-07006863-00000-05</t>
  </si>
  <si>
    <t>Karam Partida Juan Felipe</t>
  </si>
  <si>
    <t>26300 30307016</t>
  </si>
  <si>
    <t>EC // SON:  57 UNIDADES ATV Y 40 UNIDADES UTV // SUMA ASEGURADA TOTAL $ 26,253,303.28 MN</t>
  </si>
  <si>
    <t>600039606 / 6</t>
  </si>
  <si>
    <t>100-0000091296-00</t>
  </si>
  <si>
    <t>EC // Monbinsa 6-AP-029 S.A.  $484,592.58</t>
  </si>
  <si>
    <t>100-0000086006-01</t>
  </si>
  <si>
    <t>EC // Cieba 171-AP-004 APMXP-001 // USD $ 104,596.00</t>
  </si>
  <si>
    <t>01-035-07001485-00000-04</t>
  </si>
  <si>
    <t>01-096-07000048-00000-05</t>
  </si>
  <si>
    <t>100-0000076292-03</t>
  </si>
  <si>
    <t>26300 30181990</t>
  </si>
  <si>
    <t>26300 30307212</t>
  </si>
  <si>
    <t>Casa Habitación S.A. Edificio $ 4,000,000.00 Contenidos $1,500,000.00</t>
  </si>
  <si>
    <t>TNA128500000</t>
  </si>
  <si>
    <t>OC // lote 37 Cabo Del Sol Corredor Turístico km 10.3. Los Cabos // RC 1,000,000.00 USD</t>
  </si>
  <si>
    <t>100-0000086023-01</t>
  </si>
  <si>
    <t>EC // Mobinsa 006-AP-019 // USD $ 217,826.00</t>
  </si>
  <si>
    <t>100-0000086033-01</t>
  </si>
  <si>
    <t>EC // Momatosa 134-AP-016 // USD $ 69,864.00</t>
  </si>
  <si>
    <t>100-0000086024-01</t>
  </si>
  <si>
    <t>EC // Mopla 302-AP-017 // USD $ 196,823.00</t>
  </si>
  <si>
    <t>100-0000086030-01</t>
  </si>
  <si>
    <t>EC // Mopla 302-AP-018 // USD $ 29,027</t>
  </si>
  <si>
    <t>100-0000086039-01</t>
  </si>
  <si>
    <t>EC // Simac 005-AP-030 // USD $ 160,000.00</t>
  </si>
  <si>
    <t>100-0000086035-01</t>
  </si>
  <si>
    <t>EC // Simac 005-AP-031 // USD $ 247,769.00</t>
  </si>
  <si>
    <t>D00-2-60-6470</t>
  </si>
  <si>
    <t>100-0000091565-00</t>
  </si>
  <si>
    <t>EC // Mopla 302-AP-047 S.A. $ $64,000.00</t>
  </si>
  <si>
    <t>01-05-014240-000-02</t>
  </si>
  <si>
    <t>01-05-014239-000-02</t>
  </si>
  <si>
    <t>100-0000086191-01</t>
  </si>
  <si>
    <t>EC // Mopla 302-AP-019 // USD $ 17,500.00</t>
  </si>
  <si>
    <t>100-0000086348-01</t>
  </si>
  <si>
    <t>EC // Mopla 302-AP-020 Y 021 // USD $ 23,989.00</t>
  </si>
  <si>
    <t>26300 30268442</t>
  </si>
  <si>
    <t>Empresariales // EDIF TORRE NIVADA - CAMPOS ELISEOS 345 // S.A. $ 20,000,000 USD</t>
  </si>
  <si>
    <t>100-0000081549-02</t>
  </si>
  <si>
    <t>EC // Agricolas 332-AP-001 // S.A. USD $ 65,262.00</t>
  </si>
  <si>
    <t>100-0000081548-02</t>
  </si>
  <si>
    <t>EC // Mas 63-AP-002 // S.A. USD $ 104,908.59</t>
  </si>
  <si>
    <t>K6 45001048</t>
  </si>
  <si>
    <t>RC Contratistas Maravilla Twin Dolphin Cielo Lot 5</t>
  </si>
  <si>
    <t>K6 45003392</t>
  </si>
  <si>
    <t>Flores Solano Guillermo Miguel</t>
  </si>
  <si>
    <t>RC Contratista</t>
  </si>
  <si>
    <t>Solís Patricia</t>
  </si>
  <si>
    <t>D00-2-56-18519</t>
  </si>
  <si>
    <t>K6 45001039</t>
  </si>
  <si>
    <t>01-047-07009786-00000-01</t>
  </si>
  <si>
    <t>ALVAREZ ALCALA SC</t>
  </si>
  <si>
    <t>RC // OFICINAS ABOGADOS  - CAMPOS ELISEOS 345 PISO 15 OFC 1401-A // RC ARRENDAMIENTO - USD 500,000.00</t>
  </si>
  <si>
    <t>01-074-07037787-00000-01</t>
  </si>
  <si>
    <t>RC c //- MANTENIMIENTO FACHADA CONDOMINIO BAY VIEW GRAN PORTO FINO (CANCUN) - SA 2,000,000.MN</t>
  </si>
  <si>
    <t>26300 30204644</t>
  </si>
  <si>
    <t>TNA127070100</t>
  </si>
  <si>
    <t>EC // EXCAVADORA JCB MOD. 2019 SERIE JCBJS22C2K2767825 // S.A. USD $ 115,000.00</t>
  </si>
  <si>
    <t>100-0000091617-00</t>
  </si>
  <si>
    <t>EC //  Monbinsa 6-AP-030 S.A  $88,906.29 USD</t>
  </si>
  <si>
    <t>100-0000086342-01</t>
  </si>
  <si>
    <t>EC // Mopla 302-APMXP-007 // USD $ 104,656.00</t>
  </si>
  <si>
    <t>100-0000086361-01</t>
  </si>
  <si>
    <t>EC // Mopla 302-AP-010 // S.A. USD $ 21,500.00</t>
  </si>
  <si>
    <t>26300 30307043</t>
  </si>
  <si>
    <t>01-096-07000208-00000-02</t>
  </si>
  <si>
    <t>SDA268570001</t>
  </si>
  <si>
    <t>REEXPEDICION - Casa Habitación // EXCESO A POLIZA 81411134 DE CREDITO HIPOTECARIO // CDA SIERRA VETIENTES 71. B. LOMAS</t>
  </si>
  <si>
    <t>K6 45000196</t>
  </si>
  <si>
    <t>Casa Habitación / UNIFAMILIAR Incendio Edificio $1,500,000.00 Contenidos  $220,000.00 RC $500,000.00</t>
  </si>
  <si>
    <t>D00-2-49-99327</t>
  </si>
  <si>
    <t>100-0000087057-03</t>
  </si>
  <si>
    <t>100-0000075171-04</t>
  </si>
  <si>
    <t>EC // Convenio // Delta 246-AP-002 // S.A. USD $ 66,478.06</t>
  </si>
  <si>
    <t>100-0000088816-01</t>
  </si>
  <si>
    <t>100-0000075126-04</t>
  </si>
  <si>
    <t>26300 30308355</t>
  </si>
  <si>
    <t>Asociación de Condominos Los Helechos AC</t>
  </si>
  <si>
    <t>Greening Concesiones México S de RLCV</t>
  </si>
  <si>
    <t>RM -CMI VALORES TOTALES: MXN 29, 012,953.54</t>
  </si>
  <si>
    <t>100-0000071297-04</t>
  </si>
  <si>
    <t>100-0000086367-01</t>
  </si>
  <si>
    <t>100-0000081696-02</t>
  </si>
  <si>
    <t>100-0000075170-04</t>
  </si>
  <si>
    <t>100-0000087005-03</t>
  </si>
  <si>
    <t>100-0000086364-01</t>
  </si>
  <si>
    <t>89 - 11166</t>
  </si>
  <si>
    <t>K6 45001264</t>
  </si>
  <si>
    <t>Davinder Sangha Catherine</t>
  </si>
  <si>
    <t>EC // 4 UNIDADES E MOKE // SA TOTAL USD $ 112,835.31</t>
  </si>
  <si>
    <t>100-0000086690-01</t>
  </si>
  <si>
    <t>D00-2-56-18592</t>
  </si>
  <si>
    <t>Schaefer Eric Joseph</t>
  </si>
  <si>
    <t>Casa Habitación Casa 204 ELDO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</si>
</sst>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164" formatCode="&quot;$&quot;#,##0.00_);[Red]\(&quot;$&quot;#,##0.00\)"/>
    <numFmt numFmtId="165" formatCode="&quot;$&quot;#,##0.00"/>
    <numFmt numFmtId="166" formatCode="dd/mm/yyyy;@"/>
  </numFmts>
  <fonts count="24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sz val="10"/>
      <color rgb="FF000000"/>
      <name val="Arial Nova Light"/>
      <family val="2"/>
    </font>
    <font>
      <sz val="11"/>
      <color rgb="FF000000"/>
      <name val="Aptos Narrow"/>
      <family val="2"/>
      <scheme val="minor"/>
    </font>
    <font>
      <sz val="11"/>
      <color rgb="FF000000"/>
      <name val="Aptos Narrow"/>
    </font>
  </fonts>
  <fills count="4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44" fontId="2" fillId="0" borderId="0" applyFont="0" applyFill="0" applyBorder="0" applyAlignment="0" applyProtection="0"/>
  </cellStyleXfs>
  <cellXfs count="158">
    <xf numFmtId="0" fontId="0" fillId="0" borderId="0" xfId="0"/>
    <xf numFmtId="0" fontId="0" fillId="0" borderId="0" xfId="0" applyProtection="1">
      <protection locked="0"/>
    </xf>
    <xf numFmtId="0" fontId="2" fillId="0" borderId="0" xfId="1" applyProtection="1">
      <protection locked="0"/>
    </xf>
    <xf numFmtId="0" fontId="19" fillId="0" borderId="11" xfId="1" applyFont="1" applyBorder="1" applyProtection="1">
      <protection locked="0"/>
    </xf>
    <xf numFmtId="14" fontId="0" fillId="0" borderId="10" xfId="0" applyNumberFormat="1" applyBorder="1" applyProtection="1">
      <protection locked="0"/>
    </xf>
    <xf numFmtId="14" fontId="0" fillId="0" borderId="10" xfId="0" applyNumberFormat="1" applyBorder="1"/>
    <xf numFmtId="14" fontId="0" fillId="0" borderId="10" xfId="0" applyNumberFormat="1" applyBorder="1" applyAlignment="1" applyProtection="1">
      <alignment horizontal="right"/>
      <protection locked="0"/>
    </xf>
    <xf numFmtId="14" fontId="0" fillId="40" borderId="10" xfId="0" applyNumberFormat="1" applyFill="1" applyBorder="1" applyProtection="1">
      <protection locked="0"/>
    </xf>
    <xf numFmtId="0" fontId="2" fillId="40" borderId="0" xfId="1" applyFill="1" applyProtection="1">
      <protection locked="0"/>
    </xf>
    <xf numFmtId="0" fontId="0" fillId="40" borderId="0" xfId="0" applyFill="1"/>
    <xf numFmtId="0" fontId="0" fillId="0" borderId="10" xfId="0" applyBorder="1" applyProtection="1">
      <protection locked="0"/>
    </xf>
    <xf numFmtId="165" fontId="0" fillId="0" borderId="10" xfId="0" applyNumberFormat="1" applyBorder="1" applyProtection="1">
      <protection locked="0"/>
    </xf>
    <xf numFmtId="0" fontId="19" fillId="0" borderId="10" xfId="0" applyFont="1" applyBorder="1" applyProtection="1">
      <protection locked="0"/>
    </xf>
    <xf numFmtId="164" fontId="19" fillId="0" borderId="10" xfId="0" applyNumberFormat="1" applyFont="1" applyBorder="1" applyProtection="1">
      <protection locked="0"/>
    </xf>
    <xf numFmtId="0" fontId="19" fillId="0" borderId="11" xfId="0" applyFont="1" applyBorder="1" applyProtection="1">
      <protection locked="0"/>
    </xf>
    <xf numFmtId="164" fontId="19" fillId="0" borderId="11" xfId="0" applyNumberFormat="1" applyFont="1" applyBorder="1" applyProtection="1">
      <protection locked="0"/>
    </xf>
    <xf numFmtId="0" fontId="19" fillId="40" borderId="11" xfId="0" applyFont="1" applyFill="1" applyBorder="1" applyProtection="1">
      <protection locked="0"/>
    </xf>
    <xf numFmtId="164" fontId="19" fillId="40" borderId="11" xfId="0" applyNumberFormat="1" applyFont="1" applyFill="1" applyBorder="1" applyProtection="1">
      <protection locked="0"/>
    </xf>
    <xf numFmtId="0" fontId="19" fillId="0" borderId="11" xfId="0" applyFont="1" applyBorder="1" applyAlignment="1" applyProtection="1">
      <alignment wrapText="1"/>
      <protection locked="0"/>
    </xf>
    <xf numFmtId="1" fontId="0" fillId="0" borderId="10" xfId="0" applyNumberFormat="1" applyBorder="1"/>
    <xf numFmtId="14" fontId="0" fillId="40" borderId="10" xfId="0" applyNumberFormat="1" applyFill="1" applyBorder="1"/>
    <xf numFmtId="0" fontId="19" fillId="0" borderId="13" xfId="0" applyFont="1" applyBorder="1" applyProtection="1">
      <protection locked="0"/>
    </xf>
    <xf numFmtId="0" fontId="0" fillId="0" borderId="11" xfId="0" applyBorder="1" applyProtection="1">
      <protection locked="0"/>
    </xf>
    <xf numFmtId="0" fontId="20" fillId="0" borderId="13" xfId="0" applyFont="1" applyBorder="1"/>
    <xf numFmtId="0" fontId="20" fillId="40" borderId="13" xfId="0" applyFont="1" applyFill="1" applyBorder="1"/>
    <xf numFmtId="0" fontId="20" fillId="0" borderId="11" xfId="0" applyFont="1" applyBorder="1"/>
    <xf numFmtId="164" fontId="19" fillId="0" borderId="14" xfId="0" applyNumberFormat="1" applyFont="1" applyBorder="1" applyProtection="1">
      <protection locked="0"/>
    </xf>
    <xf numFmtId="0" fontId="19" fillId="0" borderId="15" xfId="0" applyFont="1" applyBorder="1" applyProtection="1">
      <protection locked="0"/>
    </xf>
    <xf numFmtId="164" fontId="19" fillId="0" borderId="16" xfId="0" applyNumberFormat="1" applyFont="1" applyBorder="1" applyProtection="1">
      <protection locked="0"/>
    </xf>
    <xf numFmtId="0" fontId="0" fillId="0" borderId="10" xfId="0" applyBorder="1" applyAlignment="1" applyProtection="1">
      <alignment vertical="center"/>
      <protection locked="0"/>
    </xf>
    <xf numFmtId="165" fontId="0" fillId="0" borderId="10" xfId="0" applyNumberFormat="1" applyBorder="1" applyAlignment="1" applyProtection="1">
      <alignment vertical="center"/>
      <protection locked="0"/>
    </xf>
    <xf numFmtId="0" fontId="19" fillId="0" borderId="10" xfId="0" applyFont="1" applyBorder="1" applyAlignment="1" applyProtection="1">
      <alignment wrapText="1"/>
      <protection locked="0"/>
    </xf>
    <xf numFmtId="14" fontId="0" fillId="0" borderId="10" xfId="0" applyNumberFormat="1" applyBorder="1" applyAlignment="1" applyProtection="1">
      <alignment horizontal="left"/>
      <protection locked="0"/>
    </xf>
    <xf numFmtId="14" fontId="19" fillId="0" borderId="11" xfId="0" applyNumberFormat="1" applyFont="1" applyBorder="1" applyAlignment="1" applyProtection="1">
      <alignment horizontal="left"/>
      <protection locked="0"/>
    </xf>
    <xf numFmtId="0" fontId="20" fillId="0" borderId="11" xfId="0" applyFont="1" applyBorder="1" applyAlignment="1">
      <alignment horizontal="left"/>
    </xf>
    <xf numFmtId="0" fontId="0" fillId="0" borderId="10" xfId="0" applyBorder="1"/>
    <xf numFmtId="0" fontId="0" fillId="40" borderId="10" xfId="0" applyFill="1" applyBorder="1" applyProtection="1">
      <protection locked="0"/>
    </xf>
    <xf numFmtId="0" fontId="19" fillId="0" borderId="10" xfId="0" applyFont="1" applyBorder="1"/>
    <xf numFmtId="0" fontId="20" fillId="0" borderId="10" xfId="0" applyFont="1" applyBorder="1"/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20" fillId="40" borderId="11" xfId="0" applyFont="1" applyFill="1" applyBorder="1" applyAlignment="1">
      <alignment horizontal="left"/>
    </xf>
    <xf numFmtId="0" fontId="20" fillId="0" borderId="13" xfId="0" applyFont="1" applyBorder="1" applyAlignment="1">
      <alignment wrapText="1"/>
    </xf>
    <xf numFmtId="14" fontId="19" fillId="0" borderId="12" xfId="1" applyNumberFormat="1" applyFont="1" applyBorder="1" applyAlignment="1">
      <alignment horizontal="right"/>
    </xf>
    <xf numFmtId="165" fontId="0" fillId="0" borderId="10" xfId="0" applyNumberFormat="1" applyBorder="1"/>
    <xf numFmtId="0" fontId="2" fillId="41" borderId="0" xfId="1" applyFill="1" applyProtection="1">
      <protection locked="0"/>
    </xf>
    <xf numFmtId="0" fontId="0" fillId="41" borderId="0" xfId="0" applyFill="1"/>
    <xf numFmtId="14" fontId="0" fillId="40" borderId="10" xfId="0" applyNumberFormat="1" applyFill="1" applyBorder="1" applyAlignment="1" applyProtection="1">
      <alignment horizontal="right"/>
      <protection locked="0"/>
    </xf>
    <xf numFmtId="0" fontId="0" fillId="40" borderId="0" xfId="0" applyFill="1" applyProtection="1">
      <protection locked="0"/>
    </xf>
    <xf numFmtId="1" fontId="0" fillId="0" borderId="12" xfId="0" applyNumberFormat="1" applyBorder="1"/>
    <xf numFmtId="1" fontId="0" fillId="40" borderId="12" xfId="0" applyNumberFormat="1" applyFill="1" applyBorder="1"/>
    <xf numFmtId="14" fontId="0" fillId="0" borderId="12" xfId="0" applyNumberFormat="1" applyBorder="1"/>
    <xf numFmtId="166" fontId="0" fillId="0" borderId="10" xfId="0" applyNumberFormat="1" applyBorder="1" applyAlignment="1" applyProtection="1">
      <alignment horizontal="center"/>
      <protection locked="0"/>
    </xf>
    <xf numFmtId="166" fontId="0" fillId="0" borderId="10" xfId="0" applyNumberFormat="1" applyBorder="1" applyAlignment="1" applyProtection="1">
      <alignment horizontal="center" vertical="center"/>
      <protection locked="0"/>
    </xf>
    <xf numFmtId="166" fontId="19" fillId="0" borderId="10" xfId="0" applyNumberFormat="1" applyFont="1" applyBorder="1" applyAlignment="1" applyProtection="1">
      <alignment horizontal="center"/>
      <protection locked="0"/>
    </xf>
    <xf numFmtId="166" fontId="19" fillId="0" borderId="11" xfId="0" applyNumberFormat="1" applyFont="1" applyBorder="1" applyAlignment="1" applyProtection="1">
      <alignment horizontal="center"/>
      <protection locked="0"/>
    </xf>
    <xf numFmtId="166" fontId="19" fillId="41" borderId="11" xfId="0" applyNumberFormat="1" applyFont="1" applyFill="1" applyBorder="1" applyAlignment="1" applyProtection="1">
      <alignment horizontal="center"/>
      <protection locked="0"/>
    </xf>
    <xf numFmtId="166" fontId="19" fillId="40" borderId="11" xfId="0" applyNumberFormat="1" applyFont="1" applyFill="1" applyBorder="1" applyAlignment="1" applyProtection="1">
      <alignment horizontal="center"/>
      <protection locked="0"/>
    </xf>
    <xf numFmtId="166" fontId="0" fillId="0" borderId="11" xfId="0" applyNumberFormat="1" applyBorder="1" applyAlignment="1" applyProtection="1">
      <alignment horizontal="center"/>
      <protection locked="0"/>
    </xf>
    <xf numFmtId="166" fontId="20" fillId="0" borderId="11" xfId="0" applyNumberFormat="1" applyFont="1" applyBorder="1" applyAlignment="1">
      <alignment horizontal="center"/>
    </xf>
    <xf numFmtId="166" fontId="20" fillId="40" borderId="11" xfId="0" applyNumberFormat="1" applyFont="1" applyFill="1" applyBorder="1" applyAlignment="1">
      <alignment horizontal="center"/>
    </xf>
    <xf numFmtId="0" fontId="20" fillId="41" borderId="13" xfId="0" applyFont="1" applyFill="1" applyBorder="1"/>
    <xf numFmtId="0" fontId="0" fillId="0" borderId="13" xfId="0" applyBorder="1" applyProtection="1">
      <protection locked="0"/>
    </xf>
    <xf numFmtId="0" fontId="0" fillId="0" borderId="13" xfId="0" applyBorder="1"/>
    <xf numFmtId="165" fontId="0" fillId="0" borderId="13" xfId="0" applyNumberFormat="1" applyBorder="1"/>
    <xf numFmtId="14" fontId="0" fillId="0" borderId="10" xfId="0" applyNumberFormat="1" applyBorder="1" applyAlignment="1">
      <alignment horizontal="right"/>
    </xf>
    <xf numFmtId="14" fontId="0" fillId="40" borderId="12" xfId="0" applyNumberFormat="1" applyFill="1" applyBorder="1"/>
    <xf numFmtId="0" fontId="2" fillId="0" borderId="10" xfId="1" applyBorder="1" applyProtection="1">
      <protection locked="0"/>
    </xf>
    <xf numFmtId="0" fontId="2" fillId="40" borderId="10" xfId="1" applyFill="1" applyBorder="1" applyProtection="1">
      <protection locked="0"/>
    </xf>
    <xf numFmtId="0" fontId="2" fillId="41" borderId="10" xfId="1" applyFill="1" applyBorder="1" applyProtection="1">
      <protection locked="0"/>
    </xf>
    <xf numFmtId="0" fontId="22" fillId="40" borderId="10" xfId="0" applyFont="1" applyFill="1" applyBorder="1" applyAlignment="1">
      <alignment vertical="center"/>
    </xf>
    <xf numFmtId="0" fontId="20" fillId="44" borderId="13" xfId="0" applyFont="1" applyFill="1" applyBorder="1"/>
    <xf numFmtId="0" fontId="0" fillId="40" borderId="10" xfId="0" applyFill="1" applyBorder="1"/>
    <xf numFmtId="165" fontId="22" fillId="40" borderId="10" xfId="0" applyNumberFormat="1" applyFont="1" applyFill="1" applyBorder="1" applyAlignment="1">
      <alignment horizontal="right" vertical="center"/>
    </xf>
    <xf numFmtId="165" fontId="0" fillId="40" borderId="10" xfId="0" applyNumberFormat="1" applyFill="1" applyBorder="1"/>
    <xf numFmtId="0" fontId="20" fillId="40" borderId="10" xfId="0" applyFont="1" applyFill="1" applyBorder="1" applyAlignment="1">
      <alignment horizontal="left"/>
    </xf>
    <xf numFmtId="0" fontId="21" fillId="0" borderId="10" xfId="0" applyFont="1" applyBorder="1" applyAlignment="1">
      <alignment horizontal="left"/>
    </xf>
    <xf numFmtId="0" fontId="21" fillId="0" borderId="11" xfId="0" applyFont="1" applyBorder="1" applyAlignment="1">
      <alignment horizontal="left"/>
    </xf>
    <xf numFmtId="1" fontId="0" fillId="0" borderId="10" xfId="0" applyNumberFormat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14" fontId="19" fillId="0" borderId="10" xfId="0" applyNumberFormat="1" applyFont="1" applyBorder="1" applyAlignment="1" applyProtection="1">
      <alignment horizontal="left"/>
      <protection locked="0"/>
    </xf>
    <xf numFmtId="1" fontId="19" fillId="0" borderId="11" xfId="0" applyNumberFormat="1" applyFont="1" applyBorder="1" applyAlignment="1" applyProtection="1">
      <alignment horizontal="left"/>
      <protection locked="0"/>
    </xf>
    <xf numFmtId="14" fontId="19" fillId="40" borderId="11" xfId="0" applyNumberFormat="1" applyFont="1" applyFill="1" applyBorder="1" applyAlignment="1" applyProtection="1">
      <alignment horizontal="left"/>
      <protection locked="0"/>
    </xf>
    <xf numFmtId="0" fontId="19" fillId="0" borderId="10" xfId="0" applyFont="1" applyBorder="1" applyAlignment="1">
      <alignment horizontal="left"/>
    </xf>
    <xf numFmtId="0" fontId="19" fillId="41" borderId="10" xfId="0" applyFont="1" applyFill="1" applyBorder="1" applyAlignment="1">
      <alignment horizontal="left"/>
    </xf>
    <xf numFmtId="14" fontId="19" fillId="0" borderId="13" xfId="0" applyNumberFormat="1" applyFont="1" applyBorder="1" applyAlignment="1" applyProtection="1">
      <alignment horizontal="left"/>
      <protection locked="0"/>
    </xf>
    <xf numFmtId="0" fontId="19" fillId="0" borderId="11" xfId="0" applyFont="1" applyBorder="1" applyAlignment="1">
      <alignment horizontal="left"/>
    </xf>
    <xf numFmtId="14" fontId="19" fillId="0" borderId="0" xfId="0" applyNumberFormat="1" applyFont="1" applyAlignment="1" applyProtection="1">
      <alignment horizontal="left"/>
      <protection locked="0"/>
    </xf>
    <xf numFmtId="0" fontId="0" fillId="40" borderId="11" xfId="0" applyFill="1" applyBorder="1" applyAlignment="1">
      <alignment horizontal="left"/>
    </xf>
    <xf numFmtId="0" fontId="20" fillId="0" borderId="10" xfId="0" applyFont="1" applyBorder="1" applyAlignment="1">
      <alignment horizontal="left"/>
    </xf>
    <xf numFmtId="0" fontId="20" fillId="43" borderId="11" xfId="0" applyFont="1" applyFill="1" applyBorder="1" applyAlignment="1">
      <alignment horizontal="left"/>
    </xf>
    <xf numFmtId="1" fontId="20" fillId="0" borderId="11" xfId="0" applyNumberFormat="1" applyFont="1" applyBorder="1" applyAlignment="1">
      <alignment horizontal="left"/>
    </xf>
    <xf numFmtId="0" fontId="22" fillId="40" borderId="10" xfId="0" applyFont="1" applyFill="1" applyBorder="1" applyAlignment="1">
      <alignment horizontal="left" vertical="center"/>
    </xf>
    <xf numFmtId="0" fontId="0" fillId="40" borderId="10" xfId="0" applyFill="1" applyBorder="1" applyAlignment="1">
      <alignment horizontal="left"/>
    </xf>
    <xf numFmtId="0" fontId="20" fillId="0" borderId="11" xfId="0" quotePrefix="1" applyFont="1" applyBorder="1" applyAlignment="1">
      <alignment horizontal="left"/>
    </xf>
    <xf numFmtId="14" fontId="20" fillId="0" borderId="10" xfId="0" applyNumberFormat="1" applyFont="1" applyBorder="1"/>
    <xf numFmtId="14" fontId="20" fillId="0" borderId="10" xfId="0" applyNumberFormat="1" applyFont="1" applyBorder="1" applyAlignment="1">
      <alignment horizontal="right"/>
    </xf>
    <xf numFmtId="166" fontId="0" fillId="0" borderId="10" xfId="0" applyNumberFormat="1" applyBorder="1"/>
    <xf numFmtId="166" fontId="0" fillId="40" borderId="10" xfId="0" applyNumberFormat="1" applyFill="1" applyBorder="1"/>
    <xf numFmtId="1" fontId="0" fillId="40" borderId="10" xfId="0" applyNumberFormat="1" applyFill="1" applyBorder="1"/>
    <xf numFmtId="14" fontId="19" fillId="40" borderId="12" xfId="1" applyNumberFormat="1" applyFont="1" applyFill="1" applyBorder="1" applyAlignment="1">
      <alignment horizontal="right"/>
    </xf>
    <xf numFmtId="44" fontId="0" fillId="0" borderId="10" xfId="43" applyFont="1" applyBorder="1"/>
    <xf numFmtId="166" fontId="1" fillId="38" borderId="0" xfId="0" applyNumberFormat="1" applyFont="1" applyFill="1" applyAlignment="1">
      <alignment horizontal="center"/>
    </xf>
    <xf numFmtId="14" fontId="1" fillId="38" borderId="0" xfId="0" applyNumberFormat="1" applyFont="1" applyFill="1" applyAlignment="1">
      <alignment horizontal="left"/>
    </xf>
    <xf numFmtId="0" fontId="1" fillId="38" borderId="0" xfId="0" applyFont="1" applyFill="1" applyAlignment="1">
      <alignment horizontal="center"/>
    </xf>
    <xf numFmtId="166" fontId="14" fillId="39" borderId="0" xfId="0" applyNumberFormat="1" applyFont="1" applyFill="1" applyAlignment="1">
      <alignment horizontal="center" vertical="center" wrapText="1"/>
    </xf>
    <xf numFmtId="14" fontId="14" fillId="39" borderId="0" xfId="0" applyNumberFormat="1" applyFont="1" applyFill="1" applyAlignment="1">
      <alignment horizontal="center" vertical="center"/>
    </xf>
    <xf numFmtId="1" fontId="14" fillId="39" borderId="0" xfId="0" applyNumberFormat="1" applyFont="1" applyFill="1" applyAlignment="1">
      <alignment horizontal="center" vertical="center"/>
    </xf>
    <xf numFmtId="14" fontId="0" fillId="33" borderId="0" xfId="0" applyNumberFormat="1" applyFill="1"/>
    <xf numFmtId="1" fontId="0" fillId="33" borderId="0" xfId="0" applyNumberFormat="1" applyFill="1"/>
    <xf numFmtId="14" fontId="0" fillId="34" borderId="0" xfId="0" applyNumberFormat="1" applyFill="1" applyAlignment="1">
      <alignment wrapText="1"/>
    </xf>
    <xf numFmtId="14" fontId="0" fillId="34" borderId="0" xfId="0" applyNumberFormat="1" applyFill="1"/>
    <xf numFmtId="1" fontId="0" fillId="34" borderId="0" xfId="0" applyNumberFormat="1" applyFill="1"/>
    <xf numFmtId="14" fontId="0" fillId="35" borderId="0" xfId="0" applyNumberFormat="1" applyFill="1"/>
    <xf numFmtId="1" fontId="0" fillId="35" borderId="0" xfId="0" applyNumberFormat="1" applyFill="1"/>
    <xf numFmtId="14" fontId="0" fillId="36" borderId="0" xfId="0" applyNumberFormat="1" applyFill="1" applyAlignment="1">
      <alignment wrapText="1"/>
    </xf>
    <xf numFmtId="14" fontId="0" fillId="36" borderId="0" xfId="0" applyNumberFormat="1" applyFill="1"/>
    <xf numFmtId="1" fontId="0" fillId="36" borderId="0" xfId="0" applyNumberFormat="1" applyFill="1"/>
    <xf numFmtId="1" fontId="0" fillId="42" borderId="0" xfId="0" applyNumberFormat="1" applyFill="1"/>
    <xf numFmtId="14" fontId="0" fillId="37" borderId="0" xfId="0" applyNumberFormat="1" applyFill="1"/>
    <xf numFmtId="1" fontId="0" fillId="37" borderId="0" xfId="0" applyNumberFormat="1" applyFill="1"/>
    <xf numFmtId="0" fontId="0" fillId="36" borderId="0" xfId="0" applyFill="1"/>
    <xf numFmtId="14" fontId="0" fillId="42" borderId="0" xfId="0" applyNumberFormat="1" applyFill="1" applyProtection="1">
      <protection locked="0"/>
    </xf>
    <xf numFmtId="14" fontId="19" fillId="0" borderId="12" xfId="1" applyNumberFormat="1" applyFont="1" applyBorder="1" applyAlignment="1" applyProtection="1">
      <alignment horizontal="right"/>
      <protection locked="0"/>
    </xf>
    <xf numFmtId="14" fontId="0" fillId="0" borderId="12" xfId="0" applyNumberFormat="1" applyBorder="1" applyProtection="1">
      <protection locked="0"/>
    </xf>
    <xf numFmtId="1" fontId="0" fillId="0" borderId="12" xfId="0" applyNumberFormat="1" applyBorder="1" applyProtection="1">
      <protection locked="0"/>
    </xf>
    <xf numFmtId="1" fontId="0" fillId="40" borderId="12" xfId="0" applyNumberFormat="1" applyFill="1" applyBorder="1" applyProtection="1">
      <protection locked="0"/>
    </xf>
    <xf numFmtId="0" fontId="20" fillId="40" borderId="11" xfId="0" applyFont="1" applyFill="1" applyBorder="1"/>
    <xf numFmtId="0" fontId="20" fillId="40" borderId="10" xfId="0" applyFont="1" applyFill="1" applyBorder="1"/>
    <xf numFmtId="0" fontId="20" fillId="45" borderId="13" xfId="0" applyFont="1" applyFill="1" applyBorder="1"/>
    <xf numFmtId="0" fontId="20" fillId="45" borderId="11" xfId="0" applyFont="1" applyFill="1" applyBorder="1"/>
    <xf numFmtId="166" fontId="20" fillId="0" borderId="16" xfId="0" applyNumberFormat="1" applyFont="1" applyBorder="1" applyAlignment="1">
      <alignment horizontal="center"/>
    </xf>
    <xf numFmtId="0" fontId="20" fillId="0" borderId="16" xfId="0" applyFont="1" applyBorder="1" applyAlignment="1">
      <alignment horizontal="left"/>
    </xf>
    <xf numFmtId="0" fontId="20" fillId="0" borderId="17" xfId="0" applyFont="1" applyBorder="1"/>
    <xf numFmtId="166" fontId="20" fillId="0" borderId="14" xfId="0" applyNumberFormat="1" applyFont="1" applyBorder="1" applyAlignment="1">
      <alignment horizontal="center"/>
    </xf>
    <xf numFmtId="0" fontId="20" fillId="0" borderId="14" xfId="0" applyFont="1" applyBorder="1" applyAlignment="1">
      <alignment horizontal="left"/>
    </xf>
    <xf numFmtId="0" fontId="20" fillId="0" borderId="14" xfId="0" applyFont="1" applyBorder="1"/>
    <xf numFmtId="0" fontId="23" fillId="0" borderId="14" xfId="0" applyFont="1" applyBorder="1"/>
    <xf numFmtId="0" fontId="0" fillId="0" borderId="12" xfId="0" applyBorder="1" applyProtection="1">
      <protection locked="0"/>
    </xf>
    <xf numFmtId="0" fontId="20" fillId="0" borderId="16" xfId="0" applyFont="1" applyBorder="1"/>
    <xf numFmtId="0" fontId="20" fillId="0" borderId="14" xfId="0" quotePrefix="1" applyFont="1" applyBorder="1" applyAlignment="1">
      <alignment horizontal="left"/>
    </xf>
    <xf numFmtId="166" fontId="20" fillId="41" borderId="11" xfId="0" applyNumberFormat="1" applyFont="1" applyFill="1" applyBorder="1" applyAlignment="1">
      <alignment horizontal="center"/>
    </xf>
    <xf numFmtId="0" fontId="20" fillId="41" borderId="11" xfId="0" applyFont="1" applyFill="1" applyBorder="1" applyAlignment="1">
      <alignment horizontal="left"/>
    </xf>
    <xf numFmtId="0" fontId="19" fillId="41" borderId="11" xfId="0" applyFont="1" applyFill="1" applyBorder="1" applyProtection="1">
      <protection locked="0"/>
    </xf>
    <xf numFmtId="166" fontId="0" fillId="41" borderId="10" xfId="0" applyNumberFormat="1" applyFill="1" applyBorder="1"/>
    <xf numFmtId="14" fontId="0" fillId="41" borderId="10" xfId="0" applyNumberFormat="1" applyFill="1" applyBorder="1" applyProtection="1">
      <protection locked="0"/>
    </xf>
    <xf numFmtId="1" fontId="0" fillId="41" borderId="10" xfId="0" applyNumberFormat="1" applyFill="1" applyBorder="1"/>
    <xf numFmtId="14" fontId="0" fillId="41" borderId="10" xfId="0" applyNumberFormat="1" applyFill="1" applyBorder="1"/>
    <xf numFmtId="14" fontId="0" fillId="41" borderId="10" xfId="0" applyNumberFormat="1" applyFill="1" applyBorder="1" applyAlignment="1" applyProtection="1">
      <alignment horizontal="right"/>
      <protection locked="0"/>
    </xf>
    <xf numFmtId="14" fontId="0" fillId="41" borderId="12" xfId="0" applyNumberFormat="1" applyFill="1" applyBorder="1"/>
    <xf numFmtId="1" fontId="0" fillId="41" borderId="12" xfId="0" applyNumberFormat="1" applyFill="1" applyBorder="1" applyProtection="1">
      <protection locked="0"/>
    </xf>
    <xf numFmtId="1" fontId="0" fillId="41" borderId="12" xfId="0" applyNumberFormat="1" applyFill="1" applyBorder="1"/>
    <xf numFmtId="14" fontId="19" fillId="41" borderId="12" xfId="1" applyNumberFormat="1" applyFont="1" applyFill="1" applyBorder="1" applyAlignment="1">
      <alignment horizontal="right"/>
    </xf>
    <xf numFmtId="0" fontId="0" fillId="41" borderId="10" xfId="0" applyFill="1" applyBorder="1" applyProtection="1">
      <protection locked="0"/>
    </xf>
    <xf numFmtId="0" fontId="0" fillId="41" borderId="0" xfId="0" applyFill="1" applyProtection="1">
      <protection locked="0"/>
    </xf>
    <xf numFmtId="1" fontId="1" fillId="38" borderId="0" xfId="0" applyNumberFormat="1" applyFont="1" applyFill="1" applyAlignment="1">
      <alignment horizontal="center"/>
    </xf>
    <xf numFmtId="1" fontId="0" fillId="0" borderId="10" xfId="0" applyNumberFormat="1" applyBorder="1" applyAlignment="1" applyProtection="1">
      <alignment horizontal="center" vertical="center"/>
      <protection locked="0"/>
    </xf>
    <xf numFmtId="1" fontId="0" fillId="40" borderId="10" xfId="0" applyNumberFormat="1" applyFill="1" applyBorder="1" applyAlignment="1" applyProtection="1">
      <alignment horizontal="center" vertical="center"/>
      <protection locked="0"/>
    </xf>
  </cellXfs>
  <cellStyles count="44">
    <cellStyle name="20% - Énfasis1 2" xfId="20" xr:uid="{6DBEB4A7-4F88-4930-88F3-E008F0CACC98}"/>
    <cellStyle name="20% - Énfasis2 2" xfId="24" xr:uid="{BB29A205-2CD2-492C-91B6-298FA48E1063}"/>
    <cellStyle name="20% - Énfasis3 2" xfId="28" xr:uid="{7C9CFE6F-1F3B-4CA4-9D5E-4CB34AE8EF82}"/>
    <cellStyle name="20% - Énfasis4 2" xfId="32" xr:uid="{C54064E3-DA3F-4C64-802A-262BA023A33B}"/>
    <cellStyle name="20% - Énfasis5 2" xfId="36" xr:uid="{ABEA56D3-E276-4B66-87A4-FDE4C6ECA0C3}"/>
    <cellStyle name="20% - Énfasis6 2" xfId="40" xr:uid="{F160EAC6-88D0-43EB-8C1C-EE0E27E29C65}"/>
    <cellStyle name="40% - Énfasis1 2" xfId="21" xr:uid="{E8A5B7BC-4DC4-4A27-A48D-249092A5E846}"/>
    <cellStyle name="40% - Énfasis2 2" xfId="25" xr:uid="{DAD47B4D-6658-4F53-A2CA-51152FDB0A9D}"/>
    <cellStyle name="40% - Énfasis3 2" xfId="29" xr:uid="{7AA92A1D-0368-417C-9B6E-2EEE3A27D75E}"/>
    <cellStyle name="40% - Énfasis4 2" xfId="33" xr:uid="{734C996A-C818-4305-8CE6-41FBC70C23C4}"/>
    <cellStyle name="40% - Énfasis5 2" xfId="37" xr:uid="{8B3D23A2-7D94-414C-A8ED-8A6E7A33762D}"/>
    <cellStyle name="40% - Énfasis6 2" xfId="41" xr:uid="{41CBB188-9EFF-4054-AC24-F4DA46D569A6}"/>
    <cellStyle name="60% - Énfasis1 2" xfId="22" xr:uid="{E40802FD-A12E-4DDE-8C3B-09E8B185A848}"/>
    <cellStyle name="60% - Énfasis2 2" xfId="26" xr:uid="{FE727F13-980C-498D-A52E-3EA8C7ACD44C}"/>
    <cellStyle name="60% - Énfasis3 2" xfId="30" xr:uid="{67029E29-414A-41EC-A42C-0B70F5F04D87}"/>
    <cellStyle name="60% - Énfasis4 2" xfId="34" xr:uid="{28BC1451-91EC-4E0C-8EAB-A3F1BF68FC43}"/>
    <cellStyle name="60% - Énfasis5 2" xfId="38" xr:uid="{0A6C44EF-AF24-4626-9A2A-AE8DE94860BA}"/>
    <cellStyle name="60% - Énfasis6 2" xfId="42" xr:uid="{CECF50BA-143F-47CB-97C6-B64ED0802FAC}"/>
    <cellStyle name="Bueno 2" xfId="7" xr:uid="{0F4F3CF5-B394-4F92-BF54-D38F79CAED0B}"/>
    <cellStyle name="Cálculo 2" xfId="12" xr:uid="{F94301E4-F109-4A1F-B023-C5EC2A289C06}"/>
    <cellStyle name="Celda de comprobación 2" xfId="14" xr:uid="{8CF649D0-1E84-4295-9BC6-F828B47D1501}"/>
    <cellStyle name="Celda vinculada 2" xfId="13" xr:uid="{DDD9A34B-34D7-43E1-884F-3322FF1AA1B2}"/>
    <cellStyle name="Currency" xfId="43" builtinId="4"/>
    <cellStyle name="Encabezado 1 2" xfId="3" xr:uid="{A3B8B6AB-8E6F-462B-82B6-C26AD992AF13}"/>
    <cellStyle name="Encabezado 4 2" xfId="6" xr:uid="{55A0D1C5-4A1A-47E1-8A5A-E60D31BBD987}"/>
    <cellStyle name="Énfasis1 2" xfId="19" xr:uid="{256E3178-27B7-4AC6-859A-475E931D9F4E}"/>
    <cellStyle name="Énfasis2 2" xfId="23" xr:uid="{1B2C9685-310A-4EEE-8123-3C2C71B0052B}"/>
    <cellStyle name="Énfasis3 2" xfId="27" xr:uid="{DFA221A1-02A4-4549-B912-7D4A3BBCF553}"/>
    <cellStyle name="Énfasis4 2" xfId="31" xr:uid="{C71191FF-1BBC-44A9-8F66-D1B2C5D9BC98}"/>
    <cellStyle name="Énfasis5 2" xfId="35" xr:uid="{DC97389D-9ACC-47D7-AFC9-D6888C29601C}"/>
    <cellStyle name="Énfasis6 2" xfId="39" xr:uid="{67398B48-EAD1-4E97-8AB0-DA9EC4883614}"/>
    <cellStyle name="Entrada 2" xfId="10" xr:uid="{2B50B1B6-35D5-4590-849A-13028C992776}"/>
    <cellStyle name="Incorrecto 2" xfId="8" xr:uid="{1FCFFB5B-365E-44A9-8D0C-9FAC027B95E6}"/>
    <cellStyle name="Neutral 2" xfId="9" xr:uid="{40518B03-2158-41F8-8682-B329E4BD0FD9}"/>
    <cellStyle name="Normal" xfId="0" builtinId="0"/>
    <cellStyle name="Normal 2" xfId="1" xr:uid="{584D38EE-6EF6-4AF4-8CFC-40B62BA7C4BA}"/>
    <cellStyle name="Notas 2" xfId="16" xr:uid="{AC0E3F96-DE3E-415B-B9BE-A6863FB663D9}"/>
    <cellStyle name="Salida 2" xfId="11" xr:uid="{280D083E-45B2-48CB-989D-668304F8A84E}"/>
    <cellStyle name="Texto de advertencia 2" xfId="15" xr:uid="{56A13C63-8077-41D9-84A9-00F700C4ED89}"/>
    <cellStyle name="Texto explicativo 2" xfId="17" xr:uid="{DE23F83F-782A-4BAC-B57B-9938607EF85F}"/>
    <cellStyle name="Título 2 2" xfId="4" xr:uid="{F55BC792-9C92-4AE1-AFDB-B7C20EA0E8EB}"/>
    <cellStyle name="Título 3 2" xfId="5" xr:uid="{4D6297EF-3ABD-4973-8366-2C4A55E303EA}"/>
    <cellStyle name="Título 4" xfId="2" xr:uid="{340650BF-D8EF-40FB-80F7-7A68D16AF7B7}"/>
    <cellStyle name="Total 2" xfId="18" xr:uid="{18868E76-A3DA-4F77-A30F-CD535A2598D9}"/>
  </cellStyles>
  <dxfs count="0"/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C61F-912F-49AD-9106-29AD896C0235}">
  <sheetPr codeName="Hoja1">
    <pageSetUpPr fitToPage="1"/>
  </sheetPr>
  <dimension ref="A1:AL1386"/>
  <sheetViews>
    <sheetView showGridLines="0" tabSelected="1" zoomScaleNormal="100" workbookViewId="0">
      <pane xSplit="4" ySplit="1" topLeftCell="R1202" activePane="bottomRight" state="frozen"/>
      <selection pane="bottomRight" activeCell="D1" sqref="D1"/>
      <selection pane="bottomLeft" activeCell="A1117" sqref="A1117"/>
      <selection pane="topRight"/>
    </sheetView>
  </sheetViews>
  <sheetFormatPr defaultColWidth="11.42578125" defaultRowHeight="15" customHeight="1"/>
  <cols>
    <col min="1" max="1" width="8.5703125" style="156" customWidth="1"/>
    <col min="2" max="2" width="14.5703125" style="52" customWidth="1"/>
    <col min="3" max="3" width="23.85546875" style="32" customWidth="1"/>
    <col min="4" max="4" width="44.28515625" style="10" customWidth="1"/>
    <col min="5" max="5" width="14.7109375" style="10" bestFit="1" customWidth="1"/>
    <col min="6" max="6" width="62" style="10" customWidth="1"/>
    <col min="7" max="7" width="15.28515625" style="10" customWidth="1"/>
    <col min="8" max="8" width="12.85546875" style="10" customWidth="1"/>
    <col min="9" max="9" width="29" style="10" bestFit="1" customWidth="1"/>
    <col min="10" max="10" width="19" style="97" bestFit="1" customWidth="1"/>
    <col min="11" max="11" width="24.5703125" style="4" customWidth="1"/>
    <col min="12" max="12" width="10" style="19" bestFit="1" customWidth="1"/>
    <col min="13" max="13" width="26.42578125" style="5" bestFit="1" customWidth="1"/>
    <col min="14" max="14" width="18.85546875" style="4" customWidth="1"/>
    <col min="15" max="15" width="9.28515625" style="19" bestFit="1" customWidth="1"/>
    <col min="16" max="16" width="24.140625" style="5" bestFit="1" customWidth="1"/>
    <col min="17" max="17" width="18.42578125" style="4" bestFit="1" customWidth="1"/>
    <col min="18" max="18" width="9.85546875" style="19" bestFit="1" customWidth="1"/>
    <col min="19" max="19" width="25" style="5" bestFit="1" customWidth="1"/>
    <col min="20" max="20" width="17.85546875" style="4" customWidth="1"/>
    <col min="21" max="21" width="9.85546875" style="19" bestFit="1" customWidth="1"/>
    <col min="22" max="22" width="21.28515625" style="5" bestFit="1" customWidth="1"/>
    <col min="23" max="23" width="17.7109375" style="4" customWidth="1"/>
    <col min="24" max="24" width="9.85546875" style="19" bestFit="1" customWidth="1"/>
    <col min="25" max="25" width="17" style="19" bestFit="1" customWidth="1"/>
    <col min="26" max="26" width="16.7109375" style="4" customWidth="1"/>
    <col min="27" max="27" width="7.7109375" style="19" bestFit="1" customWidth="1"/>
    <col min="28" max="28" width="11.28515625" style="19" hidden="1" customWidth="1"/>
    <col min="29" max="29" width="7.140625" style="19" hidden="1" customWidth="1"/>
    <col min="30" max="30" width="13" style="5" bestFit="1" customWidth="1"/>
    <col min="31" max="31" width="17.28515625" style="4" customWidth="1"/>
    <col min="32" max="32" width="11.42578125" style="19" bestFit="1" customWidth="1"/>
    <col min="33" max="33" width="16.42578125" style="1" customWidth="1"/>
    <col min="34" max="34" width="16.5703125" hidden="1" customWidth="1"/>
    <col min="35" max="35" width="15.28515625" customWidth="1"/>
    <col min="36" max="36" width="15.85546875" customWidth="1"/>
    <col min="37" max="37" width="15.140625" customWidth="1"/>
    <col min="38" max="38" width="21.85546875" customWidth="1"/>
  </cols>
  <sheetData>
    <row r="1" spans="1:38" ht="34.5" customHeight="1">
      <c r="A1" s="155" t="s">
        <v>0</v>
      </c>
      <c r="B1" s="102" t="s">
        <v>1</v>
      </c>
      <c r="C1" s="103" t="s">
        <v>2</v>
      </c>
      <c r="D1" s="104" t="s">
        <v>3</v>
      </c>
      <c r="E1" s="104" t="s">
        <v>4</v>
      </c>
      <c r="F1" s="104" t="s">
        <v>5</v>
      </c>
      <c r="G1" s="104" t="s">
        <v>6</v>
      </c>
      <c r="H1" s="104" t="s">
        <v>7</v>
      </c>
      <c r="I1" s="104" t="s">
        <v>8</v>
      </c>
      <c r="J1" s="105" t="s">
        <v>9</v>
      </c>
      <c r="K1" s="106" t="s">
        <v>10</v>
      </c>
      <c r="L1" s="107" t="s">
        <v>11</v>
      </c>
      <c r="M1" s="108" t="s">
        <v>12</v>
      </c>
      <c r="N1" s="108" t="s">
        <v>13</v>
      </c>
      <c r="O1" s="109" t="s">
        <v>14</v>
      </c>
      <c r="P1" s="110" t="s">
        <v>15</v>
      </c>
      <c r="Q1" s="111" t="s">
        <v>16</v>
      </c>
      <c r="R1" s="112" t="s">
        <v>17</v>
      </c>
      <c r="S1" s="113" t="s">
        <v>18</v>
      </c>
      <c r="T1" s="113" t="s">
        <v>19</v>
      </c>
      <c r="U1" s="114" t="s">
        <v>20</v>
      </c>
      <c r="V1" s="115" t="s">
        <v>21</v>
      </c>
      <c r="W1" s="116" t="s">
        <v>22</v>
      </c>
      <c r="X1" s="117" t="s">
        <v>23</v>
      </c>
      <c r="Y1" s="118" t="s">
        <v>24</v>
      </c>
      <c r="Z1" s="122" t="s">
        <v>25</v>
      </c>
      <c r="AA1" s="118" t="s">
        <v>26</v>
      </c>
      <c r="AB1" s="118" t="s">
        <v>27</v>
      </c>
      <c r="AC1" s="118" t="s">
        <v>28</v>
      </c>
      <c r="AD1" s="119" t="s">
        <v>29</v>
      </c>
      <c r="AE1" s="119" t="s">
        <v>30</v>
      </c>
      <c r="AF1" s="120" t="s">
        <v>31</v>
      </c>
      <c r="AG1" s="121" t="s">
        <v>32</v>
      </c>
    </row>
    <row r="2" spans="1:38" ht="14.45">
      <c r="A2" s="156">
        <v>1</v>
      </c>
      <c r="B2" s="52">
        <v>45597</v>
      </c>
      <c r="D2" s="10" t="s">
        <v>33</v>
      </c>
      <c r="E2" s="11">
        <v>457737</v>
      </c>
      <c r="F2" s="12" t="s">
        <v>34</v>
      </c>
      <c r="G2" s="10" t="s">
        <v>35</v>
      </c>
      <c r="H2" s="10" t="s">
        <v>36</v>
      </c>
      <c r="I2" s="10" t="s">
        <v>37</v>
      </c>
      <c r="J2" s="97">
        <f t="shared" ref="J2:J65" si="0">B2-100</f>
        <v>45497</v>
      </c>
      <c r="K2" s="4">
        <v>45566</v>
      </c>
      <c r="L2" s="19">
        <f t="shared" ref="L2:L65" si="1">IF(OR(J2="", K2=""), "", J2-K2)</f>
        <v>-69</v>
      </c>
      <c r="M2" s="5">
        <f t="shared" ref="M2:M65" si="2">B2-89</f>
        <v>45508</v>
      </c>
      <c r="O2" s="19" t="str">
        <f t="shared" ref="O2:O65" si="3">IF(OR(M2="", N2=""), "", M2-N2)</f>
        <v/>
      </c>
      <c r="P2" s="5">
        <f t="shared" ref="P2:P65" si="4">B2-74</f>
        <v>45523</v>
      </c>
      <c r="R2" s="19" t="str">
        <f t="shared" ref="R2:R65" si="5">IF(OR(P2="", Q2=""), "", P2-Q2)</f>
        <v/>
      </c>
      <c r="S2" s="5">
        <f t="shared" ref="S2:S65" si="6">B2-69</f>
        <v>45528</v>
      </c>
      <c r="T2" s="4">
        <v>45570</v>
      </c>
      <c r="U2" s="19">
        <f t="shared" ref="U2:U65" si="7">IF(OR(S2="", T2=""), "", S2-T2)</f>
        <v>-42</v>
      </c>
      <c r="V2" s="5">
        <f t="shared" ref="V2:V65" si="8">B2-30</f>
        <v>45567</v>
      </c>
      <c r="W2" s="4">
        <v>45582</v>
      </c>
      <c r="X2" s="19">
        <f t="shared" ref="X2:X65" si="9">IF(OR(V2="", W2=""), "", V2-W2)</f>
        <v>-15</v>
      </c>
      <c r="Y2" s="51">
        <f t="shared" ref="Y2:Y65" si="10">B2-5</f>
        <v>45592</v>
      </c>
      <c r="AA2" s="49" t="str">
        <f>IF(OR(Y2="", Z2=""), "", Y2-Z2)</f>
        <v/>
      </c>
      <c r="AB2" s="51">
        <f t="shared" ref="AB2:AB65" si="11">IF(B2&lt;&gt;"", B2, "")</f>
        <v>45597</v>
      </c>
      <c r="AC2" s="49" t="str">
        <f t="shared" ref="AC2:AC65" si="12">IF(OR(AB2="", Z2=""), "", AB2-Z2)</f>
        <v/>
      </c>
      <c r="AD2" s="43">
        <f>IF(B2&lt;&gt;"", B2, "")</f>
        <v>45597</v>
      </c>
      <c r="AF2" s="19" t="str">
        <f t="shared" ref="AF2:AF65" si="13">IF(OR(AD2="", AE2=""), "", AD2-AE2)</f>
        <v/>
      </c>
      <c r="AG2" s="10"/>
      <c r="AH2" s="1"/>
      <c r="AI2" s="1"/>
      <c r="AJ2" s="1"/>
      <c r="AK2" s="1"/>
      <c r="AL2" s="1"/>
    </row>
    <row r="3" spans="1:38" ht="14.45">
      <c r="A3" s="156">
        <v>2</v>
      </c>
      <c r="B3" s="52">
        <v>45597</v>
      </c>
      <c r="D3" s="10" t="s">
        <v>38</v>
      </c>
      <c r="E3" s="11">
        <v>1727.74</v>
      </c>
      <c r="F3" s="3" t="s">
        <v>39</v>
      </c>
      <c r="G3" s="10" t="s">
        <v>35</v>
      </c>
      <c r="H3" s="10" t="s">
        <v>40</v>
      </c>
      <c r="I3" s="10" t="s">
        <v>41</v>
      </c>
      <c r="J3" s="97">
        <f t="shared" si="0"/>
        <v>45497</v>
      </c>
      <c r="K3" s="4">
        <v>45498</v>
      </c>
      <c r="L3" s="19">
        <f t="shared" si="1"/>
        <v>-1</v>
      </c>
      <c r="M3" s="5">
        <f t="shared" si="2"/>
        <v>45508</v>
      </c>
      <c r="N3" s="4">
        <v>45539</v>
      </c>
      <c r="O3" s="19">
        <f t="shared" si="3"/>
        <v>-31</v>
      </c>
      <c r="P3" s="5">
        <f t="shared" si="4"/>
        <v>45523</v>
      </c>
      <c r="R3" s="19" t="str">
        <f t="shared" si="5"/>
        <v/>
      </c>
      <c r="S3" s="5">
        <f t="shared" si="6"/>
        <v>45528</v>
      </c>
      <c r="T3" s="4">
        <v>45595</v>
      </c>
      <c r="U3" s="19">
        <f t="shared" si="7"/>
        <v>-67</v>
      </c>
      <c r="V3" s="5">
        <f t="shared" si="8"/>
        <v>45567</v>
      </c>
      <c r="W3" s="4">
        <v>45610</v>
      </c>
      <c r="X3" s="19">
        <f t="shared" si="9"/>
        <v>-43</v>
      </c>
      <c r="Y3" s="51">
        <f t="shared" si="10"/>
        <v>45592</v>
      </c>
      <c r="Z3" s="4">
        <v>45610</v>
      </c>
      <c r="AA3" s="49">
        <f>IF(OR(Y3="", Z3=""), "", Y3-Z3)</f>
        <v>-18</v>
      </c>
      <c r="AB3" s="51">
        <f t="shared" si="11"/>
        <v>45597</v>
      </c>
      <c r="AC3" s="49">
        <f t="shared" si="12"/>
        <v>-13</v>
      </c>
      <c r="AD3" s="43">
        <f t="shared" ref="AD3:AD65" si="14">IF(B3&lt;&gt;"", B3, "")</f>
        <v>45597</v>
      </c>
      <c r="AE3" s="4">
        <v>45610</v>
      </c>
      <c r="AF3" s="19">
        <f t="shared" si="13"/>
        <v>-13</v>
      </c>
      <c r="AG3" s="10"/>
      <c r="AH3" s="1"/>
      <c r="AI3" s="1"/>
      <c r="AJ3" s="1"/>
      <c r="AK3" s="1"/>
      <c r="AL3" s="1"/>
    </row>
    <row r="4" spans="1:38" ht="14.45">
      <c r="A4" s="156">
        <v>3</v>
      </c>
      <c r="B4" s="52">
        <v>45597</v>
      </c>
      <c r="D4" s="10" t="s">
        <v>38</v>
      </c>
      <c r="E4" s="11">
        <v>1195.23</v>
      </c>
      <c r="F4" s="3" t="s">
        <v>42</v>
      </c>
      <c r="G4" s="10" t="s">
        <v>35</v>
      </c>
      <c r="H4" s="10" t="s">
        <v>40</v>
      </c>
      <c r="I4" s="10" t="s">
        <v>41</v>
      </c>
      <c r="J4" s="97">
        <f t="shared" si="0"/>
        <v>45497</v>
      </c>
      <c r="L4" s="19" t="str">
        <f>IF(OR(J4="", K4=""), "", J4-K4)</f>
        <v/>
      </c>
      <c r="M4" s="5">
        <f t="shared" si="2"/>
        <v>45508</v>
      </c>
      <c r="O4" s="19" t="str">
        <f t="shared" si="3"/>
        <v/>
      </c>
      <c r="P4" s="5">
        <f t="shared" si="4"/>
        <v>45523</v>
      </c>
      <c r="R4" s="19" t="str">
        <f t="shared" si="5"/>
        <v/>
      </c>
      <c r="S4" s="5">
        <f t="shared" si="6"/>
        <v>45528</v>
      </c>
      <c r="T4" s="4">
        <v>45595</v>
      </c>
      <c r="U4" s="19">
        <f t="shared" si="7"/>
        <v>-67</v>
      </c>
      <c r="V4" s="5">
        <f t="shared" si="8"/>
        <v>45567</v>
      </c>
      <c r="W4" s="4">
        <v>45610</v>
      </c>
      <c r="X4" s="19">
        <f t="shared" si="9"/>
        <v>-43</v>
      </c>
      <c r="Y4" s="51">
        <f t="shared" si="10"/>
        <v>45592</v>
      </c>
      <c r="Z4" s="4">
        <v>45610</v>
      </c>
      <c r="AA4" s="49">
        <f t="shared" ref="AA4:AA65" si="15">IF(OR(Y4="", Z4=""), "", Y4-Z4)</f>
        <v>-18</v>
      </c>
      <c r="AB4" s="51">
        <f t="shared" si="11"/>
        <v>45597</v>
      </c>
      <c r="AC4" s="49">
        <f t="shared" si="12"/>
        <v>-13</v>
      </c>
      <c r="AD4" s="43">
        <f t="shared" si="14"/>
        <v>45597</v>
      </c>
      <c r="AE4" s="4">
        <v>45610</v>
      </c>
      <c r="AF4" s="19">
        <f t="shared" si="13"/>
        <v>-13</v>
      </c>
      <c r="AG4" s="10"/>
      <c r="AH4" s="1"/>
      <c r="AI4" s="1"/>
      <c r="AJ4" s="1"/>
      <c r="AK4" s="1"/>
      <c r="AL4" s="1"/>
    </row>
    <row r="5" spans="1:38" ht="14.45">
      <c r="A5" s="156">
        <v>4</v>
      </c>
      <c r="B5" s="52">
        <v>45597</v>
      </c>
      <c r="D5" s="10" t="s">
        <v>38</v>
      </c>
      <c r="E5" s="11">
        <v>292.77</v>
      </c>
      <c r="F5" s="3" t="s">
        <v>43</v>
      </c>
      <c r="G5" s="10" t="s">
        <v>35</v>
      </c>
      <c r="H5" s="10" t="s">
        <v>40</v>
      </c>
      <c r="I5" s="10" t="s">
        <v>41</v>
      </c>
      <c r="J5" s="97">
        <f t="shared" si="0"/>
        <v>45497</v>
      </c>
      <c r="L5" s="19" t="str">
        <f t="shared" si="1"/>
        <v/>
      </c>
      <c r="M5" s="5">
        <f t="shared" si="2"/>
        <v>45508</v>
      </c>
      <c r="O5" s="19" t="str">
        <f t="shared" si="3"/>
        <v/>
      </c>
      <c r="P5" s="5">
        <f t="shared" si="4"/>
        <v>45523</v>
      </c>
      <c r="R5" s="19" t="str">
        <f t="shared" si="5"/>
        <v/>
      </c>
      <c r="S5" s="5">
        <f t="shared" si="6"/>
        <v>45528</v>
      </c>
      <c r="T5" s="4">
        <v>45595</v>
      </c>
      <c r="U5" s="19">
        <f t="shared" si="7"/>
        <v>-67</v>
      </c>
      <c r="V5" s="5">
        <f t="shared" si="8"/>
        <v>45567</v>
      </c>
      <c r="W5" s="4">
        <v>45610</v>
      </c>
      <c r="X5" s="19">
        <f t="shared" si="9"/>
        <v>-43</v>
      </c>
      <c r="Y5" s="51">
        <f t="shared" si="10"/>
        <v>45592</v>
      </c>
      <c r="Z5" s="4">
        <v>45610</v>
      </c>
      <c r="AA5" s="49">
        <f t="shared" si="15"/>
        <v>-18</v>
      </c>
      <c r="AB5" s="51">
        <f t="shared" si="11"/>
        <v>45597</v>
      </c>
      <c r="AC5" s="49">
        <f t="shared" si="12"/>
        <v>-13</v>
      </c>
      <c r="AD5" s="43">
        <f t="shared" si="14"/>
        <v>45597</v>
      </c>
      <c r="AE5" s="4">
        <v>45610</v>
      </c>
      <c r="AF5" s="19">
        <f t="shared" si="13"/>
        <v>-13</v>
      </c>
      <c r="AG5" s="10"/>
      <c r="AH5" s="1"/>
      <c r="AI5" s="1"/>
      <c r="AJ5" s="1"/>
      <c r="AK5" s="1"/>
      <c r="AL5" s="1"/>
    </row>
    <row r="6" spans="1:38" ht="14.45">
      <c r="A6" s="156">
        <v>5</v>
      </c>
      <c r="B6" s="52">
        <v>45597</v>
      </c>
      <c r="D6" s="10" t="s">
        <v>44</v>
      </c>
      <c r="E6" s="11">
        <v>485199.2</v>
      </c>
      <c r="F6" s="3" t="s">
        <v>45</v>
      </c>
      <c r="G6" s="10" t="s">
        <v>46</v>
      </c>
      <c r="H6" s="10" t="s">
        <v>36</v>
      </c>
      <c r="I6" s="10" t="s">
        <v>47</v>
      </c>
      <c r="J6" s="97">
        <f t="shared" si="0"/>
        <v>45497</v>
      </c>
      <c r="K6" s="4">
        <v>45497</v>
      </c>
      <c r="L6" s="19">
        <f t="shared" si="1"/>
        <v>0</v>
      </c>
      <c r="M6" s="5">
        <f t="shared" si="2"/>
        <v>45508</v>
      </c>
      <c r="O6" s="19" t="str">
        <f t="shared" si="3"/>
        <v/>
      </c>
      <c r="P6" s="5">
        <f t="shared" si="4"/>
        <v>45523</v>
      </c>
      <c r="R6" s="19" t="str">
        <f t="shared" si="5"/>
        <v/>
      </c>
      <c r="S6" s="5">
        <f t="shared" si="6"/>
        <v>45528</v>
      </c>
      <c r="U6" s="19" t="str">
        <f t="shared" si="7"/>
        <v/>
      </c>
      <c r="V6" s="5">
        <f t="shared" si="8"/>
        <v>45567</v>
      </c>
      <c r="W6" s="4">
        <v>45596</v>
      </c>
      <c r="X6" s="19">
        <f t="shared" si="9"/>
        <v>-29</v>
      </c>
      <c r="Y6" s="51">
        <f t="shared" si="10"/>
        <v>45592</v>
      </c>
      <c r="AA6" s="49" t="str">
        <f>IF(OR(Y6="", Z6=""), "", Y6-Z6)</f>
        <v/>
      </c>
      <c r="AB6" s="51">
        <f t="shared" si="11"/>
        <v>45597</v>
      </c>
      <c r="AC6" s="49" t="str">
        <f t="shared" si="12"/>
        <v/>
      </c>
      <c r="AD6" s="43">
        <f t="shared" si="14"/>
        <v>45597</v>
      </c>
      <c r="AF6" s="19" t="str">
        <f t="shared" si="13"/>
        <v/>
      </c>
      <c r="AG6" s="10"/>
      <c r="AH6" s="1"/>
      <c r="AI6" s="1"/>
      <c r="AJ6" s="1"/>
      <c r="AK6" s="1"/>
      <c r="AL6" s="1"/>
    </row>
    <row r="7" spans="1:38" ht="14.45">
      <c r="A7" s="156">
        <v>6</v>
      </c>
      <c r="B7" s="52">
        <v>45599</v>
      </c>
      <c r="C7" s="32" t="s">
        <v>48</v>
      </c>
      <c r="D7" s="10" t="s">
        <v>49</v>
      </c>
      <c r="E7" s="11">
        <v>627.54</v>
      </c>
      <c r="F7" s="3" t="s">
        <v>50</v>
      </c>
      <c r="G7" s="10" t="s">
        <v>51</v>
      </c>
      <c r="H7" s="10" t="s">
        <v>40</v>
      </c>
      <c r="I7" s="10" t="s">
        <v>52</v>
      </c>
      <c r="J7" s="97">
        <f t="shared" si="0"/>
        <v>45499</v>
      </c>
      <c r="K7" s="5">
        <v>45497</v>
      </c>
      <c r="L7" s="19">
        <f t="shared" si="1"/>
        <v>2</v>
      </c>
      <c r="M7" s="5">
        <f t="shared" si="2"/>
        <v>45510</v>
      </c>
      <c r="N7" s="4">
        <v>45593</v>
      </c>
      <c r="O7" s="19">
        <f t="shared" si="3"/>
        <v>-83</v>
      </c>
      <c r="P7" s="5">
        <f t="shared" si="4"/>
        <v>45525</v>
      </c>
      <c r="Q7" s="4">
        <v>45593</v>
      </c>
      <c r="R7" s="19">
        <f t="shared" si="5"/>
        <v>-68</v>
      </c>
      <c r="S7" s="5">
        <f t="shared" si="6"/>
        <v>45530</v>
      </c>
      <c r="T7" s="4">
        <v>45616</v>
      </c>
      <c r="U7" s="19">
        <f t="shared" si="7"/>
        <v>-86</v>
      </c>
      <c r="V7" s="5">
        <f t="shared" si="8"/>
        <v>45569</v>
      </c>
      <c r="W7" s="4">
        <v>45611</v>
      </c>
      <c r="X7" s="19">
        <f t="shared" si="9"/>
        <v>-42</v>
      </c>
      <c r="Y7" s="51">
        <f t="shared" si="10"/>
        <v>45594</v>
      </c>
      <c r="Z7" s="6">
        <v>45611</v>
      </c>
      <c r="AA7" s="49">
        <f t="shared" si="15"/>
        <v>-17</v>
      </c>
      <c r="AB7" s="51">
        <f t="shared" si="11"/>
        <v>45599</v>
      </c>
      <c r="AC7" s="49">
        <f t="shared" si="12"/>
        <v>-12</v>
      </c>
      <c r="AD7" s="43">
        <f t="shared" si="14"/>
        <v>45599</v>
      </c>
      <c r="AE7" s="6">
        <v>45611</v>
      </c>
      <c r="AF7" s="19">
        <f t="shared" si="13"/>
        <v>-12</v>
      </c>
      <c r="AG7" s="10" t="s">
        <v>53</v>
      </c>
      <c r="AH7" s="1"/>
      <c r="AI7" s="1"/>
      <c r="AJ7" s="1"/>
      <c r="AK7" s="1"/>
      <c r="AL7" s="1"/>
    </row>
    <row r="8" spans="1:38" ht="14.45">
      <c r="A8" s="156">
        <v>7</v>
      </c>
      <c r="B8" s="52">
        <v>45601</v>
      </c>
      <c r="D8" s="10" t="s">
        <v>38</v>
      </c>
      <c r="E8" s="11">
        <v>290.12</v>
      </c>
      <c r="F8" s="3" t="s">
        <v>54</v>
      </c>
      <c r="G8" s="10" t="s">
        <v>35</v>
      </c>
      <c r="H8" s="10" t="s">
        <v>40</v>
      </c>
      <c r="I8" s="10" t="s">
        <v>41</v>
      </c>
      <c r="J8" s="97">
        <f t="shared" si="0"/>
        <v>45501</v>
      </c>
      <c r="L8" s="19" t="str">
        <f t="shared" si="1"/>
        <v/>
      </c>
      <c r="M8" s="5">
        <f t="shared" si="2"/>
        <v>45512</v>
      </c>
      <c r="O8" s="19" t="str">
        <f t="shared" si="3"/>
        <v/>
      </c>
      <c r="P8" s="5">
        <f t="shared" si="4"/>
        <v>45527</v>
      </c>
      <c r="R8" s="19" t="str">
        <f t="shared" si="5"/>
        <v/>
      </c>
      <c r="S8" s="5">
        <f t="shared" si="6"/>
        <v>45532</v>
      </c>
      <c r="T8" s="4">
        <v>45595</v>
      </c>
      <c r="U8" s="19">
        <f t="shared" si="7"/>
        <v>-63</v>
      </c>
      <c r="V8" s="5">
        <f t="shared" si="8"/>
        <v>45571</v>
      </c>
      <c r="W8" s="4">
        <v>45610</v>
      </c>
      <c r="X8" s="19">
        <f t="shared" si="9"/>
        <v>-39</v>
      </c>
      <c r="Y8" s="51">
        <f t="shared" si="10"/>
        <v>45596</v>
      </c>
      <c r="Z8" s="4">
        <v>45610</v>
      </c>
      <c r="AA8" s="49">
        <f t="shared" si="15"/>
        <v>-14</v>
      </c>
      <c r="AB8" s="51">
        <f t="shared" si="11"/>
        <v>45601</v>
      </c>
      <c r="AC8" s="49">
        <f t="shared" si="12"/>
        <v>-9</v>
      </c>
      <c r="AD8" s="43">
        <f t="shared" si="14"/>
        <v>45601</v>
      </c>
      <c r="AE8" s="4">
        <v>45610</v>
      </c>
      <c r="AF8" s="19">
        <f t="shared" si="13"/>
        <v>-9</v>
      </c>
      <c r="AG8" s="10"/>
      <c r="AH8" s="1"/>
      <c r="AI8" s="1"/>
      <c r="AJ8" s="1"/>
      <c r="AK8" s="1"/>
      <c r="AL8" s="1"/>
    </row>
    <row r="9" spans="1:38" ht="14.45">
      <c r="A9" s="156">
        <v>8</v>
      </c>
      <c r="B9" s="52">
        <v>45601</v>
      </c>
      <c r="C9" s="32" t="s">
        <v>55</v>
      </c>
      <c r="D9" s="10" t="s">
        <v>49</v>
      </c>
      <c r="E9" s="11">
        <v>597.99</v>
      </c>
      <c r="F9" s="3" t="s">
        <v>56</v>
      </c>
      <c r="G9" s="10" t="s">
        <v>51</v>
      </c>
      <c r="H9" s="10" t="s">
        <v>40</v>
      </c>
      <c r="I9" s="10" t="s">
        <v>52</v>
      </c>
      <c r="J9" s="97">
        <f t="shared" si="0"/>
        <v>45501</v>
      </c>
      <c r="K9" s="4">
        <v>45497</v>
      </c>
      <c r="L9" s="19">
        <f t="shared" si="1"/>
        <v>4</v>
      </c>
      <c r="M9" s="5">
        <f t="shared" si="2"/>
        <v>45512</v>
      </c>
      <c r="N9" s="4">
        <v>45593</v>
      </c>
      <c r="O9" s="19">
        <f t="shared" si="3"/>
        <v>-81</v>
      </c>
      <c r="P9" s="5">
        <f t="shared" si="4"/>
        <v>45527</v>
      </c>
      <c r="Q9" s="4">
        <v>45593</v>
      </c>
      <c r="R9" s="19">
        <f t="shared" si="5"/>
        <v>-66</v>
      </c>
      <c r="S9" s="5">
        <f t="shared" si="6"/>
        <v>45532</v>
      </c>
      <c r="T9" s="4">
        <v>45616</v>
      </c>
      <c r="U9" s="19">
        <f>IF(OR(S9="", T9=""), "", S9-T9)</f>
        <v>-84</v>
      </c>
      <c r="V9" s="5">
        <f t="shared" si="8"/>
        <v>45571</v>
      </c>
      <c r="W9" s="4">
        <v>45611</v>
      </c>
      <c r="X9" s="19">
        <f t="shared" si="9"/>
        <v>-40</v>
      </c>
      <c r="Y9" s="51">
        <f t="shared" si="10"/>
        <v>45596</v>
      </c>
      <c r="Z9" s="4">
        <v>45611</v>
      </c>
      <c r="AA9" s="49">
        <f>IF(OR(Y9="", Z9=""), "", Y9-Z9)</f>
        <v>-15</v>
      </c>
      <c r="AB9" s="51">
        <f t="shared" si="11"/>
        <v>45601</v>
      </c>
      <c r="AC9" s="49">
        <f t="shared" si="12"/>
        <v>-10</v>
      </c>
      <c r="AD9" s="43">
        <f t="shared" si="14"/>
        <v>45601</v>
      </c>
      <c r="AE9" s="4">
        <v>45611</v>
      </c>
      <c r="AF9" s="19">
        <f t="shared" si="13"/>
        <v>-10</v>
      </c>
      <c r="AG9" s="10" t="s">
        <v>53</v>
      </c>
      <c r="AH9" s="1"/>
      <c r="AI9" s="1"/>
      <c r="AJ9" s="1"/>
      <c r="AK9" s="1"/>
      <c r="AL9" s="1"/>
    </row>
    <row r="10" spans="1:38" ht="14.45">
      <c r="A10" s="156">
        <v>9</v>
      </c>
      <c r="B10" s="52">
        <v>45603</v>
      </c>
      <c r="D10" s="10" t="s">
        <v>38</v>
      </c>
      <c r="E10" s="11">
        <v>956.69</v>
      </c>
      <c r="F10" s="3" t="s">
        <v>57</v>
      </c>
      <c r="G10" s="10" t="s">
        <v>35</v>
      </c>
      <c r="H10" s="10" t="s">
        <v>40</v>
      </c>
      <c r="I10" s="10" t="s">
        <v>41</v>
      </c>
      <c r="J10" s="97">
        <f t="shared" si="0"/>
        <v>45503</v>
      </c>
      <c r="L10" s="19" t="str">
        <f t="shared" si="1"/>
        <v/>
      </c>
      <c r="M10" s="5">
        <f t="shared" si="2"/>
        <v>45514</v>
      </c>
      <c r="O10" s="19" t="str">
        <f t="shared" si="3"/>
        <v/>
      </c>
      <c r="P10" s="5">
        <f t="shared" si="4"/>
        <v>45529</v>
      </c>
      <c r="R10" s="19" t="str">
        <f t="shared" si="5"/>
        <v/>
      </c>
      <c r="S10" s="5">
        <f t="shared" si="6"/>
        <v>45534</v>
      </c>
      <c r="T10" s="4">
        <v>45595</v>
      </c>
      <c r="U10" s="19">
        <f t="shared" si="7"/>
        <v>-61</v>
      </c>
      <c r="V10" s="5">
        <f t="shared" si="8"/>
        <v>45573</v>
      </c>
      <c r="W10" s="4">
        <v>45610</v>
      </c>
      <c r="X10" s="19">
        <f t="shared" si="9"/>
        <v>-37</v>
      </c>
      <c r="Y10" s="51">
        <f t="shared" si="10"/>
        <v>45598</v>
      </c>
      <c r="Z10" s="4">
        <v>45610</v>
      </c>
      <c r="AA10" s="49">
        <f t="shared" si="15"/>
        <v>-12</v>
      </c>
      <c r="AB10" s="51">
        <f t="shared" si="11"/>
        <v>45603</v>
      </c>
      <c r="AC10" s="49">
        <f t="shared" si="12"/>
        <v>-7</v>
      </c>
      <c r="AD10" s="43">
        <f t="shared" si="14"/>
        <v>45603</v>
      </c>
      <c r="AE10" s="4">
        <v>45610</v>
      </c>
      <c r="AF10" s="19">
        <f t="shared" si="13"/>
        <v>-7</v>
      </c>
      <c r="AG10" s="10"/>
      <c r="AH10" s="1"/>
      <c r="AI10" s="1"/>
      <c r="AJ10" s="1"/>
      <c r="AK10" s="1"/>
      <c r="AL10" s="1"/>
    </row>
    <row r="11" spans="1:38" ht="14.45">
      <c r="A11" s="156">
        <v>10</v>
      </c>
      <c r="B11" s="52">
        <v>45603</v>
      </c>
      <c r="D11" s="10" t="s">
        <v>38</v>
      </c>
      <c r="E11" s="11">
        <v>198.68</v>
      </c>
      <c r="F11" s="3" t="s">
        <v>58</v>
      </c>
      <c r="G11" s="10" t="s">
        <v>35</v>
      </c>
      <c r="H11" s="10" t="s">
        <v>40</v>
      </c>
      <c r="I11" s="10" t="s">
        <v>41</v>
      </c>
      <c r="J11" s="97">
        <f t="shared" si="0"/>
        <v>45503</v>
      </c>
      <c r="L11" s="19" t="str">
        <f t="shared" si="1"/>
        <v/>
      </c>
      <c r="M11" s="5">
        <f t="shared" si="2"/>
        <v>45514</v>
      </c>
      <c r="O11" s="19" t="str">
        <f t="shared" si="3"/>
        <v/>
      </c>
      <c r="P11" s="5">
        <f t="shared" si="4"/>
        <v>45529</v>
      </c>
      <c r="R11" s="19" t="str">
        <f t="shared" si="5"/>
        <v/>
      </c>
      <c r="S11" s="5">
        <f t="shared" si="6"/>
        <v>45534</v>
      </c>
      <c r="T11" s="4">
        <v>45595</v>
      </c>
      <c r="U11" s="19">
        <f t="shared" si="7"/>
        <v>-61</v>
      </c>
      <c r="V11" s="5">
        <f t="shared" si="8"/>
        <v>45573</v>
      </c>
      <c r="W11" s="4">
        <v>45610</v>
      </c>
      <c r="X11" s="19">
        <f t="shared" si="9"/>
        <v>-37</v>
      </c>
      <c r="Y11" s="51">
        <f t="shared" si="10"/>
        <v>45598</v>
      </c>
      <c r="Z11" s="4">
        <v>45610</v>
      </c>
      <c r="AA11" s="49">
        <f t="shared" si="15"/>
        <v>-12</v>
      </c>
      <c r="AB11" s="51">
        <f t="shared" si="11"/>
        <v>45603</v>
      </c>
      <c r="AC11" s="49">
        <f t="shared" si="12"/>
        <v>-7</v>
      </c>
      <c r="AD11" s="43">
        <f t="shared" si="14"/>
        <v>45603</v>
      </c>
      <c r="AE11" s="4">
        <v>45610</v>
      </c>
      <c r="AF11" s="19">
        <f t="shared" si="13"/>
        <v>-7</v>
      </c>
      <c r="AG11" s="10"/>
      <c r="AH11" s="1"/>
      <c r="AI11" s="1"/>
      <c r="AJ11" s="1"/>
      <c r="AK11" s="1"/>
      <c r="AL11" s="1"/>
    </row>
    <row r="12" spans="1:38" ht="14.45">
      <c r="A12" s="156">
        <v>11</v>
      </c>
      <c r="B12" s="52">
        <v>45603</v>
      </c>
      <c r="C12" s="32" t="s">
        <v>59</v>
      </c>
      <c r="D12" s="10" t="s">
        <v>60</v>
      </c>
      <c r="E12" s="11">
        <v>588</v>
      </c>
      <c r="F12" s="3" t="s">
        <v>61</v>
      </c>
      <c r="G12" s="10" t="s">
        <v>51</v>
      </c>
      <c r="H12" s="10" t="s">
        <v>40</v>
      </c>
      <c r="I12" s="10" t="s">
        <v>62</v>
      </c>
      <c r="J12" s="97">
        <f t="shared" si="0"/>
        <v>45503</v>
      </c>
      <c r="K12" s="4">
        <v>45497</v>
      </c>
      <c r="L12" s="19">
        <f t="shared" si="1"/>
        <v>6</v>
      </c>
      <c r="M12" s="5">
        <f t="shared" si="2"/>
        <v>45514</v>
      </c>
      <c r="O12" s="19" t="str">
        <f t="shared" si="3"/>
        <v/>
      </c>
      <c r="P12" s="5">
        <f t="shared" si="4"/>
        <v>45529</v>
      </c>
      <c r="Q12" s="4">
        <v>45611</v>
      </c>
      <c r="R12" s="19">
        <f t="shared" si="5"/>
        <v>-82</v>
      </c>
      <c r="S12" s="5">
        <f t="shared" si="6"/>
        <v>45534</v>
      </c>
      <c r="U12" s="19" t="str">
        <f t="shared" si="7"/>
        <v/>
      </c>
      <c r="V12" s="5">
        <f t="shared" si="8"/>
        <v>45573</v>
      </c>
      <c r="X12" s="19" t="str">
        <f t="shared" si="9"/>
        <v/>
      </c>
      <c r="Y12" s="51">
        <f t="shared" si="10"/>
        <v>45598</v>
      </c>
      <c r="AA12" s="49" t="str">
        <f t="shared" si="15"/>
        <v/>
      </c>
      <c r="AB12" s="51">
        <f t="shared" si="11"/>
        <v>45603</v>
      </c>
      <c r="AC12" s="49" t="str">
        <f t="shared" si="12"/>
        <v/>
      </c>
      <c r="AD12" s="43">
        <f t="shared" si="14"/>
        <v>45603</v>
      </c>
      <c r="AF12" s="19" t="str">
        <f t="shared" si="13"/>
        <v/>
      </c>
      <c r="AG12" s="10"/>
      <c r="AH12" s="1"/>
      <c r="AI12" s="1"/>
      <c r="AJ12" s="1"/>
      <c r="AK12" s="1"/>
      <c r="AL12" s="1"/>
    </row>
    <row r="13" spans="1:38" ht="14.45">
      <c r="A13" s="156">
        <v>12</v>
      </c>
      <c r="B13" s="52">
        <v>45604</v>
      </c>
      <c r="C13" s="32" t="s">
        <v>63</v>
      </c>
      <c r="D13" s="10" t="s">
        <v>64</v>
      </c>
      <c r="E13" s="11">
        <v>865.49</v>
      </c>
      <c r="F13" s="3" t="s">
        <v>65</v>
      </c>
      <c r="G13" s="10" t="s">
        <v>51</v>
      </c>
      <c r="H13" s="10" t="s">
        <v>40</v>
      </c>
      <c r="I13" s="10" t="s">
        <v>62</v>
      </c>
      <c r="J13" s="97">
        <f t="shared" si="0"/>
        <v>45504</v>
      </c>
      <c r="K13" s="4">
        <v>45497</v>
      </c>
      <c r="L13" s="19">
        <f t="shared" si="1"/>
        <v>7</v>
      </c>
      <c r="M13" s="5">
        <f t="shared" si="2"/>
        <v>45515</v>
      </c>
      <c r="O13" s="19" t="str">
        <f t="shared" si="3"/>
        <v/>
      </c>
      <c r="P13" s="5">
        <f t="shared" si="4"/>
        <v>45530</v>
      </c>
      <c r="Q13" s="4">
        <v>45603</v>
      </c>
      <c r="R13" s="19">
        <f t="shared" si="5"/>
        <v>-73</v>
      </c>
      <c r="S13" s="5">
        <f t="shared" si="6"/>
        <v>45535</v>
      </c>
      <c r="T13" s="4">
        <v>45608</v>
      </c>
      <c r="U13" s="19">
        <f t="shared" si="7"/>
        <v>-73</v>
      </c>
      <c r="V13" s="5">
        <f t="shared" si="8"/>
        <v>45574</v>
      </c>
      <c r="W13" s="4">
        <v>45611</v>
      </c>
      <c r="X13" s="19">
        <f t="shared" si="9"/>
        <v>-37</v>
      </c>
      <c r="Y13" s="51">
        <f t="shared" si="10"/>
        <v>45599</v>
      </c>
      <c r="AA13" s="49" t="str">
        <f t="shared" si="15"/>
        <v/>
      </c>
      <c r="AB13" s="51">
        <f t="shared" si="11"/>
        <v>45604</v>
      </c>
      <c r="AC13" s="49" t="str">
        <f t="shared" si="12"/>
        <v/>
      </c>
      <c r="AD13" s="43">
        <f t="shared" si="14"/>
        <v>45604</v>
      </c>
      <c r="AF13" s="19" t="str">
        <f t="shared" si="13"/>
        <v/>
      </c>
      <c r="AG13" s="10"/>
      <c r="AH13" s="1"/>
      <c r="AI13" s="1"/>
      <c r="AJ13" s="1"/>
      <c r="AK13" s="1"/>
      <c r="AL13" s="1"/>
    </row>
    <row r="14" spans="1:38" ht="14.45">
      <c r="A14" s="156">
        <v>13</v>
      </c>
      <c r="B14" s="52">
        <v>45604</v>
      </c>
      <c r="D14" s="10" t="s">
        <v>66</v>
      </c>
      <c r="E14" s="11">
        <v>4800</v>
      </c>
      <c r="F14" s="3" t="s">
        <v>67</v>
      </c>
      <c r="G14" s="10" t="s">
        <v>46</v>
      </c>
      <c r="H14" s="10" t="s">
        <v>36</v>
      </c>
      <c r="I14" s="10" t="s">
        <v>62</v>
      </c>
      <c r="J14" s="97">
        <f t="shared" si="0"/>
        <v>45504</v>
      </c>
      <c r="K14" s="4">
        <v>45497</v>
      </c>
      <c r="L14" s="19">
        <f t="shared" si="1"/>
        <v>7</v>
      </c>
      <c r="M14" s="5">
        <f t="shared" si="2"/>
        <v>45515</v>
      </c>
      <c r="O14" s="19" t="str">
        <f t="shared" si="3"/>
        <v/>
      </c>
      <c r="P14" s="5">
        <f t="shared" si="4"/>
        <v>45530</v>
      </c>
      <c r="Q14" s="4">
        <v>45593</v>
      </c>
      <c r="R14" s="19">
        <f t="shared" si="5"/>
        <v>-63</v>
      </c>
      <c r="S14" s="5">
        <f t="shared" si="6"/>
        <v>45535</v>
      </c>
      <c r="U14" s="19" t="str">
        <f t="shared" si="7"/>
        <v/>
      </c>
      <c r="V14" s="5">
        <f t="shared" si="8"/>
        <v>45574</v>
      </c>
      <c r="W14" s="4">
        <v>45593</v>
      </c>
      <c r="X14" s="19">
        <f t="shared" si="9"/>
        <v>-19</v>
      </c>
      <c r="Y14" s="51">
        <f t="shared" si="10"/>
        <v>45599</v>
      </c>
      <c r="AA14" s="49" t="str">
        <f t="shared" si="15"/>
        <v/>
      </c>
      <c r="AB14" s="51">
        <f t="shared" si="11"/>
        <v>45604</v>
      </c>
      <c r="AC14" s="49" t="str">
        <f t="shared" si="12"/>
        <v/>
      </c>
      <c r="AD14" s="43">
        <f t="shared" si="14"/>
        <v>45604</v>
      </c>
      <c r="AF14" s="19" t="str">
        <f t="shared" si="13"/>
        <v/>
      </c>
      <c r="AG14" s="10"/>
      <c r="AH14" s="1"/>
      <c r="AI14" s="1"/>
      <c r="AJ14" s="1"/>
      <c r="AK14" s="1"/>
      <c r="AL14" s="1"/>
    </row>
    <row r="15" spans="1:38" ht="14.45">
      <c r="A15" s="156">
        <v>14</v>
      </c>
      <c r="B15" s="52">
        <v>45605</v>
      </c>
      <c r="D15" s="10" t="s">
        <v>38</v>
      </c>
      <c r="E15" s="11">
        <v>1572.84</v>
      </c>
      <c r="F15" s="3" t="s">
        <v>68</v>
      </c>
      <c r="G15" s="10" t="s">
        <v>35</v>
      </c>
      <c r="H15" s="10" t="s">
        <v>40</v>
      </c>
      <c r="I15" s="10" t="s">
        <v>41</v>
      </c>
      <c r="J15" s="97">
        <f t="shared" si="0"/>
        <v>45505</v>
      </c>
      <c r="L15" s="19" t="str">
        <f t="shared" si="1"/>
        <v/>
      </c>
      <c r="M15" s="5">
        <f t="shared" si="2"/>
        <v>45516</v>
      </c>
      <c r="O15" s="19" t="str">
        <f t="shared" si="3"/>
        <v/>
      </c>
      <c r="P15" s="5">
        <f t="shared" si="4"/>
        <v>45531</v>
      </c>
      <c r="R15" s="19" t="str">
        <f t="shared" si="5"/>
        <v/>
      </c>
      <c r="S15" s="5">
        <f t="shared" si="6"/>
        <v>45536</v>
      </c>
      <c r="T15" s="4">
        <v>45595</v>
      </c>
      <c r="U15" s="19">
        <f t="shared" si="7"/>
        <v>-59</v>
      </c>
      <c r="V15" s="5">
        <f t="shared" si="8"/>
        <v>45575</v>
      </c>
      <c r="W15" s="4">
        <v>45610</v>
      </c>
      <c r="X15" s="19">
        <f t="shared" si="9"/>
        <v>-35</v>
      </c>
      <c r="Y15" s="51">
        <f t="shared" si="10"/>
        <v>45600</v>
      </c>
      <c r="Z15" s="4">
        <v>45610</v>
      </c>
      <c r="AA15" s="49">
        <f t="shared" si="15"/>
        <v>-10</v>
      </c>
      <c r="AB15" s="51">
        <f t="shared" si="11"/>
        <v>45605</v>
      </c>
      <c r="AC15" s="49">
        <f t="shared" si="12"/>
        <v>-5</v>
      </c>
      <c r="AD15" s="43">
        <f t="shared" si="14"/>
        <v>45605</v>
      </c>
      <c r="AE15" s="4">
        <v>45610</v>
      </c>
      <c r="AF15" s="19">
        <f t="shared" si="13"/>
        <v>-5</v>
      </c>
      <c r="AG15" s="10"/>
      <c r="AH15" s="1"/>
      <c r="AI15" s="1"/>
      <c r="AJ15" s="1"/>
      <c r="AK15" s="1"/>
      <c r="AL15" s="1"/>
    </row>
    <row r="16" spans="1:38" ht="14.45">
      <c r="A16" s="156">
        <v>15</v>
      </c>
      <c r="B16" s="52">
        <v>45605</v>
      </c>
      <c r="D16" s="10" t="s">
        <v>38</v>
      </c>
      <c r="E16" s="11">
        <v>137.1</v>
      </c>
      <c r="F16" s="3" t="s">
        <v>69</v>
      </c>
      <c r="G16" s="10" t="s">
        <v>35</v>
      </c>
      <c r="H16" s="10" t="s">
        <v>40</v>
      </c>
      <c r="I16" s="10" t="s">
        <v>41</v>
      </c>
      <c r="J16" s="97">
        <f t="shared" si="0"/>
        <v>45505</v>
      </c>
      <c r="L16" s="19" t="str">
        <f t="shared" si="1"/>
        <v/>
      </c>
      <c r="M16" s="5">
        <f t="shared" si="2"/>
        <v>45516</v>
      </c>
      <c r="O16" s="19" t="str">
        <f t="shared" si="3"/>
        <v/>
      </c>
      <c r="P16" s="5">
        <f t="shared" si="4"/>
        <v>45531</v>
      </c>
      <c r="R16" s="19" t="str">
        <f t="shared" si="5"/>
        <v/>
      </c>
      <c r="S16" s="5">
        <f t="shared" si="6"/>
        <v>45536</v>
      </c>
      <c r="T16" s="4">
        <v>45595</v>
      </c>
      <c r="U16" s="19">
        <f t="shared" si="7"/>
        <v>-59</v>
      </c>
      <c r="V16" s="5">
        <f t="shared" si="8"/>
        <v>45575</v>
      </c>
      <c r="W16" s="4">
        <v>45610</v>
      </c>
      <c r="X16" s="19">
        <f t="shared" si="9"/>
        <v>-35</v>
      </c>
      <c r="Y16" s="51">
        <f t="shared" si="10"/>
        <v>45600</v>
      </c>
      <c r="Z16" s="4">
        <v>45610</v>
      </c>
      <c r="AA16" s="49">
        <f t="shared" si="15"/>
        <v>-10</v>
      </c>
      <c r="AB16" s="51">
        <f t="shared" si="11"/>
        <v>45605</v>
      </c>
      <c r="AC16" s="49">
        <f t="shared" si="12"/>
        <v>-5</v>
      </c>
      <c r="AD16" s="43">
        <f t="shared" si="14"/>
        <v>45605</v>
      </c>
      <c r="AE16" s="4">
        <v>45610</v>
      </c>
      <c r="AF16" s="19">
        <f t="shared" si="13"/>
        <v>-5</v>
      </c>
      <c r="AG16" s="10"/>
      <c r="AH16" s="1"/>
      <c r="AI16" s="1"/>
      <c r="AJ16" s="1"/>
      <c r="AK16" s="1"/>
      <c r="AL16" s="1"/>
    </row>
    <row r="17" spans="1:38" ht="14.45">
      <c r="A17" s="156">
        <v>16</v>
      </c>
      <c r="B17" s="52">
        <v>45605</v>
      </c>
      <c r="D17" s="10" t="s">
        <v>38</v>
      </c>
      <c r="E17" s="11">
        <v>51.01</v>
      </c>
      <c r="F17" s="3" t="s">
        <v>70</v>
      </c>
      <c r="G17" s="10" t="s">
        <v>35</v>
      </c>
      <c r="H17" s="10" t="s">
        <v>40</v>
      </c>
      <c r="I17" s="10" t="s">
        <v>41</v>
      </c>
      <c r="J17" s="97">
        <f t="shared" si="0"/>
        <v>45505</v>
      </c>
      <c r="L17" s="19" t="str">
        <f t="shared" si="1"/>
        <v/>
      </c>
      <c r="M17" s="5">
        <f t="shared" si="2"/>
        <v>45516</v>
      </c>
      <c r="O17" s="19" t="str">
        <f t="shared" si="3"/>
        <v/>
      </c>
      <c r="P17" s="5">
        <f t="shared" si="4"/>
        <v>45531</v>
      </c>
      <c r="R17" s="19" t="str">
        <f t="shared" si="5"/>
        <v/>
      </c>
      <c r="S17" s="5">
        <f t="shared" si="6"/>
        <v>45536</v>
      </c>
      <c r="T17" s="4">
        <v>45595</v>
      </c>
      <c r="U17" s="19">
        <f t="shared" si="7"/>
        <v>-59</v>
      </c>
      <c r="V17" s="5">
        <f t="shared" si="8"/>
        <v>45575</v>
      </c>
      <c r="W17" s="4">
        <v>45610</v>
      </c>
      <c r="X17" s="19">
        <f t="shared" si="9"/>
        <v>-35</v>
      </c>
      <c r="Y17" s="51">
        <f t="shared" si="10"/>
        <v>45600</v>
      </c>
      <c r="Z17" s="4">
        <v>45610</v>
      </c>
      <c r="AA17" s="49">
        <f t="shared" si="15"/>
        <v>-10</v>
      </c>
      <c r="AB17" s="51">
        <f t="shared" si="11"/>
        <v>45605</v>
      </c>
      <c r="AC17" s="49">
        <f t="shared" si="12"/>
        <v>-5</v>
      </c>
      <c r="AD17" s="43">
        <f t="shared" si="14"/>
        <v>45605</v>
      </c>
      <c r="AE17" s="4">
        <v>45610</v>
      </c>
      <c r="AF17" s="19">
        <f t="shared" si="13"/>
        <v>-5</v>
      </c>
      <c r="AG17" s="10"/>
      <c r="AH17" s="1"/>
      <c r="AI17" s="1"/>
      <c r="AJ17" s="1"/>
      <c r="AK17" s="1"/>
      <c r="AL17" s="1"/>
    </row>
    <row r="18" spans="1:38" ht="14.45">
      <c r="A18" s="156">
        <v>17</v>
      </c>
      <c r="B18" s="52">
        <v>45605</v>
      </c>
      <c r="D18" s="10" t="s">
        <v>38</v>
      </c>
      <c r="E18" s="11">
        <v>293.7</v>
      </c>
      <c r="F18" s="3" t="s">
        <v>71</v>
      </c>
      <c r="G18" s="10" t="s">
        <v>35</v>
      </c>
      <c r="H18" s="10" t="s">
        <v>40</v>
      </c>
      <c r="I18" s="10" t="s">
        <v>41</v>
      </c>
      <c r="J18" s="97">
        <f t="shared" si="0"/>
        <v>45505</v>
      </c>
      <c r="L18" s="19" t="str">
        <f t="shared" si="1"/>
        <v/>
      </c>
      <c r="M18" s="5">
        <f t="shared" si="2"/>
        <v>45516</v>
      </c>
      <c r="O18" s="19" t="str">
        <f t="shared" si="3"/>
        <v/>
      </c>
      <c r="P18" s="5">
        <f t="shared" si="4"/>
        <v>45531</v>
      </c>
      <c r="R18" s="19" t="str">
        <f t="shared" si="5"/>
        <v/>
      </c>
      <c r="S18" s="5">
        <f t="shared" si="6"/>
        <v>45536</v>
      </c>
      <c r="T18" s="4">
        <v>45595</v>
      </c>
      <c r="U18" s="19">
        <f t="shared" si="7"/>
        <v>-59</v>
      </c>
      <c r="V18" s="5">
        <f t="shared" si="8"/>
        <v>45575</v>
      </c>
      <c r="W18" s="4">
        <v>45610</v>
      </c>
      <c r="X18" s="19">
        <f t="shared" si="9"/>
        <v>-35</v>
      </c>
      <c r="Y18" s="51">
        <f t="shared" si="10"/>
        <v>45600</v>
      </c>
      <c r="Z18" s="4">
        <v>45610</v>
      </c>
      <c r="AA18" s="49">
        <f t="shared" si="15"/>
        <v>-10</v>
      </c>
      <c r="AB18" s="51">
        <f t="shared" si="11"/>
        <v>45605</v>
      </c>
      <c r="AC18" s="49">
        <f t="shared" si="12"/>
        <v>-5</v>
      </c>
      <c r="AD18" s="43">
        <f t="shared" si="14"/>
        <v>45605</v>
      </c>
      <c r="AE18" s="4">
        <v>45610</v>
      </c>
      <c r="AF18" s="19">
        <f t="shared" si="13"/>
        <v>-5</v>
      </c>
      <c r="AG18" s="10"/>
      <c r="AH18" s="1"/>
      <c r="AI18" s="1"/>
      <c r="AJ18" s="1"/>
      <c r="AK18" s="1"/>
      <c r="AL18" s="1"/>
    </row>
    <row r="19" spans="1:38" ht="14.45">
      <c r="A19" s="156">
        <v>18</v>
      </c>
      <c r="B19" s="52">
        <v>45605</v>
      </c>
      <c r="D19" s="10" t="s">
        <v>38</v>
      </c>
      <c r="E19" s="11">
        <v>329.94</v>
      </c>
      <c r="F19" s="3" t="s">
        <v>72</v>
      </c>
      <c r="G19" s="10" t="s">
        <v>35</v>
      </c>
      <c r="H19" s="10" t="s">
        <v>40</v>
      </c>
      <c r="I19" s="10" t="s">
        <v>41</v>
      </c>
      <c r="J19" s="97">
        <f t="shared" si="0"/>
        <v>45505</v>
      </c>
      <c r="L19" s="19" t="str">
        <f t="shared" si="1"/>
        <v/>
      </c>
      <c r="M19" s="5">
        <f t="shared" si="2"/>
        <v>45516</v>
      </c>
      <c r="O19" s="19" t="str">
        <f t="shared" si="3"/>
        <v/>
      </c>
      <c r="P19" s="5">
        <f t="shared" si="4"/>
        <v>45531</v>
      </c>
      <c r="R19" s="19" t="str">
        <f t="shared" si="5"/>
        <v/>
      </c>
      <c r="S19" s="5">
        <f t="shared" si="6"/>
        <v>45536</v>
      </c>
      <c r="T19" s="4">
        <v>45595</v>
      </c>
      <c r="U19" s="19">
        <f t="shared" si="7"/>
        <v>-59</v>
      </c>
      <c r="V19" s="5">
        <f t="shared" si="8"/>
        <v>45575</v>
      </c>
      <c r="W19" s="4">
        <v>45610</v>
      </c>
      <c r="X19" s="19">
        <f t="shared" si="9"/>
        <v>-35</v>
      </c>
      <c r="Y19" s="51">
        <f t="shared" si="10"/>
        <v>45600</v>
      </c>
      <c r="Z19" s="4">
        <v>45610</v>
      </c>
      <c r="AA19" s="49">
        <f t="shared" si="15"/>
        <v>-10</v>
      </c>
      <c r="AB19" s="51">
        <f t="shared" si="11"/>
        <v>45605</v>
      </c>
      <c r="AC19" s="49">
        <f t="shared" si="12"/>
        <v>-5</v>
      </c>
      <c r="AD19" s="43">
        <f t="shared" si="14"/>
        <v>45605</v>
      </c>
      <c r="AE19" s="4">
        <v>45610</v>
      </c>
      <c r="AF19" s="19">
        <f t="shared" si="13"/>
        <v>-5</v>
      </c>
      <c r="AG19" s="10"/>
      <c r="AH19" s="1"/>
      <c r="AI19" s="1"/>
      <c r="AJ19" s="1"/>
      <c r="AK19" s="1"/>
      <c r="AL19" s="1"/>
    </row>
    <row r="20" spans="1:38" ht="14.45">
      <c r="A20" s="156">
        <v>19</v>
      </c>
      <c r="B20" s="52">
        <v>45607</v>
      </c>
      <c r="D20" s="10" t="s">
        <v>38</v>
      </c>
      <c r="E20" s="11">
        <v>904.92</v>
      </c>
      <c r="F20" s="3" t="s">
        <v>73</v>
      </c>
      <c r="G20" s="10" t="s">
        <v>35</v>
      </c>
      <c r="H20" s="10" t="s">
        <v>40</v>
      </c>
      <c r="I20" s="10" t="s">
        <v>41</v>
      </c>
      <c r="J20" s="97">
        <f t="shared" si="0"/>
        <v>45507</v>
      </c>
      <c r="L20" s="19" t="str">
        <f t="shared" si="1"/>
        <v/>
      </c>
      <c r="M20" s="5">
        <f t="shared" si="2"/>
        <v>45518</v>
      </c>
      <c r="O20" s="19" t="str">
        <f t="shared" si="3"/>
        <v/>
      </c>
      <c r="P20" s="5">
        <f t="shared" si="4"/>
        <v>45533</v>
      </c>
      <c r="R20" s="19" t="str">
        <f t="shared" si="5"/>
        <v/>
      </c>
      <c r="S20" s="5">
        <f t="shared" si="6"/>
        <v>45538</v>
      </c>
      <c r="T20" s="4">
        <v>45595</v>
      </c>
      <c r="U20" s="19">
        <f t="shared" si="7"/>
        <v>-57</v>
      </c>
      <c r="V20" s="5">
        <f t="shared" si="8"/>
        <v>45577</v>
      </c>
      <c r="W20" s="4">
        <v>45610</v>
      </c>
      <c r="X20" s="19">
        <f t="shared" si="9"/>
        <v>-33</v>
      </c>
      <c r="Y20" s="51">
        <f t="shared" si="10"/>
        <v>45602</v>
      </c>
      <c r="Z20" s="4">
        <v>45610</v>
      </c>
      <c r="AA20" s="49">
        <f t="shared" si="15"/>
        <v>-8</v>
      </c>
      <c r="AB20" s="51">
        <f t="shared" si="11"/>
        <v>45607</v>
      </c>
      <c r="AC20" s="49">
        <f t="shared" si="12"/>
        <v>-3</v>
      </c>
      <c r="AD20" s="43">
        <f t="shared" si="14"/>
        <v>45607</v>
      </c>
      <c r="AE20" s="4">
        <v>45610</v>
      </c>
      <c r="AF20" s="19">
        <f t="shared" si="13"/>
        <v>-3</v>
      </c>
      <c r="AG20" s="10"/>
      <c r="AH20" s="1"/>
      <c r="AI20" s="1"/>
      <c r="AJ20" s="1"/>
      <c r="AK20" s="1"/>
      <c r="AL20" s="1"/>
    </row>
    <row r="21" spans="1:38" ht="14.45">
      <c r="A21" s="156">
        <v>20</v>
      </c>
      <c r="B21" s="52">
        <v>45607</v>
      </c>
      <c r="D21" s="10" t="s">
        <v>74</v>
      </c>
      <c r="E21" s="11">
        <v>905.58</v>
      </c>
      <c r="F21" s="3" t="s">
        <v>75</v>
      </c>
      <c r="G21" s="10" t="s">
        <v>35</v>
      </c>
      <c r="H21" s="10" t="s">
        <v>40</v>
      </c>
      <c r="I21" s="10" t="s">
        <v>41</v>
      </c>
      <c r="J21" s="97">
        <f t="shared" si="0"/>
        <v>45507</v>
      </c>
      <c r="K21" s="4">
        <v>45593</v>
      </c>
      <c r="L21" s="19">
        <f t="shared" si="1"/>
        <v>-86</v>
      </c>
      <c r="M21" s="5">
        <f t="shared" si="2"/>
        <v>45518</v>
      </c>
      <c r="O21" s="19" t="str">
        <f t="shared" si="3"/>
        <v/>
      </c>
      <c r="P21" s="5">
        <f t="shared" si="4"/>
        <v>45533</v>
      </c>
      <c r="R21" s="19" t="str">
        <f t="shared" si="5"/>
        <v/>
      </c>
      <c r="S21" s="5">
        <f t="shared" si="6"/>
        <v>45538</v>
      </c>
      <c r="T21" s="4">
        <v>45593</v>
      </c>
      <c r="U21" s="19">
        <f t="shared" si="7"/>
        <v>-55</v>
      </c>
      <c r="V21" s="5">
        <f t="shared" si="8"/>
        <v>45577</v>
      </c>
      <c r="W21" s="4">
        <v>45602</v>
      </c>
      <c r="X21" s="19">
        <f t="shared" si="9"/>
        <v>-25</v>
      </c>
      <c r="Y21" s="51">
        <f t="shared" si="10"/>
        <v>45602</v>
      </c>
      <c r="Z21" s="4">
        <v>45623</v>
      </c>
      <c r="AA21" s="49">
        <f t="shared" si="15"/>
        <v>-21</v>
      </c>
      <c r="AB21" s="51">
        <f t="shared" si="11"/>
        <v>45607</v>
      </c>
      <c r="AC21" s="49">
        <f t="shared" si="12"/>
        <v>-16</v>
      </c>
      <c r="AD21" s="43">
        <f t="shared" si="14"/>
        <v>45607</v>
      </c>
      <c r="AE21" s="4">
        <v>45623</v>
      </c>
      <c r="AF21" s="19">
        <f t="shared" si="13"/>
        <v>-16</v>
      </c>
      <c r="AG21" s="10"/>
      <c r="AH21" s="1"/>
      <c r="AI21" s="1"/>
      <c r="AJ21" s="1"/>
      <c r="AK21" s="1"/>
      <c r="AL21" s="1"/>
    </row>
    <row r="22" spans="1:38" ht="14.45">
      <c r="A22" s="156">
        <v>21</v>
      </c>
      <c r="B22" s="52">
        <v>45607</v>
      </c>
      <c r="C22" s="32" t="s">
        <v>76</v>
      </c>
      <c r="D22" s="10" t="s">
        <v>77</v>
      </c>
      <c r="E22" s="11">
        <v>1889.9</v>
      </c>
      <c r="F22" s="3" t="s">
        <v>78</v>
      </c>
      <c r="G22" s="10" t="s">
        <v>51</v>
      </c>
      <c r="H22" s="10" t="s">
        <v>40</v>
      </c>
      <c r="I22" s="10" t="s">
        <v>52</v>
      </c>
      <c r="J22" s="97">
        <f t="shared" si="0"/>
        <v>45507</v>
      </c>
      <c r="K22" s="4">
        <v>45497</v>
      </c>
      <c r="L22" s="19">
        <f t="shared" si="1"/>
        <v>10</v>
      </c>
      <c r="M22" s="5">
        <f t="shared" si="2"/>
        <v>45518</v>
      </c>
      <c r="N22" s="4">
        <v>45593</v>
      </c>
      <c r="O22" s="19">
        <f t="shared" si="3"/>
        <v>-75</v>
      </c>
      <c r="P22" s="5">
        <f t="shared" si="4"/>
        <v>45533</v>
      </c>
      <c r="Q22" s="4">
        <v>45593</v>
      </c>
      <c r="R22" s="19">
        <f t="shared" si="5"/>
        <v>-60</v>
      </c>
      <c r="S22" s="5">
        <f t="shared" si="6"/>
        <v>45538</v>
      </c>
      <c r="T22" s="4">
        <v>45616</v>
      </c>
      <c r="U22" s="19">
        <f t="shared" si="7"/>
        <v>-78</v>
      </c>
      <c r="V22" s="5">
        <f t="shared" si="8"/>
        <v>45577</v>
      </c>
      <c r="W22" s="4">
        <v>45611</v>
      </c>
      <c r="X22" s="19">
        <f t="shared" si="9"/>
        <v>-34</v>
      </c>
      <c r="Y22" s="51">
        <f t="shared" si="10"/>
        <v>45602</v>
      </c>
      <c r="Z22" s="4">
        <v>45656</v>
      </c>
      <c r="AA22" s="49">
        <f t="shared" si="15"/>
        <v>-54</v>
      </c>
      <c r="AB22" s="51">
        <f t="shared" si="11"/>
        <v>45607</v>
      </c>
      <c r="AC22" s="49">
        <f t="shared" si="12"/>
        <v>-49</v>
      </c>
      <c r="AD22" s="43">
        <f t="shared" si="14"/>
        <v>45607</v>
      </c>
      <c r="AE22" s="4">
        <v>45656</v>
      </c>
      <c r="AF22" s="19">
        <f t="shared" si="13"/>
        <v>-49</v>
      </c>
      <c r="AG22" s="10"/>
      <c r="AH22" s="1"/>
      <c r="AI22" s="1"/>
      <c r="AJ22" s="1"/>
      <c r="AK22" s="1"/>
      <c r="AL22" s="1"/>
    </row>
    <row r="23" spans="1:38" ht="14.45">
      <c r="A23" s="156">
        <v>22</v>
      </c>
      <c r="B23" s="52">
        <v>45608</v>
      </c>
      <c r="C23" s="32" t="s">
        <v>79</v>
      </c>
      <c r="D23" s="10" t="s">
        <v>49</v>
      </c>
      <c r="E23" s="11">
        <v>1367.96</v>
      </c>
      <c r="F23" s="3" t="s">
        <v>80</v>
      </c>
      <c r="G23" s="10" t="s">
        <v>51</v>
      </c>
      <c r="H23" s="10" t="s">
        <v>40</v>
      </c>
      <c r="I23" s="10" t="s">
        <v>52</v>
      </c>
      <c r="J23" s="97">
        <f t="shared" si="0"/>
        <v>45508</v>
      </c>
      <c r="K23" s="4">
        <v>45508</v>
      </c>
      <c r="L23" s="19">
        <f t="shared" si="1"/>
        <v>0</v>
      </c>
      <c r="M23" s="5">
        <f t="shared" si="2"/>
        <v>45519</v>
      </c>
      <c r="N23" s="4">
        <v>45593</v>
      </c>
      <c r="O23" s="19">
        <f t="shared" si="3"/>
        <v>-74</v>
      </c>
      <c r="P23" s="5">
        <f t="shared" si="4"/>
        <v>45534</v>
      </c>
      <c r="Q23" s="4">
        <v>45593</v>
      </c>
      <c r="R23" s="19">
        <f t="shared" si="5"/>
        <v>-59</v>
      </c>
      <c r="S23" s="5">
        <f t="shared" si="6"/>
        <v>45539</v>
      </c>
      <c r="T23" s="4">
        <v>45616</v>
      </c>
      <c r="U23" s="19">
        <f t="shared" si="7"/>
        <v>-77</v>
      </c>
      <c r="V23" s="5">
        <f t="shared" si="8"/>
        <v>45578</v>
      </c>
      <c r="W23" s="4">
        <v>45611</v>
      </c>
      <c r="X23" s="19">
        <f t="shared" si="9"/>
        <v>-33</v>
      </c>
      <c r="Y23" s="51">
        <f t="shared" si="10"/>
        <v>45603</v>
      </c>
      <c r="Z23" s="4">
        <v>45611</v>
      </c>
      <c r="AA23" s="49">
        <f t="shared" si="15"/>
        <v>-8</v>
      </c>
      <c r="AB23" s="51">
        <f t="shared" si="11"/>
        <v>45608</v>
      </c>
      <c r="AC23" s="49">
        <f t="shared" si="12"/>
        <v>-3</v>
      </c>
      <c r="AD23" s="43">
        <f t="shared" si="14"/>
        <v>45608</v>
      </c>
      <c r="AE23" s="4">
        <v>45611</v>
      </c>
      <c r="AF23" s="19">
        <f t="shared" si="13"/>
        <v>-3</v>
      </c>
      <c r="AG23" s="10"/>
      <c r="AH23" s="1"/>
      <c r="AI23" s="1"/>
      <c r="AJ23" s="1"/>
      <c r="AK23" s="1"/>
      <c r="AL23" s="1"/>
    </row>
    <row r="24" spans="1:38" ht="14.45">
      <c r="A24" s="156">
        <v>23</v>
      </c>
      <c r="B24" s="52">
        <v>45609</v>
      </c>
      <c r="D24" s="10" t="s">
        <v>38</v>
      </c>
      <c r="E24" s="11">
        <v>473.27</v>
      </c>
      <c r="F24" s="3" t="s">
        <v>81</v>
      </c>
      <c r="G24" s="10" t="s">
        <v>35</v>
      </c>
      <c r="H24" s="10" t="s">
        <v>40</v>
      </c>
      <c r="I24" s="10" t="s">
        <v>41</v>
      </c>
      <c r="J24" s="97">
        <f t="shared" si="0"/>
        <v>45509</v>
      </c>
      <c r="L24" s="19" t="str">
        <f t="shared" si="1"/>
        <v/>
      </c>
      <c r="M24" s="5">
        <f t="shared" si="2"/>
        <v>45520</v>
      </c>
      <c r="O24" s="19" t="str">
        <f t="shared" si="3"/>
        <v/>
      </c>
      <c r="P24" s="5">
        <f t="shared" si="4"/>
        <v>45535</v>
      </c>
      <c r="R24" s="19" t="str">
        <f t="shared" si="5"/>
        <v/>
      </c>
      <c r="S24" s="5">
        <f t="shared" si="6"/>
        <v>45540</v>
      </c>
      <c r="T24" s="4">
        <v>45595</v>
      </c>
      <c r="U24" s="19">
        <f t="shared" si="7"/>
        <v>-55</v>
      </c>
      <c r="V24" s="5">
        <f t="shared" si="8"/>
        <v>45579</v>
      </c>
      <c r="W24" s="4">
        <v>45610</v>
      </c>
      <c r="X24" s="19">
        <f t="shared" si="9"/>
        <v>-31</v>
      </c>
      <c r="Y24" s="51">
        <f t="shared" si="10"/>
        <v>45604</v>
      </c>
      <c r="Z24" s="4">
        <v>45610</v>
      </c>
      <c r="AA24" s="49">
        <f t="shared" si="15"/>
        <v>-6</v>
      </c>
      <c r="AB24" s="51">
        <f t="shared" si="11"/>
        <v>45609</v>
      </c>
      <c r="AC24" s="49">
        <f t="shared" si="12"/>
        <v>-1</v>
      </c>
      <c r="AD24" s="43">
        <f t="shared" si="14"/>
        <v>45609</v>
      </c>
      <c r="AE24" s="4">
        <v>45610</v>
      </c>
      <c r="AF24" s="19">
        <f t="shared" si="13"/>
        <v>-1</v>
      </c>
      <c r="AG24" s="10"/>
      <c r="AH24" s="1"/>
      <c r="AI24" s="1"/>
      <c r="AJ24" s="1"/>
      <c r="AK24" s="1"/>
      <c r="AL24" s="1"/>
    </row>
    <row r="25" spans="1:38" ht="14.45">
      <c r="A25" s="156">
        <v>24</v>
      </c>
      <c r="B25" s="52">
        <v>45609</v>
      </c>
      <c r="D25" s="10" t="s">
        <v>38</v>
      </c>
      <c r="E25" s="11">
        <v>329.03</v>
      </c>
      <c r="F25" s="3" t="s">
        <v>82</v>
      </c>
      <c r="G25" s="10" t="s">
        <v>35</v>
      </c>
      <c r="H25" s="10" t="s">
        <v>40</v>
      </c>
      <c r="I25" s="10" t="s">
        <v>41</v>
      </c>
      <c r="J25" s="97">
        <f t="shared" si="0"/>
        <v>45509</v>
      </c>
      <c r="L25" s="19" t="str">
        <f t="shared" si="1"/>
        <v/>
      </c>
      <c r="M25" s="5">
        <f t="shared" si="2"/>
        <v>45520</v>
      </c>
      <c r="O25" s="19" t="str">
        <f t="shared" si="3"/>
        <v/>
      </c>
      <c r="P25" s="5">
        <f t="shared" si="4"/>
        <v>45535</v>
      </c>
      <c r="R25" s="19" t="str">
        <f t="shared" si="5"/>
        <v/>
      </c>
      <c r="S25" s="5">
        <f t="shared" si="6"/>
        <v>45540</v>
      </c>
      <c r="T25" s="4">
        <v>45595</v>
      </c>
      <c r="U25" s="19">
        <f t="shared" si="7"/>
        <v>-55</v>
      </c>
      <c r="V25" s="5">
        <f t="shared" si="8"/>
        <v>45579</v>
      </c>
      <c r="W25" s="4">
        <v>45610</v>
      </c>
      <c r="X25" s="19">
        <f t="shared" si="9"/>
        <v>-31</v>
      </c>
      <c r="Y25" s="51">
        <f t="shared" si="10"/>
        <v>45604</v>
      </c>
      <c r="Z25" s="4">
        <v>45610</v>
      </c>
      <c r="AA25" s="49">
        <f t="shared" si="15"/>
        <v>-6</v>
      </c>
      <c r="AB25" s="51">
        <f t="shared" si="11"/>
        <v>45609</v>
      </c>
      <c r="AC25" s="49">
        <f t="shared" si="12"/>
        <v>-1</v>
      </c>
      <c r="AD25" s="43">
        <f t="shared" si="14"/>
        <v>45609</v>
      </c>
      <c r="AE25" s="4">
        <v>45610</v>
      </c>
      <c r="AF25" s="19">
        <f t="shared" si="13"/>
        <v>-1</v>
      </c>
      <c r="AG25" s="10"/>
      <c r="AH25" s="1"/>
      <c r="AI25" s="1"/>
      <c r="AJ25" s="1"/>
      <c r="AK25" s="1"/>
      <c r="AL25" s="1"/>
    </row>
    <row r="26" spans="1:38" ht="14.45">
      <c r="A26" s="156">
        <v>25</v>
      </c>
      <c r="B26" s="52">
        <v>45610</v>
      </c>
      <c r="D26" s="10" t="s">
        <v>38</v>
      </c>
      <c r="E26" s="11">
        <v>914.03</v>
      </c>
      <c r="F26" s="3" t="s">
        <v>83</v>
      </c>
      <c r="G26" s="10" t="s">
        <v>35</v>
      </c>
      <c r="H26" s="10" t="s">
        <v>40</v>
      </c>
      <c r="I26" s="10" t="s">
        <v>41</v>
      </c>
      <c r="J26" s="97">
        <f t="shared" si="0"/>
        <v>45510</v>
      </c>
      <c r="L26" s="19" t="str">
        <f t="shared" si="1"/>
        <v/>
      </c>
      <c r="M26" s="5">
        <f t="shared" si="2"/>
        <v>45521</v>
      </c>
      <c r="O26" s="19" t="str">
        <f t="shared" si="3"/>
        <v/>
      </c>
      <c r="P26" s="5">
        <f t="shared" si="4"/>
        <v>45536</v>
      </c>
      <c r="R26" s="19" t="str">
        <f t="shared" si="5"/>
        <v/>
      </c>
      <c r="S26" s="5">
        <f t="shared" si="6"/>
        <v>45541</v>
      </c>
      <c r="T26" s="4">
        <v>45595</v>
      </c>
      <c r="U26" s="19">
        <f t="shared" si="7"/>
        <v>-54</v>
      </c>
      <c r="V26" s="5">
        <f t="shared" si="8"/>
        <v>45580</v>
      </c>
      <c r="W26" s="4">
        <v>45610</v>
      </c>
      <c r="X26" s="19">
        <f t="shared" si="9"/>
        <v>-30</v>
      </c>
      <c r="Y26" s="51">
        <f t="shared" si="10"/>
        <v>45605</v>
      </c>
      <c r="Z26" s="4">
        <v>45610</v>
      </c>
      <c r="AA26" s="49">
        <f t="shared" si="15"/>
        <v>-5</v>
      </c>
      <c r="AB26" s="51">
        <f t="shared" si="11"/>
        <v>45610</v>
      </c>
      <c r="AC26" s="49">
        <f t="shared" si="12"/>
        <v>0</v>
      </c>
      <c r="AD26" s="43">
        <f t="shared" si="14"/>
        <v>45610</v>
      </c>
      <c r="AE26" s="4">
        <v>45610</v>
      </c>
      <c r="AF26" s="19">
        <f t="shared" si="13"/>
        <v>0</v>
      </c>
      <c r="AG26" s="10"/>
      <c r="AH26" s="1"/>
      <c r="AI26" s="1"/>
      <c r="AJ26" s="1"/>
      <c r="AK26" s="1"/>
      <c r="AL26" s="1"/>
    </row>
    <row r="27" spans="1:38" ht="14.45">
      <c r="A27" s="156">
        <v>26</v>
      </c>
      <c r="B27" s="52">
        <v>45610</v>
      </c>
      <c r="D27" s="10" t="s">
        <v>38</v>
      </c>
      <c r="E27" s="11">
        <v>9954.15</v>
      </c>
      <c r="F27" s="3" t="s">
        <v>84</v>
      </c>
      <c r="G27" s="10" t="s">
        <v>35</v>
      </c>
      <c r="H27" s="10" t="s">
        <v>40</v>
      </c>
      <c r="I27" s="10" t="s">
        <v>41</v>
      </c>
      <c r="J27" s="97">
        <f t="shared" si="0"/>
        <v>45510</v>
      </c>
      <c r="L27" s="19" t="str">
        <f t="shared" si="1"/>
        <v/>
      </c>
      <c r="M27" s="5">
        <f t="shared" si="2"/>
        <v>45521</v>
      </c>
      <c r="O27" s="19" t="str">
        <f t="shared" si="3"/>
        <v/>
      </c>
      <c r="P27" s="5">
        <f t="shared" si="4"/>
        <v>45536</v>
      </c>
      <c r="R27" s="19" t="str">
        <f t="shared" si="5"/>
        <v/>
      </c>
      <c r="S27" s="5">
        <f t="shared" si="6"/>
        <v>45541</v>
      </c>
      <c r="T27" s="4">
        <v>45595</v>
      </c>
      <c r="U27" s="19">
        <f t="shared" si="7"/>
        <v>-54</v>
      </c>
      <c r="V27" s="5">
        <f t="shared" si="8"/>
        <v>45580</v>
      </c>
      <c r="W27" s="4">
        <v>45610</v>
      </c>
      <c r="X27" s="19">
        <f t="shared" si="9"/>
        <v>-30</v>
      </c>
      <c r="Y27" s="51">
        <f t="shared" si="10"/>
        <v>45605</v>
      </c>
      <c r="Z27" s="4">
        <v>45610</v>
      </c>
      <c r="AA27" s="49">
        <f t="shared" si="15"/>
        <v>-5</v>
      </c>
      <c r="AB27" s="51">
        <f t="shared" si="11"/>
        <v>45610</v>
      </c>
      <c r="AC27" s="49">
        <f t="shared" si="12"/>
        <v>0</v>
      </c>
      <c r="AD27" s="43">
        <f t="shared" si="14"/>
        <v>45610</v>
      </c>
      <c r="AE27" s="4">
        <v>45610</v>
      </c>
      <c r="AF27" s="19">
        <f t="shared" si="13"/>
        <v>0</v>
      </c>
      <c r="AG27" s="10"/>
      <c r="AH27" s="1"/>
      <c r="AI27" s="1"/>
      <c r="AJ27" s="1"/>
      <c r="AK27" s="1"/>
      <c r="AL27" s="1"/>
    </row>
    <row r="28" spans="1:38" ht="14.45">
      <c r="A28" s="156">
        <v>27</v>
      </c>
      <c r="B28" s="52">
        <v>45610</v>
      </c>
      <c r="C28" s="32" t="s">
        <v>85</v>
      </c>
      <c r="D28" s="10" t="s">
        <v>60</v>
      </c>
      <c r="E28" s="11">
        <v>667.6</v>
      </c>
      <c r="F28" s="3" t="s">
        <v>86</v>
      </c>
      <c r="G28" s="10" t="s">
        <v>51</v>
      </c>
      <c r="H28" s="10" t="s">
        <v>40</v>
      </c>
      <c r="I28" s="10" t="s">
        <v>62</v>
      </c>
      <c r="J28" s="97">
        <f t="shared" si="0"/>
        <v>45510</v>
      </c>
      <c r="K28" s="4">
        <v>45510</v>
      </c>
      <c r="L28" s="19">
        <f t="shared" si="1"/>
        <v>0</v>
      </c>
      <c r="M28" s="5">
        <f t="shared" si="2"/>
        <v>45521</v>
      </c>
      <c r="O28" s="19" t="str">
        <f t="shared" si="3"/>
        <v/>
      </c>
      <c r="P28" s="5">
        <f t="shared" si="4"/>
        <v>45536</v>
      </c>
      <c r="Q28" s="4">
        <v>45611</v>
      </c>
      <c r="R28" s="19">
        <f t="shared" si="5"/>
        <v>-75</v>
      </c>
      <c r="S28" s="5">
        <f t="shared" si="6"/>
        <v>45541</v>
      </c>
      <c r="U28" s="19" t="str">
        <f t="shared" si="7"/>
        <v/>
      </c>
      <c r="V28" s="5">
        <f t="shared" si="8"/>
        <v>45580</v>
      </c>
      <c r="X28" s="19" t="str">
        <f t="shared" si="9"/>
        <v/>
      </c>
      <c r="Y28" s="51">
        <f t="shared" si="10"/>
        <v>45605</v>
      </c>
      <c r="AA28" s="49" t="str">
        <f>IF(OR(Y28="", Z28=""), "", Y28-Z28)</f>
        <v/>
      </c>
      <c r="AB28" s="51">
        <f t="shared" si="11"/>
        <v>45610</v>
      </c>
      <c r="AC28" s="49" t="str">
        <f t="shared" si="12"/>
        <v/>
      </c>
      <c r="AD28" s="43">
        <f t="shared" si="14"/>
        <v>45610</v>
      </c>
      <c r="AF28" s="19" t="str">
        <f t="shared" si="13"/>
        <v/>
      </c>
      <c r="AG28" s="10"/>
      <c r="AH28" s="1"/>
      <c r="AI28" s="1"/>
      <c r="AJ28" s="1"/>
      <c r="AK28" s="1"/>
      <c r="AL28" s="1"/>
    </row>
    <row r="29" spans="1:38" ht="13.5" customHeight="1">
      <c r="A29" s="156">
        <v>28</v>
      </c>
      <c r="B29" s="52">
        <v>45611</v>
      </c>
      <c r="C29" s="32" t="s">
        <v>87</v>
      </c>
      <c r="D29" s="10" t="s">
        <v>88</v>
      </c>
      <c r="E29" s="11">
        <v>311.73</v>
      </c>
      <c r="F29" s="3" t="s">
        <v>89</v>
      </c>
      <c r="G29" s="10" t="s">
        <v>51</v>
      </c>
      <c r="H29" s="10" t="s">
        <v>40</v>
      </c>
      <c r="I29" s="10" t="s">
        <v>62</v>
      </c>
      <c r="J29" s="97">
        <f t="shared" si="0"/>
        <v>45511</v>
      </c>
      <c r="K29" s="4">
        <v>45637</v>
      </c>
      <c r="L29" s="19">
        <f t="shared" si="1"/>
        <v>-126</v>
      </c>
      <c r="M29" s="5">
        <f t="shared" si="2"/>
        <v>45522</v>
      </c>
      <c r="O29" s="19" t="str">
        <f t="shared" si="3"/>
        <v/>
      </c>
      <c r="P29" s="5">
        <f t="shared" si="4"/>
        <v>45537</v>
      </c>
      <c r="Q29" s="4">
        <v>45611</v>
      </c>
      <c r="R29" s="19">
        <f t="shared" si="5"/>
        <v>-74</v>
      </c>
      <c r="S29" s="5">
        <f t="shared" si="6"/>
        <v>45542</v>
      </c>
      <c r="U29" s="19" t="str">
        <f t="shared" si="7"/>
        <v/>
      </c>
      <c r="V29" s="5">
        <f t="shared" si="8"/>
        <v>45581</v>
      </c>
      <c r="X29" s="19" t="str">
        <f t="shared" si="9"/>
        <v/>
      </c>
      <c r="Y29" s="51">
        <f t="shared" si="10"/>
        <v>45606</v>
      </c>
      <c r="AA29" s="49" t="str">
        <f t="shared" si="15"/>
        <v/>
      </c>
      <c r="AB29" s="51">
        <f t="shared" si="11"/>
        <v>45611</v>
      </c>
      <c r="AC29" s="49" t="str">
        <f t="shared" si="12"/>
        <v/>
      </c>
      <c r="AD29" s="43">
        <f t="shared" si="14"/>
        <v>45611</v>
      </c>
      <c r="AF29" s="19" t="str">
        <f t="shared" si="13"/>
        <v/>
      </c>
      <c r="AG29" s="10"/>
      <c r="AH29" s="1"/>
      <c r="AI29" s="1"/>
      <c r="AJ29" s="1"/>
      <c r="AK29" s="1"/>
      <c r="AL29" s="1"/>
    </row>
    <row r="30" spans="1:38" ht="14.45">
      <c r="A30" s="156">
        <v>29</v>
      </c>
      <c r="B30" s="52">
        <v>45611</v>
      </c>
      <c r="D30" s="10" t="s">
        <v>90</v>
      </c>
      <c r="E30" s="11">
        <v>14381.36</v>
      </c>
      <c r="F30" s="3" t="s">
        <v>91</v>
      </c>
      <c r="G30" s="10" t="s">
        <v>92</v>
      </c>
      <c r="H30" s="10" t="s">
        <v>40</v>
      </c>
      <c r="I30" s="10" t="s">
        <v>93</v>
      </c>
      <c r="J30" s="97">
        <f t="shared" si="0"/>
        <v>45511</v>
      </c>
      <c r="K30" s="4">
        <v>45511</v>
      </c>
      <c r="L30" s="19">
        <f t="shared" si="1"/>
        <v>0</v>
      </c>
      <c r="M30" s="5">
        <f t="shared" si="2"/>
        <v>45522</v>
      </c>
      <c r="O30" s="19" t="str">
        <f t="shared" si="3"/>
        <v/>
      </c>
      <c r="P30" s="5">
        <f t="shared" si="4"/>
        <v>45537</v>
      </c>
      <c r="R30" s="19" t="str">
        <f t="shared" si="5"/>
        <v/>
      </c>
      <c r="S30" s="5">
        <f t="shared" si="6"/>
        <v>45542</v>
      </c>
      <c r="T30" s="4">
        <v>45575</v>
      </c>
      <c r="U30" s="19">
        <f t="shared" si="7"/>
        <v>-33</v>
      </c>
      <c r="V30" s="5">
        <f t="shared" si="8"/>
        <v>45581</v>
      </c>
      <c r="W30" s="4">
        <v>45590</v>
      </c>
      <c r="X30" s="19">
        <f t="shared" si="9"/>
        <v>-9</v>
      </c>
      <c r="Y30" s="51">
        <f t="shared" si="10"/>
        <v>45606</v>
      </c>
      <c r="Z30" s="4">
        <v>45622</v>
      </c>
      <c r="AA30" s="49">
        <f t="shared" si="15"/>
        <v>-16</v>
      </c>
      <c r="AB30" s="51">
        <f t="shared" si="11"/>
        <v>45611</v>
      </c>
      <c r="AC30" s="49">
        <f t="shared" si="12"/>
        <v>-11</v>
      </c>
      <c r="AD30" s="43">
        <f t="shared" si="14"/>
        <v>45611</v>
      </c>
      <c r="AE30" s="4">
        <v>45622</v>
      </c>
      <c r="AF30" s="19">
        <f t="shared" si="13"/>
        <v>-11</v>
      </c>
      <c r="AG30" s="10"/>
      <c r="AH30" s="1"/>
      <c r="AI30" s="1"/>
      <c r="AJ30" s="1"/>
      <c r="AK30" s="1"/>
      <c r="AL30" s="1"/>
    </row>
    <row r="31" spans="1:38" ht="14.45">
      <c r="A31" s="156">
        <v>30</v>
      </c>
      <c r="B31" s="52">
        <v>45611</v>
      </c>
      <c r="C31" s="76">
        <v>111532725</v>
      </c>
      <c r="D31" s="10" t="s">
        <v>94</v>
      </c>
      <c r="E31" s="11">
        <v>12562.7</v>
      </c>
      <c r="F31" s="3" t="s">
        <v>95</v>
      </c>
      <c r="G31" s="10" t="s">
        <v>46</v>
      </c>
      <c r="H31" s="10" t="s">
        <v>36</v>
      </c>
      <c r="I31" s="10" t="s">
        <v>93</v>
      </c>
      <c r="J31" s="97">
        <f t="shared" si="0"/>
        <v>45511</v>
      </c>
      <c r="K31" s="4">
        <v>45511</v>
      </c>
      <c r="L31" s="19">
        <f t="shared" si="1"/>
        <v>0</v>
      </c>
      <c r="M31" s="5">
        <f t="shared" si="2"/>
        <v>45522</v>
      </c>
      <c r="O31" s="19" t="str">
        <f t="shared" si="3"/>
        <v/>
      </c>
      <c r="P31" s="5">
        <f t="shared" si="4"/>
        <v>45537</v>
      </c>
      <c r="R31" s="19" t="str">
        <f t="shared" si="5"/>
        <v/>
      </c>
      <c r="S31" s="5">
        <f t="shared" si="6"/>
        <v>45542</v>
      </c>
      <c r="T31" s="4">
        <v>45608</v>
      </c>
      <c r="U31" s="19">
        <f t="shared" si="7"/>
        <v>-66</v>
      </c>
      <c r="V31" s="5">
        <f t="shared" si="8"/>
        <v>45581</v>
      </c>
      <c r="W31" s="4">
        <v>45608</v>
      </c>
      <c r="X31" s="19">
        <f t="shared" si="9"/>
        <v>-27</v>
      </c>
      <c r="Y31" s="51">
        <f t="shared" si="10"/>
        <v>45606</v>
      </c>
      <c r="Z31" s="4">
        <v>45609</v>
      </c>
      <c r="AA31" s="49">
        <f t="shared" si="15"/>
        <v>-3</v>
      </c>
      <c r="AB31" s="51">
        <f t="shared" si="11"/>
        <v>45611</v>
      </c>
      <c r="AC31" s="49">
        <f t="shared" si="12"/>
        <v>2</v>
      </c>
      <c r="AD31" s="43">
        <f t="shared" si="14"/>
        <v>45611</v>
      </c>
      <c r="AE31" s="4">
        <v>45609</v>
      </c>
      <c r="AF31" s="19">
        <f t="shared" si="13"/>
        <v>2</v>
      </c>
      <c r="AG31" s="10"/>
      <c r="AH31" s="1"/>
      <c r="AI31" s="1"/>
      <c r="AJ31" s="1"/>
      <c r="AK31" s="1"/>
      <c r="AL31" s="1"/>
    </row>
    <row r="32" spans="1:38" ht="14.45">
      <c r="A32" s="156">
        <v>31</v>
      </c>
      <c r="B32" s="52">
        <v>45611</v>
      </c>
      <c r="C32" s="76">
        <v>111532696</v>
      </c>
      <c r="D32" s="10" t="s">
        <v>96</v>
      </c>
      <c r="E32" s="11">
        <v>8469.2099999999991</v>
      </c>
      <c r="F32" s="3" t="s">
        <v>97</v>
      </c>
      <c r="G32" s="10" t="s">
        <v>46</v>
      </c>
      <c r="H32" s="10" t="s">
        <v>36</v>
      </c>
      <c r="I32" s="10" t="s">
        <v>93</v>
      </c>
      <c r="J32" s="97">
        <f t="shared" si="0"/>
        <v>45511</v>
      </c>
      <c r="L32" s="19" t="str">
        <f t="shared" si="1"/>
        <v/>
      </c>
      <c r="M32" s="5">
        <f t="shared" si="2"/>
        <v>45522</v>
      </c>
      <c r="O32" s="19" t="str">
        <f t="shared" si="3"/>
        <v/>
      </c>
      <c r="P32" s="5">
        <f t="shared" si="4"/>
        <v>45537</v>
      </c>
      <c r="R32" s="19" t="str">
        <f t="shared" si="5"/>
        <v/>
      </c>
      <c r="S32" s="5">
        <f t="shared" si="6"/>
        <v>45542</v>
      </c>
      <c r="T32" s="4">
        <v>45608</v>
      </c>
      <c r="U32" s="19">
        <f t="shared" si="7"/>
        <v>-66</v>
      </c>
      <c r="V32" s="5">
        <f t="shared" si="8"/>
        <v>45581</v>
      </c>
      <c r="W32" s="4">
        <v>45608</v>
      </c>
      <c r="X32" s="19">
        <f t="shared" si="9"/>
        <v>-27</v>
      </c>
      <c r="Y32" s="51">
        <f t="shared" si="10"/>
        <v>45606</v>
      </c>
      <c r="Z32" s="4">
        <v>45609</v>
      </c>
      <c r="AA32" s="49">
        <f t="shared" si="15"/>
        <v>-3</v>
      </c>
      <c r="AB32" s="51">
        <f t="shared" si="11"/>
        <v>45611</v>
      </c>
      <c r="AC32" s="49">
        <f t="shared" si="12"/>
        <v>2</v>
      </c>
      <c r="AD32" s="43">
        <f t="shared" si="14"/>
        <v>45611</v>
      </c>
      <c r="AE32" s="4">
        <v>45609</v>
      </c>
      <c r="AF32" s="19">
        <f t="shared" si="13"/>
        <v>2</v>
      </c>
      <c r="AG32" s="10"/>
      <c r="AH32" s="1"/>
      <c r="AI32" s="1"/>
      <c r="AJ32" s="1"/>
      <c r="AK32" s="1"/>
      <c r="AL32" s="1"/>
    </row>
    <row r="33" spans="1:38" ht="14.45">
      <c r="A33" s="156">
        <v>32</v>
      </c>
      <c r="B33" s="52">
        <v>45611</v>
      </c>
      <c r="C33" s="77">
        <v>111532704</v>
      </c>
      <c r="D33" s="10" t="s">
        <v>96</v>
      </c>
      <c r="E33" s="11">
        <v>11527.86</v>
      </c>
      <c r="F33" s="3" t="s">
        <v>98</v>
      </c>
      <c r="G33" s="10" t="s">
        <v>46</v>
      </c>
      <c r="H33" s="10" t="s">
        <v>36</v>
      </c>
      <c r="I33" s="10" t="s">
        <v>93</v>
      </c>
      <c r="J33" s="97">
        <f t="shared" si="0"/>
        <v>45511</v>
      </c>
      <c r="L33" s="19" t="str">
        <f t="shared" si="1"/>
        <v/>
      </c>
      <c r="M33" s="5">
        <f t="shared" si="2"/>
        <v>45522</v>
      </c>
      <c r="O33" s="19" t="str">
        <f t="shared" si="3"/>
        <v/>
      </c>
      <c r="P33" s="5">
        <f t="shared" si="4"/>
        <v>45537</v>
      </c>
      <c r="R33" s="19" t="str">
        <f t="shared" si="5"/>
        <v/>
      </c>
      <c r="S33" s="5">
        <f t="shared" si="6"/>
        <v>45542</v>
      </c>
      <c r="T33" s="4">
        <v>45608</v>
      </c>
      <c r="U33" s="19">
        <f t="shared" si="7"/>
        <v>-66</v>
      </c>
      <c r="V33" s="5">
        <f t="shared" si="8"/>
        <v>45581</v>
      </c>
      <c r="W33" s="4">
        <v>45608</v>
      </c>
      <c r="X33" s="19">
        <f t="shared" si="9"/>
        <v>-27</v>
      </c>
      <c r="Y33" s="51">
        <f t="shared" si="10"/>
        <v>45606</v>
      </c>
      <c r="Z33" s="4">
        <v>45609</v>
      </c>
      <c r="AA33" s="49">
        <f t="shared" si="15"/>
        <v>-3</v>
      </c>
      <c r="AB33" s="51">
        <f t="shared" si="11"/>
        <v>45611</v>
      </c>
      <c r="AC33" s="49">
        <f t="shared" si="12"/>
        <v>2</v>
      </c>
      <c r="AD33" s="43">
        <f t="shared" si="14"/>
        <v>45611</v>
      </c>
      <c r="AE33" s="4">
        <v>45609</v>
      </c>
      <c r="AF33" s="19">
        <f t="shared" si="13"/>
        <v>2</v>
      </c>
      <c r="AG33" s="10"/>
      <c r="AH33" s="1"/>
      <c r="AI33" s="1"/>
      <c r="AJ33" s="1"/>
      <c r="AK33" s="1"/>
      <c r="AL33" s="1"/>
    </row>
    <row r="34" spans="1:38" ht="14.45">
      <c r="A34" s="156">
        <v>33</v>
      </c>
      <c r="B34" s="52">
        <v>45611</v>
      </c>
      <c r="C34" s="77">
        <v>111532712</v>
      </c>
      <c r="D34" s="10" t="s">
        <v>96</v>
      </c>
      <c r="E34" s="11">
        <v>12461.27</v>
      </c>
      <c r="F34" s="3" t="s">
        <v>99</v>
      </c>
      <c r="G34" s="10" t="s">
        <v>46</v>
      </c>
      <c r="H34" s="10" t="s">
        <v>36</v>
      </c>
      <c r="I34" s="10" t="s">
        <v>93</v>
      </c>
      <c r="J34" s="97">
        <f t="shared" si="0"/>
        <v>45511</v>
      </c>
      <c r="L34" s="19" t="str">
        <f t="shared" si="1"/>
        <v/>
      </c>
      <c r="M34" s="5">
        <f t="shared" si="2"/>
        <v>45522</v>
      </c>
      <c r="O34" s="19" t="str">
        <f t="shared" si="3"/>
        <v/>
      </c>
      <c r="P34" s="5">
        <f t="shared" si="4"/>
        <v>45537</v>
      </c>
      <c r="R34" s="19" t="str">
        <f t="shared" si="5"/>
        <v/>
      </c>
      <c r="S34" s="5">
        <f t="shared" si="6"/>
        <v>45542</v>
      </c>
      <c r="T34" s="4">
        <v>45608</v>
      </c>
      <c r="U34" s="19">
        <f t="shared" si="7"/>
        <v>-66</v>
      </c>
      <c r="V34" s="5">
        <f t="shared" si="8"/>
        <v>45581</v>
      </c>
      <c r="W34" s="4">
        <v>45608</v>
      </c>
      <c r="X34" s="19">
        <f t="shared" si="9"/>
        <v>-27</v>
      </c>
      <c r="Y34" s="51">
        <f t="shared" si="10"/>
        <v>45606</v>
      </c>
      <c r="Z34" s="4">
        <v>45609</v>
      </c>
      <c r="AA34" s="49">
        <f t="shared" si="15"/>
        <v>-3</v>
      </c>
      <c r="AB34" s="51">
        <f t="shared" si="11"/>
        <v>45611</v>
      </c>
      <c r="AC34" s="49">
        <f t="shared" si="12"/>
        <v>2</v>
      </c>
      <c r="AD34" s="43">
        <f t="shared" si="14"/>
        <v>45611</v>
      </c>
      <c r="AE34" s="4">
        <v>45609</v>
      </c>
      <c r="AF34" s="19">
        <f t="shared" si="13"/>
        <v>2</v>
      </c>
      <c r="AG34" s="10"/>
      <c r="AH34" s="1"/>
      <c r="AI34" s="1"/>
      <c r="AJ34" s="1"/>
      <c r="AK34" s="1"/>
      <c r="AL34" s="1"/>
    </row>
    <row r="35" spans="1:38" ht="14.45">
      <c r="A35" s="156">
        <v>34</v>
      </c>
      <c r="B35" s="52">
        <v>45611</v>
      </c>
      <c r="D35" s="10" t="s">
        <v>100</v>
      </c>
      <c r="E35" s="11">
        <v>15300</v>
      </c>
      <c r="F35" s="3" t="s">
        <v>101</v>
      </c>
      <c r="G35" s="10" t="s">
        <v>46</v>
      </c>
      <c r="H35" s="10" t="s">
        <v>36</v>
      </c>
      <c r="I35" s="10" t="s">
        <v>62</v>
      </c>
      <c r="J35" s="97">
        <f t="shared" si="0"/>
        <v>45511</v>
      </c>
      <c r="K35" s="4">
        <v>45511</v>
      </c>
      <c r="L35" s="19">
        <f t="shared" si="1"/>
        <v>0</v>
      </c>
      <c r="M35" s="5">
        <f t="shared" si="2"/>
        <v>45522</v>
      </c>
      <c r="N35" s="4">
        <v>45604</v>
      </c>
      <c r="O35" s="19">
        <f t="shared" si="3"/>
        <v>-82</v>
      </c>
      <c r="P35" s="5">
        <f t="shared" si="4"/>
        <v>45537</v>
      </c>
      <c r="Q35" s="4">
        <v>45604</v>
      </c>
      <c r="R35" s="19">
        <f t="shared" si="5"/>
        <v>-67</v>
      </c>
      <c r="S35" s="5">
        <f t="shared" si="6"/>
        <v>45542</v>
      </c>
      <c r="T35" s="4">
        <v>45607</v>
      </c>
      <c r="U35" s="19">
        <f t="shared" si="7"/>
        <v>-65</v>
      </c>
      <c r="V35" s="5">
        <f t="shared" si="8"/>
        <v>45581</v>
      </c>
      <c r="W35" s="4">
        <v>45607</v>
      </c>
      <c r="X35" s="19">
        <f t="shared" si="9"/>
        <v>-26</v>
      </c>
      <c r="Y35" s="51">
        <f t="shared" si="10"/>
        <v>45606</v>
      </c>
      <c r="Z35" s="4">
        <v>45607</v>
      </c>
      <c r="AA35" s="49">
        <f t="shared" si="15"/>
        <v>-1</v>
      </c>
      <c r="AB35" s="51">
        <f t="shared" si="11"/>
        <v>45611</v>
      </c>
      <c r="AC35" s="49">
        <f t="shared" si="12"/>
        <v>4</v>
      </c>
      <c r="AD35" s="43">
        <f t="shared" si="14"/>
        <v>45611</v>
      </c>
      <c r="AE35" s="4">
        <v>45607</v>
      </c>
      <c r="AF35" s="19">
        <f t="shared" si="13"/>
        <v>4</v>
      </c>
      <c r="AG35" s="10"/>
      <c r="AH35" s="1"/>
      <c r="AI35" s="1"/>
      <c r="AJ35" s="1"/>
      <c r="AK35" s="1"/>
      <c r="AL35" s="1"/>
    </row>
    <row r="36" spans="1:38" ht="14.45">
      <c r="A36" s="156">
        <v>35</v>
      </c>
      <c r="B36" s="52">
        <v>45612</v>
      </c>
      <c r="C36" s="32" t="s">
        <v>102</v>
      </c>
      <c r="D36" s="10" t="s">
        <v>49</v>
      </c>
      <c r="E36" s="11">
        <v>1183.93</v>
      </c>
      <c r="F36" s="3" t="s">
        <v>103</v>
      </c>
      <c r="G36" s="10" t="s">
        <v>51</v>
      </c>
      <c r="H36" s="10" t="s">
        <v>40</v>
      </c>
      <c r="I36" s="10" t="s">
        <v>52</v>
      </c>
      <c r="J36" s="97">
        <f t="shared" si="0"/>
        <v>45512</v>
      </c>
      <c r="L36" s="19" t="str">
        <f t="shared" si="1"/>
        <v/>
      </c>
      <c r="M36" s="5">
        <f t="shared" si="2"/>
        <v>45523</v>
      </c>
      <c r="N36" s="4">
        <v>45593</v>
      </c>
      <c r="O36" s="19">
        <f t="shared" si="3"/>
        <v>-70</v>
      </c>
      <c r="P36" s="5">
        <f t="shared" si="4"/>
        <v>45538</v>
      </c>
      <c r="Q36" s="4">
        <v>45593</v>
      </c>
      <c r="R36" s="19">
        <f t="shared" si="5"/>
        <v>-55</v>
      </c>
      <c r="S36" s="5">
        <f t="shared" si="6"/>
        <v>45543</v>
      </c>
      <c r="T36" s="4">
        <v>45616</v>
      </c>
      <c r="U36" s="19">
        <f t="shared" si="7"/>
        <v>-73</v>
      </c>
      <c r="V36" s="5">
        <f t="shared" si="8"/>
        <v>45582</v>
      </c>
      <c r="W36" s="4">
        <v>45611</v>
      </c>
      <c r="X36" s="19">
        <f t="shared" si="9"/>
        <v>-29</v>
      </c>
      <c r="Y36" s="51">
        <f t="shared" si="10"/>
        <v>45607</v>
      </c>
      <c r="Z36" s="4">
        <v>45660</v>
      </c>
      <c r="AA36" s="49">
        <f t="shared" si="15"/>
        <v>-53</v>
      </c>
      <c r="AB36" s="51">
        <f t="shared" si="11"/>
        <v>45612</v>
      </c>
      <c r="AC36" s="49">
        <f t="shared" si="12"/>
        <v>-48</v>
      </c>
      <c r="AD36" s="43">
        <f t="shared" si="14"/>
        <v>45612</v>
      </c>
      <c r="AE36" s="4">
        <v>45660</v>
      </c>
      <c r="AF36" s="19">
        <f t="shared" si="13"/>
        <v>-48</v>
      </c>
      <c r="AG36" s="10"/>
      <c r="AH36" s="1"/>
      <c r="AI36" s="1"/>
      <c r="AJ36" s="1"/>
      <c r="AK36" s="1"/>
      <c r="AL36" s="1"/>
    </row>
    <row r="37" spans="1:38" ht="14.45">
      <c r="A37" s="156">
        <v>36</v>
      </c>
      <c r="B37" s="52">
        <v>45612</v>
      </c>
      <c r="C37" s="32" t="s">
        <v>104</v>
      </c>
      <c r="D37" s="10" t="s">
        <v>77</v>
      </c>
      <c r="E37" s="11">
        <v>4952.91</v>
      </c>
      <c r="F37" s="3" t="s">
        <v>105</v>
      </c>
      <c r="G37" s="10" t="s">
        <v>51</v>
      </c>
      <c r="H37" s="10" t="s">
        <v>40</v>
      </c>
      <c r="I37" s="10" t="s">
        <v>52</v>
      </c>
      <c r="J37" s="97">
        <f t="shared" si="0"/>
        <v>45512</v>
      </c>
      <c r="L37" s="19" t="str">
        <f t="shared" si="1"/>
        <v/>
      </c>
      <c r="M37" s="5">
        <f t="shared" si="2"/>
        <v>45523</v>
      </c>
      <c r="N37" s="4">
        <v>45593</v>
      </c>
      <c r="O37" s="19">
        <f t="shared" si="3"/>
        <v>-70</v>
      </c>
      <c r="P37" s="5">
        <f t="shared" si="4"/>
        <v>45538</v>
      </c>
      <c r="Q37" s="4">
        <v>45593</v>
      </c>
      <c r="R37" s="19">
        <f t="shared" si="5"/>
        <v>-55</v>
      </c>
      <c r="S37" s="5">
        <f t="shared" si="6"/>
        <v>45543</v>
      </c>
      <c r="T37" s="4">
        <v>45616</v>
      </c>
      <c r="U37" s="19">
        <f t="shared" si="7"/>
        <v>-73</v>
      </c>
      <c r="V37" s="5">
        <f t="shared" si="8"/>
        <v>45582</v>
      </c>
      <c r="W37" s="4">
        <v>45611</v>
      </c>
      <c r="X37" s="19">
        <f t="shared" si="9"/>
        <v>-29</v>
      </c>
      <c r="Y37" s="51">
        <f t="shared" si="10"/>
        <v>45607</v>
      </c>
      <c r="Z37" s="4">
        <v>45656</v>
      </c>
      <c r="AA37" s="49">
        <f t="shared" si="15"/>
        <v>-49</v>
      </c>
      <c r="AB37" s="51">
        <f t="shared" si="11"/>
        <v>45612</v>
      </c>
      <c r="AC37" s="49">
        <f t="shared" si="12"/>
        <v>-44</v>
      </c>
      <c r="AD37" s="43">
        <f t="shared" si="14"/>
        <v>45612</v>
      </c>
      <c r="AE37" s="4">
        <v>45656</v>
      </c>
      <c r="AF37" s="19">
        <f t="shared" si="13"/>
        <v>-44</v>
      </c>
      <c r="AG37" s="10"/>
      <c r="AH37" s="1"/>
      <c r="AI37" s="1"/>
      <c r="AJ37" s="1"/>
      <c r="AK37" s="1"/>
      <c r="AL37" s="1"/>
    </row>
    <row r="38" spans="1:38" ht="14.45">
      <c r="A38" s="156">
        <v>37</v>
      </c>
      <c r="B38" s="52">
        <v>45613</v>
      </c>
      <c r="C38" s="32" t="s">
        <v>106</v>
      </c>
      <c r="D38" s="10" t="s">
        <v>49</v>
      </c>
      <c r="E38" s="11">
        <v>2736.95</v>
      </c>
      <c r="F38" s="3" t="s">
        <v>107</v>
      </c>
      <c r="G38" s="10" t="s">
        <v>51</v>
      </c>
      <c r="H38" s="10" t="s">
        <v>40</v>
      </c>
      <c r="I38" s="10" t="s">
        <v>52</v>
      </c>
      <c r="J38" s="97">
        <f t="shared" si="0"/>
        <v>45513</v>
      </c>
      <c r="L38" s="19" t="str">
        <f t="shared" si="1"/>
        <v/>
      </c>
      <c r="M38" s="5">
        <f t="shared" si="2"/>
        <v>45524</v>
      </c>
      <c r="N38" s="4">
        <v>45593</v>
      </c>
      <c r="O38" s="19">
        <f t="shared" si="3"/>
        <v>-69</v>
      </c>
      <c r="P38" s="5">
        <f t="shared" si="4"/>
        <v>45539</v>
      </c>
      <c r="Q38" s="4">
        <v>45593</v>
      </c>
      <c r="R38" s="19">
        <f t="shared" si="5"/>
        <v>-54</v>
      </c>
      <c r="S38" s="5">
        <f t="shared" si="6"/>
        <v>45544</v>
      </c>
      <c r="T38" s="4">
        <v>45616</v>
      </c>
      <c r="U38" s="19">
        <f t="shared" si="7"/>
        <v>-72</v>
      </c>
      <c r="V38" s="5">
        <f t="shared" si="8"/>
        <v>45583</v>
      </c>
      <c r="W38" s="4">
        <v>45611</v>
      </c>
      <c r="X38" s="19">
        <f t="shared" si="9"/>
        <v>-28</v>
      </c>
      <c r="Y38" s="51">
        <f t="shared" si="10"/>
        <v>45608</v>
      </c>
      <c r="Z38" s="4">
        <v>45660</v>
      </c>
      <c r="AA38" s="49">
        <f t="shared" si="15"/>
        <v>-52</v>
      </c>
      <c r="AB38" s="51">
        <f t="shared" si="11"/>
        <v>45613</v>
      </c>
      <c r="AC38" s="49">
        <f t="shared" si="12"/>
        <v>-47</v>
      </c>
      <c r="AD38" s="43">
        <f t="shared" si="14"/>
        <v>45613</v>
      </c>
      <c r="AE38" s="4">
        <v>45660</v>
      </c>
      <c r="AF38" s="19">
        <f t="shared" si="13"/>
        <v>-47</v>
      </c>
      <c r="AG38" s="10"/>
      <c r="AH38" s="1"/>
      <c r="AI38" s="1"/>
      <c r="AJ38" s="1"/>
      <c r="AK38" s="1"/>
      <c r="AL38" s="1"/>
    </row>
    <row r="39" spans="1:38" ht="14.45">
      <c r="A39" s="156">
        <v>38</v>
      </c>
      <c r="B39" s="52">
        <v>45614</v>
      </c>
      <c r="D39" s="10" t="s">
        <v>108</v>
      </c>
      <c r="E39" s="11">
        <v>15717.59</v>
      </c>
      <c r="F39" s="3" t="s">
        <v>109</v>
      </c>
      <c r="G39" s="10" t="s">
        <v>110</v>
      </c>
      <c r="H39" s="10" t="s">
        <v>36</v>
      </c>
      <c r="I39" s="10" t="s">
        <v>93</v>
      </c>
      <c r="J39" s="97">
        <f t="shared" si="0"/>
        <v>45514</v>
      </c>
      <c r="L39" s="19" t="str">
        <f t="shared" si="1"/>
        <v/>
      </c>
      <c r="M39" s="5">
        <f t="shared" si="2"/>
        <v>45525</v>
      </c>
      <c r="O39" s="19" t="str">
        <f t="shared" si="3"/>
        <v/>
      </c>
      <c r="P39" s="5">
        <f t="shared" si="4"/>
        <v>45540</v>
      </c>
      <c r="R39" s="19" t="str">
        <f t="shared" si="5"/>
        <v/>
      </c>
      <c r="S39" s="5">
        <f t="shared" si="6"/>
        <v>45545</v>
      </c>
      <c r="T39" s="4">
        <v>45590</v>
      </c>
      <c r="U39" s="19">
        <f t="shared" si="7"/>
        <v>-45</v>
      </c>
      <c r="V39" s="5">
        <f t="shared" si="8"/>
        <v>45584</v>
      </c>
      <c r="W39" s="4">
        <v>45610</v>
      </c>
      <c r="X39" s="19">
        <f t="shared" si="9"/>
        <v>-26</v>
      </c>
      <c r="Y39" s="51">
        <f t="shared" si="10"/>
        <v>45609</v>
      </c>
      <c r="Z39" s="4">
        <v>45610</v>
      </c>
      <c r="AA39" s="49">
        <f t="shared" si="15"/>
        <v>-1</v>
      </c>
      <c r="AB39" s="51">
        <f t="shared" si="11"/>
        <v>45614</v>
      </c>
      <c r="AC39" s="49">
        <f t="shared" si="12"/>
        <v>4</v>
      </c>
      <c r="AD39" s="43">
        <f t="shared" si="14"/>
        <v>45614</v>
      </c>
      <c r="AE39" s="4">
        <v>45610</v>
      </c>
      <c r="AF39" s="19">
        <f t="shared" si="13"/>
        <v>4</v>
      </c>
      <c r="AG39" s="10"/>
      <c r="AH39" s="1"/>
      <c r="AI39" s="1"/>
      <c r="AJ39" s="1"/>
      <c r="AK39" s="1"/>
      <c r="AL39" s="1"/>
    </row>
    <row r="40" spans="1:38" ht="14.45">
      <c r="A40" s="156">
        <v>39</v>
      </c>
      <c r="B40" s="52">
        <v>45615</v>
      </c>
      <c r="D40" s="10" t="s">
        <v>111</v>
      </c>
      <c r="E40" s="11">
        <v>30141.7</v>
      </c>
      <c r="F40" s="3" t="s">
        <v>112</v>
      </c>
      <c r="G40" s="10" t="s">
        <v>35</v>
      </c>
      <c r="H40" s="10" t="s">
        <v>36</v>
      </c>
      <c r="I40" s="10" t="s">
        <v>41</v>
      </c>
      <c r="J40" s="97">
        <f t="shared" si="0"/>
        <v>45515</v>
      </c>
      <c r="K40" s="4">
        <v>45593</v>
      </c>
      <c r="L40" s="19">
        <f t="shared" si="1"/>
        <v>-78</v>
      </c>
      <c r="M40" s="5">
        <f t="shared" si="2"/>
        <v>45526</v>
      </c>
      <c r="N40" s="4">
        <v>45596</v>
      </c>
      <c r="O40" s="19">
        <f t="shared" si="3"/>
        <v>-70</v>
      </c>
      <c r="P40" s="5">
        <f t="shared" si="4"/>
        <v>45541</v>
      </c>
      <c r="Q40" s="4">
        <v>45600</v>
      </c>
      <c r="R40" s="19">
        <f t="shared" si="5"/>
        <v>-59</v>
      </c>
      <c r="S40" s="5">
        <f t="shared" si="6"/>
        <v>45546</v>
      </c>
      <c r="T40" s="4">
        <v>45600</v>
      </c>
      <c r="U40" s="19">
        <f t="shared" si="7"/>
        <v>-54</v>
      </c>
      <c r="V40" s="5">
        <f t="shared" si="8"/>
        <v>45585</v>
      </c>
      <c r="W40" s="4">
        <v>45600</v>
      </c>
      <c r="X40" s="19">
        <f t="shared" si="9"/>
        <v>-15</v>
      </c>
      <c r="Y40" s="51">
        <f t="shared" si="10"/>
        <v>45610</v>
      </c>
      <c r="Z40" s="4">
        <v>45611</v>
      </c>
      <c r="AA40" s="49">
        <f t="shared" si="15"/>
        <v>-1</v>
      </c>
      <c r="AB40" s="51">
        <f t="shared" si="11"/>
        <v>45615</v>
      </c>
      <c r="AC40" s="49">
        <f t="shared" si="12"/>
        <v>4</v>
      </c>
      <c r="AD40" s="43">
        <f t="shared" si="14"/>
        <v>45615</v>
      </c>
      <c r="AE40" s="4">
        <v>45611</v>
      </c>
      <c r="AF40" s="19">
        <f t="shared" si="13"/>
        <v>4</v>
      </c>
      <c r="AG40" s="10"/>
      <c r="AH40" s="1"/>
      <c r="AI40" s="1"/>
      <c r="AJ40" s="1"/>
      <c r="AK40" s="1"/>
      <c r="AL40" s="1"/>
    </row>
    <row r="41" spans="1:38" ht="14.45">
      <c r="A41" s="156">
        <v>40</v>
      </c>
      <c r="B41" s="52">
        <v>45616</v>
      </c>
      <c r="D41" s="10" t="s">
        <v>113</v>
      </c>
      <c r="E41" s="11">
        <v>37940.32</v>
      </c>
      <c r="F41" s="3" t="s">
        <v>114</v>
      </c>
      <c r="G41" s="10" t="s">
        <v>35</v>
      </c>
      <c r="H41" s="10" t="s">
        <v>40</v>
      </c>
      <c r="I41" s="10" t="s">
        <v>93</v>
      </c>
      <c r="J41" s="97">
        <f t="shared" si="0"/>
        <v>45516</v>
      </c>
      <c r="K41" s="4">
        <v>45576</v>
      </c>
      <c r="L41" s="19">
        <f t="shared" si="1"/>
        <v>-60</v>
      </c>
      <c r="M41" s="5">
        <f t="shared" si="2"/>
        <v>45527</v>
      </c>
      <c r="O41" s="19" t="str">
        <f t="shared" si="3"/>
        <v/>
      </c>
      <c r="P41" s="5">
        <f t="shared" si="4"/>
        <v>45542</v>
      </c>
      <c r="R41" s="19" t="str">
        <f t="shared" si="5"/>
        <v/>
      </c>
      <c r="S41" s="5">
        <f t="shared" si="6"/>
        <v>45547</v>
      </c>
      <c r="T41" s="4">
        <v>45576</v>
      </c>
      <c r="U41" s="19">
        <f t="shared" si="7"/>
        <v>-29</v>
      </c>
      <c r="V41" s="5">
        <f t="shared" si="8"/>
        <v>45586</v>
      </c>
      <c r="W41" s="4">
        <v>45515</v>
      </c>
      <c r="X41" s="19">
        <f t="shared" si="9"/>
        <v>71</v>
      </c>
      <c r="Y41" s="51">
        <f t="shared" si="10"/>
        <v>45611</v>
      </c>
      <c r="AA41" s="49" t="str">
        <f t="shared" si="15"/>
        <v/>
      </c>
      <c r="AB41" s="51">
        <f t="shared" si="11"/>
        <v>45616</v>
      </c>
      <c r="AC41" s="49" t="str">
        <f t="shared" si="12"/>
        <v/>
      </c>
      <c r="AD41" s="43">
        <f t="shared" si="14"/>
        <v>45616</v>
      </c>
      <c r="AF41" s="19" t="str">
        <f t="shared" si="13"/>
        <v/>
      </c>
      <c r="AG41" s="10"/>
      <c r="AH41" s="1"/>
      <c r="AI41" s="1"/>
      <c r="AJ41" s="1"/>
      <c r="AK41" s="1"/>
      <c r="AL41" s="1"/>
    </row>
    <row r="42" spans="1:38" ht="14.45">
      <c r="A42" s="156">
        <v>41</v>
      </c>
      <c r="B42" s="52">
        <v>45616</v>
      </c>
      <c r="D42" s="10" t="s">
        <v>115</v>
      </c>
      <c r="E42" s="11">
        <v>20577.689999999999</v>
      </c>
      <c r="F42" s="3" t="s">
        <v>116</v>
      </c>
      <c r="G42" s="10" t="s">
        <v>35</v>
      </c>
      <c r="H42" s="10" t="s">
        <v>40</v>
      </c>
      <c r="I42" s="10" t="s">
        <v>93</v>
      </c>
      <c r="J42" s="97">
        <f t="shared" si="0"/>
        <v>45516</v>
      </c>
      <c r="K42" s="4">
        <v>45576</v>
      </c>
      <c r="L42" s="19">
        <f t="shared" si="1"/>
        <v>-60</v>
      </c>
      <c r="M42" s="5">
        <f t="shared" si="2"/>
        <v>45527</v>
      </c>
      <c r="O42" s="19" t="str">
        <f t="shared" si="3"/>
        <v/>
      </c>
      <c r="P42" s="5">
        <f t="shared" si="4"/>
        <v>45542</v>
      </c>
      <c r="R42" s="19" t="str">
        <f t="shared" si="5"/>
        <v/>
      </c>
      <c r="S42" s="5">
        <f t="shared" si="6"/>
        <v>45547</v>
      </c>
      <c r="T42" s="4">
        <v>45576</v>
      </c>
      <c r="U42" s="19">
        <f t="shared" si="7"/>
        <v>-29</v>
      </c>
      <c r="V42" s="5">
        <f t="shared" si="8"/>
        <v>45586</v>
      </c>
      <c r="W42" s="4">
        <v>45607</v>
      </c>
      <c r="X42" s="19">
        <f t="shared" si="9"/>
        <v>-21</v>
      </c>
      <c r="Y42" s="51">
        <f t="shared" si="10"/>
        <v>45611</v>
      </c>
      <c r="Z42" s="4">
        <v>45624</v>
      </c>
      <c r="AA42" s="49">
        <f t="shared" si="15"/>
        <v>-13</v>
      </c>
      <c r="AB42" s="51">
        <f t="shared" si="11"/>
        <v>45616</v>
      </c>
      <c r="AC42" s="49">
        <f t="shared" si="12"/>
        <v>-8</v>
      </c>
      <c r="AD42" s="43">
        <f t="shared" si="14"/>
        <v>45616</v>
      </c>
      <c r="AE42" s="4">
        <v>45624</v>
      </c>
      <c r="AF42" s="19">
        <f t="shared" si="13"/>
        <v>-8</v>
      </c>
      <c r="AG42" s="10"/>
      <c r="AH42" s="1"/>
      <c r="AI42" s="1"/>
      <c r="AJ42" s="1"/>
      <c r="AK42" s="1"/>
      <c r="AL42" s="1"/>
    </row>
    <row r="43" spans="1:38" ht="14.45">
      <c r="A43" s="156">
        <v>42</v>
      </c>
      <c r="B43" s="52">
        <v>45616</v>
      </c>
      <c r="D43" s="10" t="s">
        <v>117</v>
      </c>
      <c r="E43" s="11">
        <v>82059.070000000007</v>
      </c>
      <c r="F43" s="3" t="s">
        <v>118</v>
      </c>
      <c r="G43" s="10" t="s">
        <v>92</v>
      </c>
      <c r="H43" s="10" t="s">
        <v>40</v>
      </c>
      <c r="I43" s="10" t="s">
        <v>93</v>
      </c>
      <c r="J43" s="97">
        <f t="shared" si="0"/>
        <v>45516</v>
      </c>
      <c r="L43" s="19" t="str">
        <f t="shared" si="1"/>
        <v/>
      </c>
      <c r="M43" s="5">
        <f t="shared" si="2"/>
        <v>45527</v>
      </c>
      <c r="O43" s="19" t="str">
        <f t="shared" si="3"/>
        <v/>
      </c>
      <c r="P43" s="5">
        <f t="shared" si="4"/>
        <v>45542</v>
      </c>
      <c r="R43" s="19" t="str">
        <f t="shared" si="5"/>
        <v/>
      </c>
      <c r="S43" s="5">
        <f t="shared" si="6"/>
        <v>45547</v>
      </c>
      <c r="T43" s="4">
        <v>45580</v>
      </c>
      <c r="U43" s="19">
        <f t="shared" si="7"/>
        <v>-33</v>
      </c>
      <c r="V43" s="5">
        <f t="shared" si="8"/>
        <v>45586</v>
      </c>
      <c r="W43" s="4">
        <v>45586</v>
      </c>
      <c r="X43" s="19">
        <f t="shared" si="9"/>
        <v>0</v>
      </c>
      <c r="Y43" s="51">
        <f t="shared" si="10"/>
        <v>45611</v>
      </c>
      <c r="Z43" s="4">
        <v>45625</v>
      </c>
      <c r="AA43" s="49">
        <f t="shared" si="15"/>
        <v>-14</v>
      </c>
      <c r="AB43" s="51">
        <f t="shared" si="11"/>
        <v>45616</v>
      </c>
      <c r="AC43" s="49">
        <f t="shared" si="12"/>
        <v>-9</v>
      </c>
      <c r="AD43" s="43">
        <f t="shared" si="14"/>
        <v>45616</v>
      </c>
      <c r="AE43" s="4">
        <v>45625</v>
      </c>
      <c r="AF43" s="19">
        <f t="shared" si="13"/>
        <v>-9</v>
      </c>
      <c r="AG43" s="10"/>
      <c r="AH43" s="1"/>
      <c r="AI43" s="1"/>
      <c r="AJ43" s="1"/>
      <c r="AK43" s="1"/>
      <c r="AL43" s="1"/>
    </row>
    <row r="44" spans="1:38" ht="14.45">
      <c r="A44" s="156">
        <v>43</v>
      </c>
      <c r="B44" s="52">
        <v>45616</v>
      </c>
      <c r="D44" s="10" t="s">
        <v>117</v>
      </c>
      <c r="E44" s="11">
        <v>1747.43</v>
      </c>
      <c r="F44" s="3" t="s">
        <v>119</v>
      </c>
      <c r="G44" s="10" t="s">
        <v>120</v>
      </c>
      <c r="H44" s="10" t="s">
        <v>40</v>
      </c>
      <c r="I44" s="10" t="s">
        <v>121</v>
      </c>
      <c r="J44" s="97">
        <f t="shared" si="0"/>
        <v>45516</v>
      </c>
      <c r="L44" s="19" t="str">
        <f t="shared" si="1"/>
        <v/>
      </c>
      <c r="M44" s="5">
        <f t="shared" si="2"/>
        <v>45527</v>
      </c>
      <c r="O44" s="19" t="str">
        <f t="shared" si="3"/>
        <v/>
      </c>
      <c r="P44" s="5">
        <f t="shared" si="4"/>
        <v>45542</v>
      </c>
      <c r="R44" s="19" t="str">
        <f t="shared" si="5"/>
        <v/>
      </c>
      <c r="S44" s="5">
        <f t="shared" si="6"/>
        <v>45547</v>
      </c>
      <c r="T44" s="4">
        <v>45580</v>
      </c>
      <c r="U44" s="19">
        <f t="shared" si="7"/>
        <v>-33</v>
      </c>
      <c r="V44" s="5">
        <f t="shared" si="8"/>
        <v>45586</v>
      </c>
      <c r="W44" s="4">
        <v>45586</v>
      </c>
      <c r="X44" s="19">
        <f t="shared" si="9"/>
        <v>0</v>
      </c>
      <c r="Y44" s="51">
        <f t="shared" si="10"/>
        <v>45611</v>
      </c>
      <c r="AA44" s="49" t="str">
        <f t="shared" si="15"/>
        <v/>
      </c>
      <c r="AB44" s="51">
        <f t="shared" si="11"/>
        <v>45616</v>
      </c>
      <c r="AC44" s="49" t="str">
        <f t="shared" si="12"/>
        <v/>
      </c>
      <c r="AD44" s="43">
        <f t="shared" si="14"/>
        <v>45616</v>
      </c>
      <c r="AF44" s="19" t="str">
        <f t="shared" si="13"/>
        <v/>
      </c>
      <c r="AG44" s="10"/>
      <c r="AH44" s="1"/>
      <c r="AI44" s="1"/>
      <c r="AJ44" s="1"/>
      <c r="AK44" s="1"/>
      <c r="AL44" s="1"/>
    </row>
    <row r="45" spans="1:38" ht="14.45">
      <c r="A45" s="156">
        <v>44</v>
      </c>
      <c r="B45" s="52">
        <v>45616</v>
      </c>
      <c r="D45" s="10" t="s">
        <v>122</v>
      </c>
      <c r="E45" s="11">
        <v>39728.57</v>
      </c>
      <c r="F45" s="3" t="s">
        <v>123</v>
      </c>
      <c r="G45" s="10" t="s">
        <v>120</v>
      </c>
      <c r="H45" s="10" t="s">
        <v>40</v>
      </c>
      <c r="I45" s="10" t="s">
        <v>52</v>
      </c>
      <c r="J45" s="97">
        <f t="shared" si="0"/>
        <v>45516</v>
      </c>
      <c r="L45" s="19" t="str">
        <f t="shared" si="1"/>
        <v/>
      </c>
      <c r="M45" s="5">
        <f t="shared" si="2"/>
        <v>45527</v>
      </c>
      <c r="O45" s="19" t="str">
        <f t="shared" si="3"/>
        <v/>
      </c>
      <c r="P45" s="5">
        <f t="shared" si="4"/>
        <v>45542</v>
      </c>
      <c r="Q45" s="4">
        <v>45576</v>
      </c>
      <c r="R45" s="19">
        <f t="shared" si="5"/>
        <v>-34</v>
      </c>
      <c r="S45" s="5">
        <f t="shared" si="6"/>
        <v>45547</v>
      </c>
      <c r="T45" s="4">
        <v>45576</v>
      </c>
      <c r="U45" s="19">
        <f t="shared" si="7"/>
        <v>-29</v>
      </c>
      <c r="V45" s="5">
        <f t="shared" si="8"/>
        <v>45586</v>
      </c>
      <c r="W45" s="4">
        <v>45579</v>
      </c>
      <c r="X45" s="19">
        <f t="shared" si="9"/>
        <v>7</v>
      </c>
      <c r="Y45" s="51">
        <f t="shared" si="10"/>
        <v>45611</v>
      </c>
      <c r="Z45" s="4">
        <v>45621</v>
      </c>
      <c r="AA45" s="49">
        <f t="shared" si="15"/>
        <v>-10</v>
      </c>
      <c r="AB45" s="51">
        <f t="shared" si="11"/>
        <v>45616</v>
      </c>
      <c r="AC45" s="49">
        <f t="shared" si="12"/>
        <v>-5</v>
      </c>
      <c r="AD45" s="43">
        <f t="shared" si="14"/>
        <v>45616</v>
      </c>
      <c r="AE45" s="4">
        <v>45621</v>
      </c>
      <c r="AF45" s="19">
        <f t="shared" si="13"/>
        <v>-5</v>
      </c>
      <c r="AG45" s="10"/>
      <c r="AH45" s="1"/>
      <c r="AI45" s="1"/>
      <c r="AJ45" s="1"/>
      <c r="AK45" s="1"/>
      <c r="AL45" s="1"/>
    </row>
    <row r="46" spans="1:38" ht="14.45">
      <c r="A46" s="156">
        <v>45</v>
      </c>
      <c r="B46" s="52">
        <v>45617</v>
      </c>
      <c r="D46" s="10" t="s">
        <v>38</v>
      </c>
      <c r="E46" s="11">
        <v>369.82</v>
      </c>
      <c r="F46" s="3" t="s">
        <v>124</v>
      </c>
      <c r="G46" s="10" t="s">
        <v>35</v>
      </c>
      <c r="H46" s="10" t="s">
        <v>40</v>
      </c>
      <c r="I46" s="10" t="s">
        <v>41</v>
      </c>
      <c r="J46" s="97">
        <f t="shared" si="0"/>
        <v>45517</v>
      </c>
      <c r="L46" s="19" t="str">
        <f t="shared" si="1"/>
        <v/>
      </c>
      <c r="M46" s="5">
        <f t="shared" si="2"/>
        <v>45528</v>
      </c>
      <c r="O46" s="19" t="str">
        <f t="shared" si="3"/>
        <v/>
      </c>
      <c r="P46" s="5">
        <f t="shared" si="4"/>
        <v>45543</v>
      </c>
      <c r="R46" s="19" t="str">
        <f t="shared" si="5"/>
        <v/>
      </c>
      <c r="S46" s="5">
        <f t="shared" si="6"/>
        <v>45548</v>
      </c>
      <c r="T46" s="4">
        <v>45595</v>
      </c>
      <c r="U46" s="19">
        <f t="shared" si="7"/>
        <v>-47</v>
      </c>
      <c r="V46" s="5">
        <f t="shared" si="8"/>
        <v>45587</v>
      </c>
      <c r="W46" s="4">
        <v>45610</v>
      </c>
      <c r="X46" s="19">
        <f t="shared" si="9"/>
        <v>-23</v>
      </c>
      <c r="Y46" s="51">
        <f t="shared" si="10"/>
        <v>45612</v>
      </c>
      <c r="Z46" s="4">
        <v>45610</v>
      </c>
      <c r="AA46" s="49">
        <f t="shared" si="15"/>
        <v>2</v>
      </c>
      <c r="AB46" s="51">
        <f t="shared" si="11"/>
        <v>45617</v>
      </c>
      <c r="AC46" s="49">
        <f t="shared" si="12"/>
        <v>7</v>
      </c>
      <c r="AD46" s="43">
        <f t="shared" si="14"/>
        <v>45617</v>
      </c>
      <c r="AE46" s="4">
        <v>45610</v>
      </c>
      <c r="AF46" s="19">
        <f t="shared" si="13"/>
        <v>7</v>
      </c>
      <c r="AG46" s="10"/>
      <c r="AH46" s="1"/>
      <c r="AI46" s="1"/>
      <c r="AJ46" s="1"/>
      <c r="AK46" s="1"/>
      <c r="AL46" s="1"/>
    </row>
    <row r="47" spans="1:38" ht="14.45">
      <c r="A47" s="156">
        <v>46</v>
      </c>
      <c r="B47" s="52">
        <v>45618</v>
      </c>
      <c r="D47" s="10" t="s">
        <v>90</v>
      </c>
      <c r="E47" s="11">
        <v>604.87</v>
      </c>
      <c r="F47" s="3" t="s">
        <v>125</v>
      </c>
      <c r="G47" s="10" t="s">
        <v>110</v>
      </c>
      <c r="H47" s="10" t="s">
        <v>40</v>
      </c>
      <c r="I47" s="10" t="s">
        <v>41</v>
      </c>
      <c r="J47" s="97">
        <f t="shared" si="0"/>
        <v>45518</v>
      </c>
      <c r="L47" s="19" t="str">
        <f t="shared" si="1"/>
        <v/>
      </c>
      <c r="M47" s="5">
        <f t="shared" si="2"/>
        <v>45529</v>
      </c>
      <c r="O47" s="19" t="str">
        <f t="shared" si="3"/>
        <v/>
      </c>
      <c r="P47" s="5">
        <f t="shared" si="4"/>
        <v>45544</v>
      </c>
      <c r="Q47" s="4">
        <v>45576</v>
      </c>
      <c r="R47" s="19">
        <f t="shared" si="5"/>
        <v>-32</v>
      </c>
      <c r="S47" s="5">
        <f t="shared" si="6"/>
        <v>45549</v>
      </c>
      <c r="T47" s="5"/>
      <c r="U47" s="19" t="str">
        <f t="shared" si="7"/>
        <v/>
      </c>
      <c r="V47" s="5">
        <f t="shared" si="8"/>
        <v>45588</v>
      </c>
      <c r="W47" s="4">
        <v>45618</v>
      </c>
      <c r="X47" s="19">
        <f t="shared" si="9"/>
        <v>-30</v>
      </c>
      <c r="Y47" s="51">
        <f t="shared" si="10"/>
        <v>45613</v>
      </c>
      <c r="AA47" s="49" t="str">
        <f t="shared" si="15"/>
        <v/>
      </c>
      <c r="AB47" s="51">
        <f t="shared" si="11"/>
        <v>45618</v>
      </c>
      <c r="AC47" s="49" t="str">
        <f t="shared" si="12"/>
        <v/>
      </c>
      <c r="AD47" s="43">
        <f t="shared" si="14"/>
        <v>45618</v>
      </c>
      <c r="AF47" s="19" t="str">
        <f t="shared" si="13"/>
        <v/>
      </c>
      <c r="AG47" s="10"/>
      <c r="AH47" s="1"/>
      <c r="AI47" s="1"/>
      <c r="AJ47" s="1"/>
      <c r="AK47" s="1"/>
      <c r="AL47" s="1"/>
    </row>
    <row r="48" spans="1:38" ht="14.45">
      <c r="A48" s="156">
        <v>47</v>
      </c>
      <c r="B48" s="52">
        <v>45618</v>
      </c>
      <c r="D48" s="10" t="s">
        <v>126</v>
      </c>
      <c r="E48" s="11">
        <v>8859.99</v>
      </c>
      <c r="F48" s="3" t="s">
        <v>127</v>
      </c>
      <c r="G48" s="10" t="s">
        <v>128</v>
      </c>
      <c r="H48" s="10" t="s">
        <v>36</v>
      </c>
      <c r="I48" s="10" t="s">
        <v>37</v>
      </c>
      <c r="J48" s="97">
        <f t="shared" si="0"/>
        <v>45518</v>
      </c>
      <c r="L48" s="19" t="str">
        <f t="shared" si="1"/>
        <v/>
      </c>
      <c r="M48" s="5">
        <f t="shared" si="2"/>
        <v>45529</v>
      </c>
      <c r="O48" s="19" t="str">
        <f t="shared" si="3"/>
        <v/>
      </c>
      <c r="P48" s="5">
        <f t="shared" si="4"/>
        <v>45544</v>
      </c>
      <c r="Q48" s="4">
        <v>45618</v>
      </c>
      <c r="R48" s="19">
        <f t="shared" si="5"/>
        <v>-74</v>
      </c>
      <c r="S48" s="5">
        <f t="shared" si="6"/>
        <v>45549</v>
      </c>
      <c r="U48" s="19" t="str">
        <f t="shared" si="7"/>
        <v/>
      </c>
      <c r="V48" s="5">
        <f t="shared" si="8"/>
        <v>45588</v>
      </c>
      <c r="W48" s="4">
        <v>45618</v>
      </c>
      <c r="X48" s="19">
        <f t="shared" si="9"/>
        <v>-30</v>
      </c>
      <c r="Y48" s="51">
        <f t="shared" si="10"/>
        <v>45613</v>
      </c>
      <c r="AA48" s="49" t="str">
        <f t="shared" si="15"/>
        <v/>
      </c>
      <c r="AB48" s="51">
        <f t="shared" si="11"/>
        <v>45618</v>
      </c>
      <c r="AC48" s="49" t="str">
        <f t="shared" si="12"/>
        <v/>
      </c>
      <c r="AD48" s="43">
        <f t="shared" si="14"/>
        <v>45618</v>
      </c>
      <c r="AF48" s="19" t="str">
        <f t="shared" si="13"/>
        <v/>
      </c>
      <c r="AG48" s="10"/>
      <c r="AH48" s="1"/>
      <c r="AI48" s="1"/>
      <c r="AJ48" s="1"/>
      <c r="AK48" s="1"/>
      <c r="AL48" s="1"/>
    </row>
    <row r="49" spans="1:38" ht="14.45">
      <c r="A49" s="156">
        <v>48</v>
      </c>
      <c r="B49" s="52">
        <v>45619</v>
      </c>
      <c r="D49" s="10" t="s">
        <v>38</v>
      </c>
      <c r="E49" s="11">
        <v>167.4</v>
      </c>
      <c r="F49" s="3" t="s">
        <v>129</v>
      </c>
      <c r="G49" s="10" t="s">
        <v>35</v>
      </c>
      <c r="H49" s="10" t="s">
        <v>40</v>
      </c>
      <c r="I49" s="10" t="s">
        <v>41</v>
      </c>
      <c r="J49" s="97">
        <f t="shared" si="0"/>
        <v>45519</v>
      </c>
      <c r="L49" s="19" t="str">
        <f t="shared" si="1"/>
        <v/>
      </c>
      <c r="M49" s="5">
        <f t="shared" si="2"/>
        <v>45530</v>
      </c>
      <c r="O49" s="19" t="str">
        <f t="shared" si="3"/>
        <v/>
      </c>
      <c r="P49" s="5">
        <f t="shared" si="4"/>
        <v>45545</v>
      </c>
      <c r="R49" s="19" t="str">
        <f t="shared" si="5"/>
        <v/>
      </c>
      <c r="S49" s="5">
        <f t="shared" si="6"/>
        <v>45550</v>
      </c>
      <c r="T49" s="4">
        <v>45595</v>
      </c>
      <c r="U49" s="19">
        <f t="shared" si="7"/>
        <v>-45</v>
      </c>
      <c r="V49" s="5">
        <f t="shared" si="8"/>
        <v>45589</v>
      </c>
      <c r="W49" s="4">
        <v>45610</v>
      </c>
      <c r="X49" s="19">
        <f t="shared" si="9"/>
        <v>-21</v>
      </c>
      <c r="Y49" s="51">
        <f t="shared" si="10"/>
        <v>45614</v>
      </c>
      <c r="Z49" s="4">
        <v>45610</v>
      </c>
      <c r="AA49" s="49">
        <f t="shared" si="15"/>
        <v>4</v>
      </c>
      <c r="AB49" s="51">
        <f t="shared" si="11"/>
        <v>45619</v>
      </c>
      <c r="AC49" s="49">
        <f t="shared" si="12"/>
        <v>9</v>
      </c>
      <c r="AD49" s="43">
        <f t="shared" si="14"/>
        <v>45619</v>
      </c>
      <c r="AE49" s="4">
        <v>45610</v>
      </c>
      <c r="AF49" s="19">
        <f t="shared" si="13"/>
        <v>9</v>
      </c>
      <c r="AG49" s="10"/>
      <c r="AH49" s="1"/>
      <c r="AI49" s="1"/>
      <c r="AJ49" s="1"/>
      <c r="AK49" s="1"/>
      <c r="AL49" s="1"/>
    </row>
    <row r="50" spans="1:38" ht="14.45">
      <c r="A50" s="156">
        <v>49</v>
      </c>
      <c r="B50" s="52">
        <v>45619</v>
      </c>
      <c r="D50" s="10" t="s">
        <v>130</v>
      </c>
      <c r="E50" s="11">
        <v>16530.91</v>
      </c>
      <c r="F50" s="3" t="s">
        <v>131</v>
      </c>
      <c r="G50" s="10" t="s">
        <v>35</v>
      </c>
      <c r="H50" s="10" t="s">
        <v>40</v>
      </c>
      <c r="I50" s="10" t="s">
        <v>37</v>
      </c>
      <c r="J50" s="97">
        <f t="shared" si="0"/>
        <v>45519</v>
      </c>
      <c r="K50" s="4">
        <v>45573</v>
      </c>
      <c r="L50" s="19">
        <f t="shared" si="1"/>
        <v>-54</v>
      </c>
      <c r="M50" s="5">
        <f t="shared" si="2"/>
        <v>45530</v>
      </c>
      <c r="O50" s="19" t="str">
        <f t="shared" si="3"/>
        <v/>
      </c>
      <c r="P50" s="5">
        <f t="shared" si="4"/>
        <v>45545</v>
      </c>
      <c r="R50" s="19" t="str">
        <f t="shared" si="5"/>
        <v/>
      </c>
      <c r="S50" s="5">
        <f t="shared" si="6"/>
        <v>45550</v>
      </c>
      <c r="T50" s="4">
        <v>45573</v>
      </c>
      <c r="U50" s="19">
        <f t="shared" si="7"/>
        <v>-23</v>
      </c>
      <c r="V50" s="5">
        <f t="shared" si="8"/>
        <v>45589</v>
      </c>
      <c r="W50" s="4">
        <v>45595</v>
      </c>
      <c r="X50" s="19">
        <f t="shared" si="9"/>
        <v>-6</v>
      </c>
      <c r="Y50" s="51">
        <f t="shared" si="10"/>
        <v>45614</v>
      </c>
      <c r="Z50" s="4">
        <v>45625</v>
      </c>
      <c r="AA50" s="49">
        <f t="shared" si="15"/>
        <v>-11</v>
      </c>
      <c r="AB50" s="51">
        <f t="shared" si="11"/>
        <v>45619</v>
      </c>
      <c r="AC50" s="49">
        <f t="shared" si="12"/>
        <v>-6</v>
      </c>
      <c r="AD50" s="43">
        <f t="shared" si="14"/>
        <v>45619</v>
      </c>
      <c r="AE50" s="4">
        <v>45625</v>
      </c>
      <c r="AF50" s="19">
        <f t="shared" si="13"/>
        <v>-6</v>
      </c>
      <c r="AG50" s="10"/>
      <c r="AH50" s="1"/>
      <c r="AI50" s="1"/>
      <c r="AJ50" s="1"/>
      <c r="AK50" s="1"/>
      <c r="AL50" s="1"/>
    </row>
    <row r="51" spans="1:38" ht="14.45">
      <c r="A51" s="156">
        <v>50</v>
      </c>
      <c r="B51" s="52">
        <v>45619</v>
      </c>
      <c r="C51" s="78">
        <v>644087161</v>
      </c>
      <c r="D51" s="10" t="s">
        <v>132</v>
      </c>
      <c r="E51" s="11">
        <v>2083.5300000000002</v>
      </c>
      <c r="F51" s="3" t="s">
        <v>133</v>
      </c>
      <c r="G51" s="10" t="s">
        <v>51</v>
      </c>
      <c r="H51" s="10" t="s">
        <v>40</v>
      </c>
      <c r="I51" s="10" t="s">
        <v>93</v>
      </c>
      <c r="J51" s="97">
        <f t="shared" si="0"/>
        <v>45519</v>
      </c>
      <c r="L51" s="19" t="str">
        <f t="shared" si="1"/>
        <v/>
      </c>
      <c r="M51" s="5">
        <f t="shared" si="2"/>
        <v>45530</v>
      </c>
      <c r="O51" s="19" t="str">
        <f t="shared" si="3"/>
        <v/>
      </c>
      <c r="P51" s="5">
        <f t="shared" si="4"/>
        <v>45545</v>
      </c>
      <c r="R51" s="19" t="str">
        <f t="shared" si="5"/>
        <v/>
      </c>
      <c r="S51" s="5">
        <f t="shared" si="6"/>
        <v>45550</v>
      </c>
      <c r="T51" s="4">
        <v>45574</v>
      </c>
      <c r="U51" s="19">
        <f t="shared" si="7"/>
        <v>-24</v>
      </c>
      <c r="V51" s="5">
        <f t="shared" si="8"/>
        <v>45589</v>
      </c>
      <c r="W51" s="4">
        <v>45590</v>
      </c>
      <c r="X51" s="19">
        <f t="shared" si="9"/>
        <v>-1</v>
      </c>
      <c r="Y51" s="51">
        <f t="shared" si="10"/>
        <v>45614</v>
      </c>
      <c r="Z51" s="4">
        <v>45639</v>
      </c>
      <c r="AA51" s="49">
        <f t="shared" si="15"/>
        <v>-25</v>
      </c>
      <c r="AB51" s="51">
        <f t="shared" si="11"/>
        <v>45619</v>
      </c>
      <c r="AC51" s="49">
        <f t="shared" si="12"/>
        <v>-20</v>
      </c>
      <c r="AD51" s="43">
        <f t="shared" si="14"/>
        <v>45619</v>
      </c>
      <c r="AE51" s="4">
        <v>45639</v>
      </c>
      <c r="AF51" s="19">
        <f t="shared" si="13"/>
        <v>-20</v>
      </c>
      <c r="AG51" s="10"/>
      <c r="AH51" s="1"/>
      <c r="AI51" s="1"/>
      <c r="AJ51" s="1"/>
      <c r="AK51" s="1"/>
      <c r="AL51" s="1"/>
    </row>
    <row r="52" spans="1:38" ht="14.45">
      <c r="A52" s="156">
        <v>51</v>
      </c>
      <c r="B52" s="52">
        <v>45620</v>
      </c>
      <c r="D52" s="10" t="s">
        <v>38</v>
      </c>
      <c r="E52" s="11">
        <v>495.68</v>
      </c>
      <c r="F52" s="3" t="s">
        <v>134</v>
      </c>
      <c r="G52" s="10" t="s">
        <v>35</v>
      </c>
      <c r="H52" s="10" t="s">
        <v>40</v>
      </c>
      <c r="I52" s="10" t="s">
        <v>41</v>
      </c>
      <c r="J52" s="97">
        <f t="shared" si="0"/>
        <v>45520</v>
      </c>
      <c r="L52" s="19" t="str">
        <f>IF(OR(J52="", K52=""), "", J52-K52)</f>
        <v/>
      </c>
      <c r="M52" s="5">
        <f t="shared" si="2"/>
        <v>45531</v>
      </c>
      <c r="O52" s="19" t="str">
        <f t="shared" si="3"/>
        <v/>
      </c>
      <c r="P52" s="5">
        <f t="shared" si="4"/>
        <v>45546</v>
      </c>
      <c r="R52" s="19" t="str">
        <f t="shared" si="5"/>
        <v/>
      </c>
      <c r="S52" s="5">
        <f t="shared" si="6"/>
        <v>45551</v>
      </c>
      <c r="T52" s="4">
        <v>45595</v>
      </c>
      <c r="U52" s="19">
        <f t="shared" si="7"/>
        <v>-44</v>
      </c>
      <c r="V52" s="5">
        <f t="shared" si="8"/>
        <v>45590</v>
      </c>
      <c r="W52" s="4">
        <v>45621</v>
      </c>
      <c r="X52" s="19">
        <f t="shared" si="9"/>
        <v>-31</v>
      </c>
      <c r="Y52" s="51">
        <f t="shared" si="10"/>
        <v>45615</v>
      </c>
      <c r="Z52" s="4">
        <v>45621</v>
      </c>
      <c r="AA52" s="49">
        <f t="shared" si="15"/>
        <v>-6</v>
      </c>
      <c r="AB52" s="51">
        <f t="shared" si="11"/>
        <v>45620</v>
      </c>
      <c r="AC52" s="49">
        <f t="shared" si="12"/>
        <v>-1</v>
      </c>
      <c r="AD52" s="43">
        <f t="shared" si="14"/>
        <v>45620</v>
      </c>
      <c r="AE52" s="4">
        <v>45621</v>
      </c>
      <c r="AF52" s="19">
        <f t="shared" si="13"/>
        <v>-1</v>
      </c>
      <c r="AG52" s="10"/>
      <c r="AH52" s="1"/>
      <c r="AI52" s="1"/>
      <c r="AJ52" s="1"/>
      <c r="AK52" s="1"/>
      <c r="AL52" s="1"/>
    </row>
    <row r="53" spans="1:38" ht="14.45">
      <c r="A53" s="156">
        <v>52</v>
      </c>
      <c r="B53" s="52">
        <v>45620</v>
      </c>
      <c r="D53" s="10" t="s">
        <v>38</v>
      </c>
      <c r="E53" s="11">
        <v>636.97</v>
      </c>
      <c r="F53" s="3" t="s">
        <v>135</v>
      </c>
      <c r="G53" s="10" t="s">
        <v>35</v>
      </c>
      <c r="H53" s="10" t="s">
        <v>40</v>
      </c>
      <c r="I53" s="10" t="s">
        <v>41</v>
      </c>
      <c r="J53" s="97">
        <f t="shared" si="0"/>
        <v>45520</v>
      </c>
      <c r="L53" s="19" t="str">
        <f t="shared" si="1"/>
        <v/>
      </c>
      <c r="M53" s="5">
        <f t="shared" si="2"/>
        <v>45531</v>
      </c>
      <c r="O53" s="19" t="str">
        <f t="shared" si="3"/>
        <v/>
      </c>
      <c r="P53" s="5">
        <f t="shared" si="4"/>
        <v>45546</v>
      </c>
      <c r="R53" s="19" t="str">
        <f t="shared" si="5"/>
        <v/>
      </c>
      <c r="S53" s="5">
        <f t="shared" si="6"/>
        <v>45551</v>
      </c>
      <c r="T53" s="4">
        <v>45595</v>
      </c>
      <c r="U53" s="19">
        <f t="shared" si="7"/>
        <v>-44</v>
      </c>
      <c r="V53" s="5">
        <f t="shared" si="8"/>
        <v>45590</v>
      </c>
      <c r="W53" s="4">
        <v>45621</v>
      </c>
      <c r="X53" s="19">
        <f t="shared" si="9"/>
        <v>-31</v>
      </c>
      <c r="Y53" s="51">
        <f t="shared" si="10"/>
        <v>45615</v>
      </c>
      <c r="Z53" s="4">
        <v>45621</v>
      </c>
      <c r="AA53" s="49">
        <f t="shared" si="15"/>
        <v>-6</v>
      </c>
      <c r="AB53" s="51">
        <f t="shared" si="11"/>
        <v>45620</v>
      </c>
      <c r="AC53" s="49">
        <f t="shared" si="12"/>
        <v>-1</v>
      </c>
      <c r="AD53" s="43">
        <f t="shared" si="14"/>
        <v>45620</v>
      </c>
      <c r="AE53" s="4">
        <v>45621</v>
      </c>
      <c r="AF53" s="19">
        <f t="shared" si="13"/>
        <v>-1</v>
      </c>
      <c r="AG53" s="10"/>
      <c r="AH53" s="1"/>
      <c r="AI53" s="1"/>
      <c r="AJ53" s="1"/>
      <c r="AK53" s="1"/>
      <c r="AL53" s="1"/>
    </row>
    <row r="54" spans="1:38" ht="14.45">
      <c r="A54" s="156">
        <v>53</v>
      </c>
      <c r="B54" s="52">
        <v>45620</v>
      </c>
      <c r="C54" s="32" t="s">
        <v>136</v>
      </c>
      <c r="D54" s="10" t="s">
        <v>49</v>
      </c>
      <c r="E54" s="11">
        <v>2375.12</v>
      </c>
      <c r="F54" s="3" t="s">
        <v>137</v>
      </c>
      <c r="G54" s="10" t="s">
        <v>51</v>
      </c>
      <c r="H54" s="10" t="s">
        <v>40</v>
      </c>
      <c r="I54" s="10" t="s">
        <v>52</v>
      </c>
      <c r="J54" s="97">
        <f t="shared" si="0"/>
        <v>45520</v>
      </c>
      <c r="L54" s="19" t="str">
        <f t="shared" si="1"/>
        <v/>
      </c>
      <c r="M54" s="5">
        <f t="shared" si="2"/>
        <v>45531</v>
      </c>
      <c r="N54" s="4">
        <v>45593</v>
      </c>
      <c r="O54" s="19">
        <f t="shared" si="3"/>
        <v>-62</v>
      </c>
      <c r="P54" s="5">
        <f t="shared" si="4"/>
        <v>45546</v>
      </c>
      <c r="Q54" s="4">
        <v>45593</v>
      </c>
      <c r="R54" s="19">
        <f t="shared" si="5"/>
        <v>-47</v>
      </c>
      <c r="S54" s="5">
        <f t="shared" si="6"/>
        <v>45551</v>
      </c>
      <c r="T54" s="4">
        <v>45616</v>
      </c>
      <c r="U54" s="19">
        <f t="shared" si="7"/>
        <v>-65</v>
      </c>
      <c r="V54" s="5">
        <f t="shared" si="8"/>
        <v>45590</v>
      </c>
      <c r="W54" s="4">
        <v>45611</v>
      </c>
      <c r="X54" s="19">
        <f t="shared" si="9"/>
        <v>-21</v>
      </c>
      <c r="Y54" s="51">
        <f t="shared" si="10"/>
        <v>45615</v>
      </c>
      <c r="Z54" s="4">
        <v>45621</v>
      </c>
      <c r="AA54" s="49">
        <f t="shared" si="15"/>
        <v>-6</v>
      </c>
      <c r="AB54" s="51">
        <f t="shared" si="11"/>
        <v>45620</v>
      </c>
      <c r="AC54" s="49">
        <f t="shared" si="12"/>
        <v>-1</v>
      </c>
      <c r="AD54" s="43">
        <f t="shared" si="14"/>
        <v>45620</v>
      </c>
      <c r="AE54" s="4">
        <v>45621</v>
      </c>
      <c r="AF54" s="19">
        <f t="shared" si="13"/>
        <v>-1</v>
      </c>
      <c r="AG54" s="10"/>
      <c r="AH54" s="1"/>
      <c r="AI54" s="1"/>
      <c r="AJ54" s="1"/>
      <c r="AK54" s="1"/>
      <c r="AL54" s="1"/>
    </row>
    <row r="55" spans="1:38" ht="14.45">
      <c r="A55" s="156">
        <v>54</v>
      </c>
      <c r="B55" s="52">
        <v>45620</v>
      </c>
      <c r="C55" s="32" t="s">
        <v>138</v>
      </c>
      <c r="D55" s="10" t="s">
        <v>77</v>
      </c>
      <c r="E55" s="11">
        <v>4963.3</v>
      </c>
      <c r="F55" s="3" t="s">
        <v>139</v>
      </c>
      <c r="G55" s="10" t="s">
        <v>51</v>
      </c>
      <c r="H55" s="10" t="s">
        <v>40</v>
      </c>
      <c r="I55" s="10" t="s">
        <v>52</v>
      </c>
      <c r="J55" s="97">
        <f t="shared" si="0"/>
        <v>45520</v>
      </c>
      <c r="L55" s="19" t="str">
        <f t="shared" si="1"/>
        <v/>
      </c>
      <c r="M55" s="5">
        <f t="shared" si="2"/>
        <v>45531</v>
      </c>
      <c r="N55" s="4">
        <v>45593</v>
      </c>
      <c r="O55" s="19">
        <f t="shared" si="3"/>
        <v>-62</v>
      </c>
      <c r="P55" s="5">
        <f t="shared" si="4"/>
        <v>45546</v>
      </c>
      <c r="Q55" s="4">
        <v>45593</v>
      </c>
      <c r="R55" s="19">
        <f t="shared" si="5"/>
        <v>-47</v>
      </c>
      <c r="S55" s="5">
        <f t="shared" si="6"/>
        <v>45551</v>
      </c>
      <c r="T55" s="4">
        <v>45616</v>
      </c>
      <c r="U55" s="19">
        <f t="shared" si="7"/>
        <v>-65</v>
      </c>
      <c r="V55" s="5">
        <f t="shared" si="8"/>
        <v>45590</v>
      </c>
      <c r="W55" s="4">
        <v>45611</v>
      </c>
      <c r="X55" s="19">
        <f t="shared" si="9"/>
        <v>-21</v>
      </c>
      <c r="Y55" s="51">
        <f t="shared" si="10"/>
        <v>45615</v>
      </c>
      <c r="Z55" s="4">
        <v>45656</v>
      </c>
      <c r="AA55" s="49">
        <f t="shared" si="15"/>
        <v>-41</v>
      </c>
      <c r="AB55" s="51">
        <f t="shared" si="11"/>
        <v>45620</v>
      </c>
      <c r="AC55" s="49">
        <f t="shared" si="12"/>
        <v>-36</v>
      </c>
      <c r="AD55" s="43">
        <f t="shared" si="14"/>
        <v>45620</v>
      </c>
      <c r="AE55" s="4">
        <v>45656</v>
      </c>
      <c r="AF55" s="19">
        <f t="shared" si="13"/>
        <v>-36</v>
      </c>
      <c r="AG55" s="10"/>
      <c r="AH55" s="1"/>
      <c r="AI55" s="1"/>
      <c r="AJ55" s="1"/>
      <c r="AK55" s="1"/>
      <c r="AL55" s="1"/>
    </row>
    <row r="56" spans="1:38" ht="14.45">
      <c r="A56" s="156">
        <v>55</v>
      </c>
      <c r="B56" s="52">
        <v>45620</v>
      </c>
      <c r="C56" s="79" t="s">
        <v>140</v>
      </c>
      <c r="D56" s="36" t="s">
        <v>141</v>
      </c>
      <c r="E56" s="11">
        <v>44461.760000000002</v>
      </c>
      <c r="F56" s="3" t="s">
        <v>142</v>
      </c>
      <c r="G56" s="36" t="s">
        <v>120</v>
      </c>
      <c r="H56" s="10" t="s">
        <v>40</v>
      </c>
      <c r="I56" s="10" t="s">
        <v>52</v>
      </c>
      <c r="J56" s="97">
        <f t="shared" si="0"/>
        <v>45520</v>
      </c>
      <c r="L56" s="19" t="str">
        <f t="shared" si="1"/>
        <v/>
      </c>
      <c r="M56" s="5">
        <f t="shared" si="2"/>
        <v>45531</v>
      </c>
      <c r="N56" s="4">
        <v>45559</v>
      </c>
      <c r="O56" s="19">
        <f t="shared" si="3"/>
        <v>-28</v>
      </c>
      <c r="P56" s="5">
        <f t="shared" si="4"/>
        <v>45546</v>
      </c>
      <c r="Q56" s="4">
        <v>45559</v>
      </c>
      <c r="R56" s="19">
        <f t="shared" si="5"/>
        <v>-13</v>
      </c>
      <c r="S56" s="5">
        <f t="shared" si="6"/>
        <v>45551</v>
      </c>
      <c r="T56" s="4">
        <v>45608</v>
      </c>
      <c r="U56" s="19">
        <f t="shared" si="7"/>
        <v>-57</v>
      </c>
      <c r="V56" s="5">
        <f t="shared" si="8"/>
        <v>45590</v>
      </c>
      <c r="W56" s="4">
        <v>45611</v>
      </c>
      <c r="X56" s="19">
        <f t="shared" si="9"/>
        <v>-21</v>
      </c>
      <c r="Y56" s="51">
        <f t="shared" si="10"/>
        <v>45615</v>
      </c>
      <c r="Z56" s="4">
        <v>45621</v>
      </c>
      <c r="AA56" s="49">
        <f t="shared" si="15"/>
        <v>-6</v>
      </c>
      <c r="AB56" s="51">
        <f t="shared" si="11"/>
        <v>45620</v>
      </c>
      <c r="AC56" s="49">
        <f t="shared" si="12"/>
        <v>-1</v>
      </c>
      <c r="AD56" s="43">
        <f t="shared" si="14"/>
        <v>45620</v>
      </c>
      <c r="AE56" s="4">
        <v>45621</v>
      </c>
      <c r="AF56" s="19">
        <f t="shared" si="13"/>
        <v>-1</v>
      </c>
      <c r="AG56" s="10"/>
      <c r="AH56" s="1"/>
      <c r="AI56" s="1"/>
      <c r="AJ56" s="1"/>
      <c r="AK56" s="1"/>
      <c r="AL56" s="1"/>
    </row>
    <row r="57" spans="1:38" ht="14.45">
      <c r="A57" s="156">
        <v>56</v>
      </c>
      <c r="B57" s="52">
        <v>45621</v>
      </c>
      <c r="C57" s="32" t="s">
        <v>143</v>
      </c>
      <c r="D57" s="10" t="s">
        <v>77</v>
      </c>
      <c r="E57" s="11">
        <v>15098.82</v>
      </c>
      <c r="F57" s="3" t="s">
        <v>144</v>
      </c>
      <c r="G57" s="10" t="s">
        <v>51</v>
      </c>
      <c r="H57" s="10" t="s">
        <v>40</v>
      </c>
      <c r="I57" s="10" t="s">
        <v>52</v>
      </c>
      <c r="J57" s="97">
        <f t="shared" si="0"/>
        <v>45521</v>
      </c>
      <c r="L57" s="19" t="str">
        <f t="shared" si="1"/>
        <v/>
      </c>
      <c r="M57" s="5">
        <f t="shared" si="2"/>
        <v>45532</v>
      </c>
      <c r="O57" s="19" t="str">
        <f t="shared" si="3"/>
        <v/>
      </c>
      <c r="P57" s="5">
        <f t="shared" si="4"/>
        <v>45547</v>
      </c>
      <c r="R57" s="19" t="str">
        <f t="shared" si="5"/>
        <v/>
      </c>
      <c r="S57" s="5">
        <f t="shared" si="6"/>
        <v>45552</v>
      </c>
      <c r="U57" s="19" t="str">
        <f t="shared" si="7"/>
        <v/>
      </c>
      <c r="V57" s="5">
        <f t="shared" si="8"/>
        <v>45591</v>
      </c>
      <c r="X57" s="19" t="str">
        <f t="shared" si="9"/>
        <v/>
      </c>
      <c r="Y57" s="51">
        <f t="shared" si="10"/>
        <v>45616</v>
      </c>
      <c r="Z57" s="4">
        <v>45621</v>
      </c>
      <c r="AA57" s="49">
        <f t="shared" si="15"/>
        <v>-5</v>
      </c>
      <c r="AB57" s="51">
        <f t="shared" si="11"/>
        <v>45621</v>
      </c>
      <c r="AC57" s="49">
        <f t="shared" si="12"/>
        <v>0</v>
      </c>
      <c r="AD57" s="43">
        <f t="shared" si="14"/>
        <v>45621</v>
      </c>
      <c r="AE57" s="4">
        <v>45621</v>
      </c>
      <c r="AF57" s="19">
        <f t="shared" si="13"/>
        <v>0</v>
      </c>
      <c r="AG57" s="10"/>
      <c r="AH57" s="1"/>
      <c r="AI57" s="1"/>
      <c r="AJ57" s="1"/>
      <c r="AK57" s="1"/>
      <c r="AL57" s="1"/>
    </row>
    <row r="58" spans="1:38" ht="14.45">
      <c r="A58" s="156">
        <v>57</v>
      </c>
      <c r="B58" s="52">
        <v>45621</v>
      </c>
      <c r="D58" s="10" t="s">
        <v>145</v>
      </c>
      <c r="E58" s="11">
        <v>45541.48</v>
      </c>
      <c r="F58" s="3" t="s">
        <v>146</v>
      </c>
      <c r="G58" s="10" t="s">
        <v>35</v>
      </c>
      <c r="H58" s="10" t="s">
        <v>40</v>
      </c>
      <c r="I58" s="10" t="s">
        <v>93</v>
      </c>
      <c r="J58" s="97">
        <f t="shared" si="0"/>
        <v>45521</v>
      </c>
      <c r="K58" s="4">
        <v>45576</v>
      </c>
      <c r="L58" s="19">
        <f t="shared" si="1"/>
        <v>-55</v>
      </c>
      <c r="M58" s="5">
        <f t="shared" si="2"/>
        <v>45532</v>
      </c>
      <c r="O58" s="19" t="str">
        <f t="shared" si="3"/>
        <v/>
      </c>
      <c r="P58" s="5">
        <f t="shared" si="4"/>
        <v>45547</v>
      </c>
      <c r="R58" s="19" t="str">
        <f t="shared" si="5"/>
        <v/>
      </c>
      <c r="S58" s="5">
        <f t="shared" si="6"/>
        <v>45552</v>
      </c>
      <c r="T58" s="4">
        <v>45576</v>
      </c>
      <c r="U58" s="19">
        <f t="shared" si="7"/>
        <v>-24</v>
      </c>
      <c r="V58" s="5">
        <f t="shared" si="8"/>
        <v>45591</v>
      </c>
      <c r="W58" s="4">
        <v>45611</v>
      </c>
      <c r="X58" s="19">
        <f t="shared" si="9"/>
        <v>-20</v>
      </c>
      <c r="Y58" s="51">
        <f t="shared" si="10"/>
        <v>45616</v>
      </c>
      <c r="Z58" s="4">
        <v>45621</v>
      </c>
      <c r="AA58" s="49">
        <f t="shared" si="15"/>
        <v>-5</v>
      </c>
      <c r="AB58" s="51">
        <f t="shared" si="11"/>
        <v>45621</v>
      </c>
      <c r="AC58" s="49">
        <f t="shared" si="12"/>
        <v>0</v>
      </c>
      <c r="AD58" s="43">
        <f t="shared" si="14"/>
        <v>45621</v>
      </c>
      <c r="AE58" s="4">
        <v>45621</v>
      </c>
      <c r="AF58" s="19">
        <f t="shared" si="13"/>
        <v>0</v>
      </c>
      <c r="AG58" s="10"/>
      <c r="AH58" s="1"/>
      <c r="AI58" s="1"/>
      <c r="AJ58" s="1"/>
      <c r="AK58" s="1"/>
      <c r="AL58" s="1"/>
    </row>
    <row r="59" spans="1:38" ht="14.45">
      <c r="A59" s="156">
        <v>58</v>
      </c>
      <c r="B59" s="52">
        <v>45622</v>
      </c>
      <c r="D59" s="10" t="s">
        <v>38</v>
      </c>
      <c r="E59" s="11">
        <v>215.08</v>
      </c>
      <c r="F59" s="3" t="s">
        <v>147</v>
      </c>
      <c r="G59" s="10" t="s">
        <v>35</v>
      </c>
      <c r="H59" s="10" t="s">
        <v>40</v>
      </c>
      <c r="I59" s="10" t="s">
        <v>41</v>
      </c>
      <c r="J59" s="97">
        <f t="shared" si="0"/>
        <v>45522</v>
      </c>
      <c r="L59" s="19" t="str">
        <f t="shared" si="1"/>
        <v/>
      </c>
      <c r="M59" s="5">
        <f t="shared" si="2"/>
        <v>45533</v>
      </c>
      <c r="O59" s="19" t="str">
        <f t="shared" si="3"/>
        <v/>
      </c>
      <c r="P59" s="5">
        <f t="shared" si="4"/>
        <v>45548</v>
      </c>
      <c r="R59" s="19" t="str">
        <f t="shared" si="5"/>
        <v/>
      </c>
      <c r="S59" s="5">
        <f t="shared" si="6"/>
        <v>45553</v>
      </c>
      <c r="T59" s="4">
        <v>45595</v>
      </c>
      <c r="U59" s="19">
        <f t="shared" si="7"/>
        <v>-42</v>
      </c>
      <c r="V59" s="5">
        <f t="shared" si="8"/>
        <v>45592</v>
      </c>
      <c r="W59" s="4">
        <v>45621</v>
      </c>
      <c r="X59" s="19">
        <f t="shared" si="9"/>
        <v>-29</v>
      </c>
      <c r="Y59" s="51">
        <f t="shared" si="10"/>
        <v>45617</v>
      </c>
      <c r="Z59" s="4">
        <v>45621</v>
      </c>
      <c r="AA59" s="49">
        <f t="shared" si="15"/>
        <v>-4</v>
      </c>
      <c r="AB59" s="51">
        <f t="shared" si="11"/>
        <v>45622</v>
      </c>
      <c r="AC59" s="49">
        <f t="shared" si="12"/>
        <v>1</v>
      </c>
      <c r="AD59" s="43">
        <f t="shared" si="14"/>
        <v>45622</v>
      </c>
      <c r="AE59" s="4">
        <v>45621</v>
      </c>
      <c r="AF59" s="19">
        <f t="shared" si="13"/>
        <v>1</v>
      </c>
      <c r="AG59" s="10"/>
      <c r="AH59" s="1"/>
      <c r="AI59" s="1"/>
      <c r="AJ59" s="1"/>
      <c r="AK59" s="1"/>
      <c r="AL59" s="1"/>
    </row>
    <row r="60" spans="1:38" ht="14.45">
      <c r="A60" s="156">
        <v>59</v>
      </c>
      <c r="B60" s="52">
        <v>45622</v>
      </c>
      <c r="C60" s="78">
        <v>111764826</v>
      </c>
      <c r="D60" s="10" t="s">
        <v>148</v>
      </c>
      <c r="E60" s="11">
        <v>195.62</v>
      </c>
      <c r="F60" s="3" t="s">
        <v>149</v>
      </c>
      <c r="G60" s="10" t="s">
        <v>51</v>
      </c>
      <c r="H60" s="10" t="s">
        <v>40</v>
      </c>
      <c r="I60" s="10" t="s">
        <v>62</v>
      </c>
      <c r="J60" s="97">
        <f t="shared" si="0"/>
        <v>45522</v>
      </c>
      <c r="L60" s="19" t="str">
        <f t="shared" si="1"/>
        <v/>
      </c>
      <c r="M60" s="5">
        <f t="shared" si="2"/>
        <v>45533</v>
      </c>
      <c r="O60" s="19" t="str">
        <f t="shared" si="3"/>
        <v/>
      </c>
      <c r="P60" s="5">
        <f t="shared" si="4"/>
        <v>45548</v>
      </c>
      <c r="R60" s="19" t="str">
        <f t="shared" si="5"/>
        <v/>
      </c>
      <c r="S60" s="5">
        <f t="shared" si="6"/>
        <v>45553</v>
      </c>
      <c r="U60" s="19" t="str">
        <f t="shared" si="7"/>
        <v/>
      </c>
      <c r="V60" s="5">
        <f t="shared" si="8"/>
        <v>45592</v>
      </c>
      <c r="X60" s="19" t="str">
        <f t="shared" si="9"/>
        <v/>
      </c>
      <c r="Y60" s="51">
        <f t="shared" si="10"/>
        <v>45617</v>
      </c>
      <c r="Z60" s="4">
        <v>45621</v>
      </c>
      <c r="AA60" s="49">
        <f t="shared" si="15"/>
        <v>-4</v>
      </c>
      <c r="AB60" s="51">
        <f t="shared" si="11"/>
        <v>45622</v>
      </c>
      <c r="AC60" s="49">
        <f t="shared" si="12"/>
        <v>1</v>
      </c>
      <c r="AD60" s="43">
        <f t="shared" si="14"/>
        <v>45622</v>
      </c>
      <c r="AE60" s="4">
        <v>45621</v>
      </c>
      <c r="AF60" s="19">
        <f t="shared" si="13"/>
        <v>1</v>
      </c>
      <c r="AG60" s="10"/>
      <c r="AH60" s="1"/>
      <c r="AI60" s="1"/>
      <c r="AJ60" s="1"/>
      <c r="AK60" s="1"/>
      <c r="AL60" s="1"/>
    </row>
    <row r="61" spans="1:38" ht="14.45">
      <c r="A61" s="156">
        <v>60</v>
      </c>
      <c r="B61" s="52">
        <v>45623</v>
      </c>
      <c r="D61" s="10" t="s">
        <v>38</v>
      </c>
      <c r="E61" s="11">
        <v>1987.83</v>
      </c>
      <c r="F61" s="3" t="s">
        <v>150</v>
      </c>
      <c r="G61" s="10" t="s">
        <v>35</v>
      </c>
      <c r="H61" s="10" t="s">
        <v>40</v>
      </c>
      <c r="I61" s="10" t="s">
        <v>41</v>
      </c>
      <c r="J61" s="97">
        <f t="shared" si="0"/>
        <v>45523</v>
      </c>
      <c r="L61" s="19" t="str">
        <f t="shared" si="1"/>
        <v/>
      </c>
      <c r="M61" s="5">
        <f t="shared" si="2"/>
        <v>45534</v>
      </c>
      <c r="O61" s="19" t="str">
        <f t="shared" si="3"/>
        <v/>
      </c>
      <c r="P61" s="5">
        <f t="shared" si="4"/>
        <v>45549</v>
      </c>
      <c r="R61" s="19" t="str">
        <f t="shared" si="5"/>
        <v/>
      </c>
      <c r="S61" s="5">
        <f t="shared" si="6"/>
        <v>45554</v>
      </c>
      <c r="T61" s="4">
        <v>45595</v>
      </c>
      <c r="U61" s="19">
        <f t="shared" si="7"/>
        <v>-41</v>
      </c>
      <c r="V61" s="5">
        <f t="shared" si="8"/>
        <v>45593</v>
      </c>
      <c r="W61" s="4">
        <v>45621</v>
      </c>
      <c r="X61" s="19">
        <f t="shared" si="9"/>
        <v>-28</v>
      </c>
      <c r="Y61" s="51">
        <f t="shared" si="10"/>
        <v>45618</v>
      </c>
      <c r="Z61" s="4">
        <v>45621</v>
      </c>
      <c r="AA61" s="49">
        <f t="shared" si="15"/>
        <v>-3</v>
      </c>
      <c r="AB61" s="51">
        <f t="shared" si="11"/>
        <v>45623</v>
      </c>
      <c r="AC61" s="49">
        <f t="shared" si="12"/>
        <v>2</v>
      </c>
      <c r="AD61" s="43">
        <f t="shared" si="14"/>
        <v>45623</v>
      </c>
      <c r="AE61" s="4">
        <v>45621</v>
      </c>
      <c r="AF61" s="19">
        <f t="shared" si="13"/>
        <v>2</v>
      </c>
      <c r="AG61" s="10"/>
      <c r="AH61" s="1"/>
      <c r="AI61" s="1"/>
      <c r="AJ61" s="1"/>
      <c r="AK61" s="1"/>
      <c r="AL61" s="1"/>
    </row>
    <row r="62" spans="1:38" ht="14.45">
      <c r="A62" s="156">
        <v>61</v>
      </c>
      <c r="B62" s="52">
        <v>45623</v>
      </c>
      <c r="D62" s="10" t="s">
        <v>38</v>
      </c>
      <c r="E62" s="11">
        <v>363.25</v>
      </c>
      <c r="F62" s="3" t="s">
        <v>151</v>
      </c>
      <c r="G62" s="10" t="s">
        <v>35</v>
      </c>
      <c r="H62" s="10" t="s">
        <v>40</v>
      </c>
      <c r="I62" s="10" t="s">
        <v>41</v>
      </c>
      <c r="J62" s="97">
        <f t="shared" si="0"/>
        <v>45523</v>
      </c>
      <c r="L62" s="19" t="str">
        <f t="shared" si="1"/>
        <v/>
      </c>
      <c r="M62" s="5">
        <f t="shared" si="2"/>
        <v>45534</v>
      </c>
      <c r="O62" s="19" t="str">
        <f t="shared" si="3"/>
        <v/>
      </c>
      <c r="P62" s="5">
        <f t="shared" si="4"/>
        <v>45549</v>
      </c>
      <c r="R62" s="19" t="str">
        <f t="shared" si="5"/>
        <v/>
      </c>
      <c r="S62" s="5">
        <f t="shared" si="6"/>
        <v>45554</v>
      </c>
      <c r="T62" s="4">
        <v>45595</v>
      </c>
      <c r="U62" s="19">
        <f t="shared" si="7"/>
        <v>-41</v>
      </c>
      <c r="V62" s="5">
        <f t="shared" si="8"/>
        <v>45593</v>
      </c>
      <c r="W62" s="4">
        <v>45621</v>
      </c>
      <c r="X62" s="19">
        <f t="shared" si="9"/>
        <v>-28</v>
      </c>
      <c r="Y62" s="51">
        <f t="shared" si="10"/>
        <v>45618</v>
      </c>
      <c r="Z62" s="4">
        <v>45621</v>
      </c>
      <c r="AA62" s="49">
        <f t="shared" si="15"/>
        <v>-3</v>
      </c>
      <c r="AB62" s="51">
        <f t="shared" si="11"/>
        <v>45623</v>
      </c>
      <c r="AC62" s="49">
        <f t="shared" si="12"/>
        <v>2</v>
      </c>
      <c r="AD62" s="43">
        <f t="shared" si="14"/>
        <v>45623</v>
      </c>
      <c r="AE62" s="4">
        <v>45621</v>
      </c>
      <c r="AF62" s="19">
        <f t="shared" si="13"/>
        <v>2</v>
      </c>
      <c r="AG62" s="10"/>
      <c r="AH62" s="1"/>
      <c r="AI62" s="1"/>
      <c r="AJ62" s="1"/>
      <c r="AK62" s="1"/>
      <c r="AL62" s="1"/>
    </row>
    <row r="63" spans="1:38" ht="14.45">
      <c r="A63" s="156">
        <v>62</v>
      </c>
      <c r="B63" s="52">
        <v>45623</v>
      </c>
      <c r="C63" s="76" t="s">
        <v>152</v>
      </c>
      <c r="D63" s="10" t="s">
        <v>153</v>
      </c>
      <c r="E63" s="11">
        <v>23770</v>
      </c>
      <c r="F63" s="3" t="s">
        <v>154</v>
      </c>
      <c r="G63" s="10" t="s">
        <v>46</v>
      </c>
      <c r="H63" s="10" t="s">
        <v>40</v>
      </c>
      <c r="I63" s="10" t="s">
        <v>62</v>
      </c>
      <c r="J63" s="97">
        <f t="shared" si="0"/>
        <v>45523</v>
      </c>
      <c r="K63" s="4">
        <v>45572</v>
      </c>
      <c r="L63" s="19">
        <f t="shared" si="1"/>
        <v>-49</v>
      </c>
      <c r="M63" s="5">
        <f t="shared" si="2"/>
        <v>45534</v>
      </c>
      <c r="N63" s="4">
        <v>45574</v>
      </c>
      <c r="O63" s="19">
        <f t="shared" si="3"/>
        <v>-40</v>
      </c>
      <c r="P63" s="5">
        <f t="shared" si="4"/>
        <v>45549</v>
      </c>
      <c r="Q63" s="4">
        <v>45587</v>
      </c>
      <c r="R63" s="19">
        <f t="shared" si="5"/>
        <v>-38</v>
      </c>
      <c r="S63" s="5">
        <f t="shared" si="6"/>
        <v>45554</v>
      </c>
      <c r="T63" s="4">
        <v>45580</v>
      </c>
      <c r="U63" s="19">
        <f t="shared" si="7"/>
        <v>-26</v>
      </c>
      <c r="V63" s="5">
        <f t="shared" si="8"/>
        <v>45593</v>
      </c>
      <c r="W63" s="4">
        <v>45607</v>
      </c>
      <c r="X63" s="19">
        <f t="shared" si="9"/>
        <v>-14</v>
      </c>
      <c r="Y63" s="51">
        <f t="shared" si="10"/>
        <v>45618</v>
      </c>
      <c r="Z63" s="4">
        <v>45621</v>
      </c>
      <c r="AA63" s="49">
        <f t="shared" si="15"/>
        <v>-3</v>
      </c>
      <c r="AB63" s="51">
        <f t="shared" si="11"/>
        <v>45623</v>
      </c>
      <c r="AC63" s="49">
        <f t="shared" si="12"/>
        <v>2</v>
      </c>
      <c r="AD63" s="43">
        <f t="shared" si="14"/>
        <v>45623</v>
      </c>
      <c r="AE63" s="4">
        <v>45621</v>
      </c>
      <c r="AF63" s="19">
        <f t="shared" si="13"/>
        <v>2</v>
      </c>
      <c r="AG63" s="10"/>
      <c r="AH63" s="1"/>
      <c r="AI63" s="1"/>
      <c r="AJ63" s="1"/>
      <c r="AK63" s="1"/>
      <c r="AL63" s="1"/>
    </row>
    <row r="64" spans="1:38" ht="14.45">
      <c r="A64" s="156">
        <v>63</v>
      </c>
      <c r="B64" s="52">
        <v>45624</v>
      </c>
      <c r="D64" s="10" t="s">
        <v>155</v>
      </c>
      <c r="E64" s="11">
        <v>11225.04</v>
      </c>
      <c r="F64" s="3" t="s">
        <v>156</v>
      </c>
      <c r="G64" s="10" t="s">
        <v>110</v>
      </c>
      <c r="H64" s="10" t="s">
        <v>40</v>
      </c>
      <c r="I64" s="10" t="s">
        <v>93</v>
      </c>
      <c r="J64" s="97">
        <f t="shared" si="0"/>
        <v>45524</v>
      </c>
      <c r="L64" s="19" t="str">
        <f t="shared" si="1"/>
        <v/>
      </c>
      <c r="M64" s="5">
        <f t="shared" si="2"/>
        <v>45535</v>
      </c>
      <c r="O64" s="19" t="str">
        <f t="shared" si="3"/>
        <v/>
      </c>
      <c r="P64" s="5">
        <f t="shared" si="4"/>
        <v>45550</v>
      </c>
      <c r="R64" s="19" t="str">
        <f t="shared" si="5"/>
        <v/>
      </c>
      <c r="S64" s="5">
        <f t="shared" si="6"/>
        <v>45555</v>
      </c>
      <c r="T64" s="4">
        <v>45616</v>
      </c>
      <c r="U64" s="19">
        <f t="shared" si="7"/>
        <v>-61</v>
      </c>
      <c r="V64" s="5">
        <f t="shared" si="8"/>
        <v>45594</v>
      </c>
      <c r="W64" s="4">
        <v>45616</v>
      </c>
      <c r="X64" s="19">
        <f t="shared" si="9"/>
        <v>-22</v>
      </c>
      <c r="Y64" s="51">
        <f t="shared" si="10"/>
        <v>45619</v>
      </c>
      <c r="AA64" s="49" t="str">
        <f t="shared" si="15"/>
        <v/>
      </c>
      <c r="AB64" s="51">
        <f t="shared" si="11"/>
        <v>45624</v>
      </c>
      <c r="AC64" s="49" t="str">
        <f t="shared" si="12"/>
        <v/>
      </c>
      <c r="AD64" s="43">
        <f t="shared" si="14"/>
        <v>45624</v>
      </c>
      <c r="AF64" s="19" t="str">
        <f t="shared" si="13"/>
        <v/>
      </c>
      <c r="AG64" s="10"/>
      <c r="AH64" s="1"/>
      <c r="AI64" s="1"/>
      <c r="AJ64" s="1"/>
      <c r="AK64" s="1"/>
      <c r="AL64" s="1"/>
    </row>
    <row r="65" spans="1:38" ht="14.45">
      <c r="A65" s="156">
        <v>64</v>
      </c>
      <c r="B65" s="52">
        <v>45625</v>
      </c>
      <c r="D65" s="10" t="s">
        <v>38</v>
      </c>
      <c r="E65" s="11">
        <v>7989.76</v>
      </c>
      <c r="F65" s="3" t="s">
        <v>157</v>
      </c>
      <c r="G65" s="10" t="s">
        <v>35</v>
      </c>
      <c r="H65" s="10" t="s">
        <v>40</v>
      </c>
      <c r="I65" s="10" t="s">
        <v>41</v>
      </c>
      <c r="J65" s="97">
        <f t="shared" si="0"/>
        <v>45525</v>
      </c>
      <c r="L65" s="19" t="str">
        <f t="shared" si="1"/>
        <v/>
      </c>
      <c r="M65" s="5">
        <f t="shared" si="2"/>
        <v>45536</v>
      </c>
      <c r="O65" s="19" t="str">
        <f t="shared" si="3"/>
        <v/>
      </c>
      <c r="P65" s="5">
        <f t="shared" si="4"/>
        <v>45551</v>
      </c>
      <c r="R65" s="19" t="str">
        <f t="shared" si="5"/>
        <v/>
      </c>
      <c r="S65" s="5">
        <f t="shared" si="6"/>
        <v>45556</v>
      </c>
      <c r="T65" s="4">
        <v>45595</v>
      </c>
      <c r="U65" s="19">
        <f t="shared" si="7"/>
        <v>-39</v>
      </c>
      <c r="V65" s="5">
        <f t="shared" si="8"/>
        <v>45595</v>
      </c>
      <c r="W65" s="4">
        <v>45621</v>
      </c>
      <c r="X65" s="19">
        <f t="shared" si="9"/>
        <v>-26</v>
      </c>
      <c r="Y65" s="51">
        <f t="shared" si="10"/>
        <v>45620</v>
      </c>
      <c r="Z65" s="4">
        <v>45621</v>
      </c>
      <c r="AA65" s="49">
        <f t="shared" si="15"/>
        <v>-1</v>
      </c>
      <c r="AB65" s="51">
        <f t="shared" si="11"/>
        <v>45625</v>
      </c>
      <c r="AC65" s="49">
        <f t="shared" si="12"/>
        <v>4</v>
      </c>
      <c r="AD65" s="43">
        <f t="shared" si="14"/>
        <v>45625</v>
      </c>
      <c r="AE65" s="4">
        <v>45621</v>
      </c>
      <c r="AF65" s="19">
        <f t="shared" si="13"/>
        <v>4</v>
      </c>
      <c r="AG65" s="10"/>
      <c r="AH65" s="1"/>
      <c r="AI65" s="1"/>
      <c r="AJ65" s="1"/>
      <c r="AK65" s="1"/>
      <c r="AL65" s="1"/>
    </row>
    <row r="66" spans="1:38" ht="14.45">
      <c r="A66" s="156">
        <v>65</v>
      </c>
      <c r="B66" s="52">
        <v>45625</v>
      </c>
      <c r="D66" s="10" t="s">
        <v>38</v>
      </c>
      <c r="E66" s="11">
        <v>373.65</v>
      </c>
      <c r="F66" s="3" t="s">
        <v>158</v>
      </c>
      <c r="G66" s="10" t="s">
        <v>35</v>
      </c>
      <c r="H66" s="10" t="s">
        <v>40</v>
      </c>
      <c r="I66" s="10" t="s">
        <v>41</v>
      </c>
      <c r="J66" s="97">
        <f t="shared" ref="J66:J129" si="16">B66-100</f>
        <v>45525</v>
      </c>
      <c r="L66" s="19" t="str">
        <f t="shared" ref="L66:L129" si="17">IF(OR(J66="", K66=""), "", J66-K66)</f>
        <v/>
      </c>
      <c r="M66" s="5">
        <f t="shared" ref="M66:M129" si="18">B66-89</f>
        <v>45536</v>
      </c>
      <c r="O66" s="19" t="str">
        <f t="shared" ref="O66:O129" si="19">IF(OR(M66="", N66=""), "", M66-N66)</f>
        <v/>
      </c>
      <c r="P66" s="5">
        <f t="shared" ref="P66:P129" si="20">B66-74</f>
        <v>45551</v>
      </c>
      <c r="R66" s="19" t="str">
        <f t="shared" ref="R66:R129" si="21">IF(OR(P66="", Q66=""), "", P66-Q66)</f>
        <v/>
      </c>
      <c r="S66" s="5">
        <f t="shared" ref="S66:S129" si="22">B66-69</f>
        <v>45556</v>
      </c>
      <c r="T66" s="4">
        <v>45595</v>
      </c>
      <c r="U66" s="19">
        <f t="shared" ref="U66:U129" si="23">IF(OR(S66="", T66=""), "", S66-T66)</f>
        <v>-39</v>
      </c>
      <c r="V66" s="5">
        <f t="shared" ref="V66:V129" si="24">B66-30</f>
        <v>45595</v>
      </c>
      <c r="W66" s="4">
        <v>45621</v>
      </c>
      <c r="X66" s="19">
        <f t="shared" ref="X66:X129" si="25">IF(OR(V66="", W66=""), "", V66-W66)</f>
        <v>-26</v>
      </c>
      <c r="Y66" s="51">
        <f t="shared" ref="Y66:Y129" si="26">B66-5</f>
        <v>45620</v>
      </c>
      <c r="Z66" s="4">
        <v>45621</v>
      </c>
      <c r="AA66" s="49">
        <f t="shared" ref="AA66:AA129" si="27">IF(OR(Y66="", Z66=""), "", Y66-Z66)</f>
        <v>-1</v>
      </c>
      <c r="AB66" s="51">
        <f t="shared" ref="AB66:AB129" si="28">IF(B66&lt;&gt;"", B66, "")</f>
        <v>45625</v>
      </c>
      <c r="AC66" s="49">
        <f t="shared" ref="AC66:AC129" si="29">IF(OR(AB66="", Z66=""), "", AB66-Z66)</f>
        <v>4</v>
      </c>
      <c r="AD66" s="43">
        <f t="shared" ref="AD66:AD129" si="30">IF(B66&lt;&gt;"", B66, "")</f>
        <v>45625</v>
      </c>
      <c r="AE66" s="4">
        <v>45621</v>
      </c>
      <c r="AF66" s="19">
        <f t="shared" ref="AF66:AF129" si="31">IF(OR(AD66="", AE66=""), "", AD66-AE66)</f>
        <v>4</v>
      </c>
      <c r="AG66" s="10"/>
      <c r="AH66" s="1"/>
      <c r="AI66" s="1"/>
      <c r="AJ66" s="1"/>
      <c r="AK66" s="1"/>
      <c r="AL66" s="1"/>
    </row>
    <row r="67" spans="1:38" ht="14.45">
      <c r="A67" s="156">
        <v>66</v>
      </c>
      <c r="B67" s="52">
        <v>45625</v>
      </c>
      <c r="C67" s="32" t="s">
        <v>159</v>
      </c>
      <c r="D67" s="10" t="s">
        <v>160</v>
      </c>
      <c r="E67" s="11">
        <v>33495.72</v>
      </c>
      <c r="F67" s="3" t="s">
        <v>161</v>
      </c>
      <c r="G67" s="10" t="s">
        <v>51</v>
      </c>
      <c r="H67" s="10" t="s">
        <v>40</v>
      </c>
      <c r="I67" s="10" t="s">
        <v>52</v>
      </c>
      <c r="J67" s="97">
        <f t="shared" si="16"/>
        <v>45525</v>
      </c>
      <c r="L67" s="19" t="str">
        <f t="shared" si="17"/>
        <v/>
      </c>
      <c r="M67" s="5">
        <f t="shared" si="18"/>
        <v>45536</v>
      </c>
      <c r="N67" s="4">
        <v>45608</v>
      </c>
      <c r="O67" s="19">
        <f t="shared" si="19"/>
        <v>-72</v>
      </c>
      <c r="P67" s="5">
        <f t="shared" si="20"/>
        <v>45551</v>
      </c>
      <c r="R67" s="19" t="str">
        <f t="shared" si="21"/>
        <v/>
      </c>
      <c r="S67" s="5">
        <f t="shared" si="22"/>
        <v>45556</v>
      </c>
      <c r="U67" s="19" t="str">
        <f t="shared" si="23"/>
        <v/>
      </c>
      <c r="V67" s="5">
        <f t="shared" si="24"/>
        <v>45595</v>
      </c>
      <c r="W67" s="4">
        <v>45611</v>
      </c>
      <c r="X67" s="19">
        <f t="shared" si="25"/>
        <v>-16</v>
      </c>
      <c r="Y67" s="51">
        <f t="shared" si="26"/>
        <v>45620</v>
      </c>
      <c r="Z67" s="4">
        <v>45611</v>
      </c>
      <c r="AA67" s="49">
        <f t="shared" si="27"/>
        <v>9</v>
      </c>
      <c r="AB67" s="51">
        <f t="shared" si="28"/>
        <v>45625</v>
      </c>
      <c r="AC67" s="49">
        <f t="shared" si="29"/>
        <v>14</v>
      </c>
      <c r="AD67" s="43">
        <f t="shared" si="30"/>
        <v>45625</v>
      </c>
      <c r="AE67" s="4">
        <v>45611</v>
      </c>
      <c r="AF67" s="19">
        <f t="shared" si="31"/>
        <v>14</v>
      </c>
      <c r="AG67" s="10"/>
      <c r="AH67" s="1"/>
      <c r="AI67" s="1"/>
      <c r="AJ67" s="1"/>
      <c r="AK67" s="1"/>
      <c r="AL67" s="1"/>
    </row>
    <row r="68" spans="1:38" ht="14.45">
      <c r="A68" s="156">
        <v>67</v>
      </c>
      <c r="B68" s="52">
        <v>45625</v>
      </c>
      <c r="C68" s="32" t="s">
        <v>162</v>
      </c>
      <c r="D68" s="10" t="s">
        <v>77</v>
      </c>
      <c r="E68" s="11">
        <v>24969.71</v>
      </c>
      <c r="F68" s="3" t="s">
        <v>163</v>
      </c>
      <c r="G68" s="10" t="s">
        <v>51</v>
      </c>
      <c r="H68" s="10" t="s">
        <v>40</v>
      </c>
      <c r="I68" s="10" t="s">
        <v>52</v>
      </c>
      <c r="J68" s="97">
        <f t="shared" si="16"/>
        <v>45525</v>
      </c>
      <c r="L68" s="19" t="str">
        <f t="shared" si="17"/>
        <v/>
      </c>
      <c r="M68" s="5">
        <f t="shared" si="18"/>
        <v>45536</v>
      </c>
      <c r="O68" s="19" t="str">
        <f t="shared" si="19"/>
        <v/>
      </c>
      <c r="P68" s="5">
        <f t="shared" si="20"/>
        <v>45551</v>
      </c>
      <c r="Q68" s="4">
        <v>45590</v>
      </c>
      <c r="R68" s="19">
        <f t="shared" si="21"/>
        <v>-39</v>
      </c>
      <c r="S68" s="5">
        <f t="shared" si="22"/>
        <v>45556</v>
      </c>
      <c r="T68" s="4">
        <v>45608</v>
      </c>
      <c r="U68" s="19">
        <f t="shared" si="23"/>
        <v>-52</v>
      </c>
      <c r="V68" s="5">
        <f t="shared" si="24"/>
        <v>45595</v>
      </c>
      <c r="W68" s="4">
        <v>45610</v>
      </c>
      <c r="X68" s="19">
        <f t="shared" si="25"/>
        <v>-15</v>
      </c>
      <c r="Y68" s="51">
        <f t="shared" si="26"/>
        <v>45620</v>
      </c>
      <c r="Z68" s="4">
        <v>45611</v>
      </c>
      <c r="AA68" s="49">
        <f t="shared" si="27"/>
        <v>9</v>
      </c>
      <c r="AB68" s="51">
        <f t="shared" si="28"/>
        <v>45625</v>
      </c>
      <c r="AC68" s="49">
        <f t="shared" si="29"/>
        <v>14</v>
      </c>
      <c r="AD68" s="43">
        <f t="shared" si="30"/>
        <v>45625</v>
      </c>
      <c r="AE68" s="4">
        <v>45611</v>
      </c>
      <c r="AF68" s="19">
        <f t="shared" si="31"/>
        <v>14</v>
      </c>
      <c r="AG68" s="10"/>
      <c r="AH68" s="1"/>
      <c r="AI68" s="1"/>
      <c r="AJ68" s="1"/>
      <c r="AK68" s="1"/>
      <c r="AL68" s="1"/>
    </row>
    <row r="69" spans="1:38" ht="14.45">
      <c r="A69" s="156">
        <v>68</v>
      </c>
      <c r="B69" s="52">
        <v>45626</v>
      </c>
      <c r="D69" s="10" t="s">
        <v>164</v>
      </c>
      <c r="E69" s="11">
        <v>0</v>
      </c>
      <c r="F69" s="3" t="s">
        <v>165</v>
      </c>
      <c r="G69" s="10" t="s">
        <v>120</v>
      </c>
      <c r="H69" s="10" t="s">
        <v>36</v>
      </c>
      <c r="I69" s="10" t="s">
        <v>52</v>
      </c>
      <c r="J69" s="97">
        <f t="shared" si="16"/>
        <v>45526</v>
      </c>
      <c r="L69" s="19" t="str">
        <f t="shared" si="17"/>
        <v/>
      </c>
      <c r="M69" s="5">
        <f t="shared" si="18"/>
        <v>45537</v>
      </c>
      <c r="O69" s="19" t="str">
        <f t="shared" si="19"/>
        <v/>
      </c>
      <c r="P69" s="5">
        <f t="shared" si="20"/>
        <v>45552</v>
      </c>
      <c r="Q69" s="4">
        <v>45608</v>
      </c>
      <c r="R69" s="19">
        <f t="shared" si="21"/>
        <v>-56</v>
      </c>
      <c r="S69" s="5">
        <f t="shared" si="22"/>
        <v>45557</v>
      </c>
      <c r="T69" s="4">
        <v>45608</v>
      </c>
      <c r="U69" s="19">
        <f t="shared" si="23"/>
        <v>-51</v>
      </c>
      <c r="V69" s="5">
        <f t="shared" si="24"/>
        <v>45596</v>
      </c>
      <c r="W69" s="4">
        <v>45610</v>
      </c>
      <c r="X69" s="19">
        <f t="shared" si="25"/>
        <v>-14</v>
      </c>
      <c r="Y69" s="51">
        <f t="shared" si="26"/>
        <v>45621</v>
      </c>
      <c r="Z69" s="4">
        <v>45625</v>
      </c>
      <c r="AA69" s="49">
        <f t="shared" si="27"/>
        <v>-4</v>
      </c>
      <c r="AB69" s="51">
        <f t="shared" si="28"/>
        <v>45626</v>
      </c>
      <c r="AC69" s="49">
        <f t="shared" si="29"/>
        <v>1</v>
      </c>
      <c r="AD69" s="43">
        <f t="shared" si="30"/>
        <v>45626</v>
      </c>
      <c r="AE69" s="4">
        <v>45625</v>
      </c>
      <c r="AF69" s="19">
        <f t="shared" si="31"/>
        <v>1</v>
      </c>
      <c r="AG69" s="10"/>
      <c r="AH69" s="1"/>
      <c r="AI69" s="1"/>
      <c r="AJ69" s="1"/>
      <c r="AK69" s="1"/>
      <c r="AL69" s="1"/>
    </row>
    <row r="70" spans="1:38" ht="14.45">
      <c r="A70" s="156">
        <v>69</v>
      </c>
      <c r="B70" s="52">
        <v>45626</v>
      </c>
      <c r="D70" s="10" t="s">
        <v>166</v>
      </c>
      <c r="E70" s="11">
        <v>56800</v>
      </c>
      <c r="F70" s="3" t="s">
        <v>167</v>
      </c>
      <c r="G70" s="10" t="s">
        <v>35</v>
      </c>
      <c r="H70" s="10" t="s">
        <v>40</v>
      </c>
      <c r="I70" s="10" t="s">
        <v>62</v>
      </c>
      <c r="J70" s="97">
        <f t="shared" si="16"/>
        <v>45526</v>
      </c>
      <c r="K70" s="4">
        <v>45573</v>
      </c>
      <c r="L70" s="19">
        <f t="shared" si="17"/>
        <v>-47</v>
      </c>
      <c r="M70" s="5">
        <f t="shared" si="18"/>
        <v>45537</v>
      </c>
      <c r="O70" s="19" t="str">
        <f t="shared" si="19"/>
        <v/>
      </c>
      <c r="P70" s="5">
        <f t="shared" si="20"/>
        <v>45552</v>
      </c>
      <c r="R70" s="19" t="str">
        <f t="shared" si="21"/>
        <v/>
      </c>
      <c r="S70" s="5">
        <f t="shared" si="22"/>
        <v>45557</v>
      </c>
      <c r="T70" s="4">
        <v>45573</v>
      </c>
      <c r="U70" s="19">
        <f t="shared" si="23"/>
        <v>-16</v>
      </c>
      <c r="V70" s="5">
        <f t="shared" si="24"/>
        <v>45596</v>
      </c>
      <c r="W70" s="4">
        <v>45616</v>
      </c>
      <c r="X70" s="19">
        <f t="shared" si="25"/>
        <v>-20</v>
      </c>
      <c r="Y70" s="51">
        <f t="shared" si="26"/>
        <v>45621</v>
      </c>
      <c r="AA70" s="49" t="str">
        <f t="shared" si="27"/>
        <v/>
      </c>
      <c r="AB70" s="51">
        <f t="shared" si="28"/>
        <v>45626</v>
      </c>
      <c r="AC70" s="49" t="str">
        <f t="shared" si="29"/>
        <v/>
      </c>
      <c r="AD70" s="43">
        <f t="shared" si="30"/>
        <v>45626</v>
      </c>
      <c r="AF70" s="19" t="str">
        <f t="shared" si="31"/>
        <v/>
      </c>
      <c r="AG70" s="10"/>
      <c r="AH70" s="1"/>
      <c r="AI70" s="1"/>
      <c r="AJ70" s="1"/>
      <c r="AK70" s="1"/>
      <c r="AL70" s="1"/>
    </row>
    <row r="71" spans="1:38" ht="14.45">
      <c r="A71" s="156">
        <v>70</v>
      </c>
      <c r="B71" s="52">
        <v>45626</v>
      </c>
      <c r="D71" s="10" t="s">
        <v>38</v>
      </c>
      <c r="E71" s="11">
        <v>345.91</v>
      </c>
      <c r="F71" s="3" t="s">
        <v>168</v>
      </c>
      <c r="G71" s="10" t="s">
        <v>35</v>
      </c>
      <c r="H71" s="10" t="s">
        <v>40</v>
      </c>
      <c r="I71" s="10" t="s">
        <v>41</v>
      </c>
      <c r="J71" s="97">
        <f t="shared" si="16"/>
        <v>45526</v>
      </c>
      <c r="L71" s="19" t="str">
        <f t="shared" si="17"/>
        <v/>
      </c>
      <c r="M71" s="5">
        <f t="shared" si="18"/>
        <v>45537</v>
      </c>
      <c r="O71" s="19" t="str">
        <f t="shared" si="19"/>
        <v/>
      </c>
      <c r="P71" s="5">
        <f t="shared" si="20"/>
        <v>45552</v>
      </c>
      <c r="R71" s="19" t="str">
        <f t="shared" si="21"/>
        <v/>
      </c>
      <c r="S71" s="5">
        <f t="shared" si="22"/>
        <v>45557</v>
      </c>
      <c r="T71" s="4">
        <v>45595</v>
      </c>
      <c r="U71" s="19">
        <f t="shared" si="23"/>
        <v>-38</v>
      </c>
      <c r="V71" s="5">
        <f t="shared" si="24"/>
        <v>45596</v>
      </c>
      <c r="W71" s="4">
        <v>45621</v>
      </c>
      <c r="X71" s="19">
        <f t="shared" si="25"/>
        <v>-25</v>
      </c>
      <c r="Y71" s="51">
        <f t="shared" si="26"/>
        <v>45621</v>
      </c>
      <c r="Z71" s="4">
        <v>45621</v>
      </c>
      <c r="AA71" s="49">
        <f t="shared" si="27"/>
        <v>0</v>
      </c>
      <c r="AB71" s="51">
        <f t="shared" si="28"/>
        <v>45626</v>
      </c>
      <c r="AC71" s="49">
        <f t="shared" si="29"/>
        <v>5</v>
      </c>
      <c r="AD71" s="43">
        <f t="shared" si="30"/>
        <v>45626</v>
      </c>
      <c r="AE71" s="4">
        <v>45621</v>
      </c>
      <c r="AF71" s="19">
        <f t="shared" si="31"/>
        <v>5</v>
      </c>
      <c r="AG71" s="10"/>
      <c r="AH71" s="1"/>
      <c r="AI71" s="1"/>
      <c r="AJ71" s="1"/>
      <c r="AK71" s="1"/>
      <c r="AL71" s="1"/>
    </row>
    <row r="72" spans="1:38" ht="14.45">
      <c r="A72" s="156">
        <v>71</v>
      </c>
      <c r="B72" s="52">
        <v>45626</v>
      </c>
      <c r="D72" s="10" t="s">
        <v>38</v>
      </c>
      <c r="E72" s="11">
        <v>81.010000000000005</v>
      </c>
      <c r="F72" s="3" t="s">
        <v>169</v>
      </c>
      <c r="G72" s="10" t="s">
        <v>35</v>
      </c>
      <c r="H72" s="10" t="s">
        <v>40</v>
      </c>
      <c r="I72" s="10" t="s">
        <v>41</v>
      </c>
      <c r="J72" s="97">
        <f t="shared" si="16"/>
        <v>45526</v>
      </c>
      <c r="L72" s="19" t="str">
        <f t="shared" si="17"/>
        <v/>
      </c>
      <c r="M72" s="5">
        <f t="shared" si="18"/>
        <v>45537</v>
      </c>
      <c r="O72" s="19" t="str">
        <f t="shared" si="19"/>
        <v/>
      </c>
      <c r="P72" s="5">
        <f t="shared" si="20"/>
        <v>45552</v>
      </c>
      <c r="R72" s="19" t="str">
        <f t="shared" si="21"/>
        <v/>
      </c>
      <c r="S72" s="5">
        <f t="shared" si="22"/>
        <v>45557</v>
      </c>
      <c r="T72" s="4">
        <v>45595</v>
      </c>
      <c r="U72" s="19">
        <f t="shared" si="23"/>
        <v>-38</v>
      </c>
      <c r="V72" s="5">
        <f t="shared" si="24"/>
        <v>45596</v>
      </c>
      <c r="W72" s="4">
        <v>45621</v>
      </c>
      <c r="X72" s="19">
        <f t="shared" si="25"/>
        <v>-25</v>
      </c>
      <c r="Y72" s="51">
        <f t="shared" si="26"/>
        <v>45621</v>
      </c>
      <c r="Z72" s="4">
        <v>45621</v>
      </c>
      <c r="AA72" s="49">
        <f t="shared" si="27"/>
        <v>0</v>
      </c>
      <c r="AB72" s="51">
        <f t="shared" si="28"/>
        <v>45626</v>
      </c>
      <c r="AC72" s="49">
        <f t="shared" si="29"/>
        <v>5</v>
      </c>
      <c r="AD72" s="43">
        <f t="shared" si="30"/>
        <v>45626</v>
      </c>
      <c r="AE72" s="4">
        <v>45621</v>
      </c>
      <c r="AF72" s="19">
        <f t="shared" si="31"/>
        <v>5</v>
      </c>
      <c r="AG72" s="10"/>
      <c r="AH72" s="1"/>
      <c r="AI72" s="1"/>
      <c r="AJ72" s="1"/>
      <c r="AK72" s="1"/>
      <c r="AL72" s="1"/>
    </row>
    <row r="73" spans="1:38" ht="14.45">
      <c r="A73" s="156">
        <v>72</v>
      </c>
      <c r="B73" s="52">
        <v>45626</v>
      </c>
      <c r="D73" s="10" t="s">
        <v>38</v>
      </c>
      <c r="E73" s="11">
        <v>37.159999999999997</v>
      </c>
      <c r="F73" s="3" t="s">
        <v>170</v>
      </c>
      <c r="G73" s="10" t="s">
        <v>35</v>
      </c>
      <c r="H73" s="10" t="s">
        <v>40</v>
      </c>
      <c r="I73" s="10" t="s">
        <v>41</v>
      </c>
      <c r="J73" s="97">
        <f t="shared" si="16"/>
        <v>45526</v>
      </c>
      <c r="L73" s="19" t="str">
        <f t="shared" si="17"/>
        <v/>
      </c>
      <c r="M73" s="5">
        <f t="shared" si="18"/>
        <v>45537</v>
      </c>
      <c r="O73" s="19" t="str">
        <f t="shared" si="19"/>
        <v/>
      </c>
      <c r="P73" s="5">
        <f t="shared" si="20"/>
        <v>45552</v>
      </c>
      <c r="R73" s="19" t="str">
        <f t="shared" si="21"/>
        <v/>
      </c>
      <c r="S73" s="5">
        <f t="shared" si="22"/>
        <v>45557</v>
      </c>
      <c r="T73" s="4">
        <v>45595</v>
      </c>
      <c r="U73" s="19">
        <f t="shared" si="23"/>
        <v>-38</v>
      </c>
      <c r="V73" s="5">
        <f t="shared" si="24"/>
        <v>45596</v>
      </c>
      <c r="W73" s="4">
        <v>45621</v>
      </c>
      <c r="X73" s="19">
        <f t="shared" si="25"/>
        <v>-25</v>
      </c>
      <c r="Y73" s="51">
        <f t="shared" si="26"/>
        <v>45621</v>
      </c>
      <c r="Z73" s="4">
        <v>45621</v>
      </c>
      <c r="AA73" s="49">
        <f t="shared" si="27"/>
        <v>0</v>
      </c>
      <c r="AB73" s="51">
        <f t="shared" si="28"/>
        <v>45626</v>
      </c>
      <c r="AC73" s="49">
        <f t="shared" si="29"/>
        <v>5</v>
      </c>
      <c r="AD73" s="43">
        <f t="shared" si="30"/>
        <v>45626</v>
      </c>
      <c r="AE73" s="4">
        <v>45621</v>
      </c>
      <c r="AF73" s="19">
        <f t="shared" si="31"/>
        <v>5</v>
      </c>
      <c r="AG73" s="10"/>
      <c r="AH73" s="1"/>
      <c r="AI73" s="1"/>
      <c r="AJ73" s="1"/>
      <c r="AK73" s="1"/>
      <c r="AL73" s="1"/>
    </row>
    <row r="74" spans="1:38" ht="14.45">
      <c r="A74" s="156">
        <v>73</v>
      </c>
      <c r="B74" s="52">
        <v>45626</v>
      </c>
      <c r="D74" s="10" t="s">
        <v>171</v>
      </c>
      <c r="E74" s="11">
        <v>18611.64</v>
      </c>
      <c r="F74" s="3" t="s">
        <v>172</v>
      </c>
      <c r="G74" s="10" t="s">
        <v>110</v>
      </c>
      <c r="H74" s="10" t="s">
        <v>40</v>
      </c>
      <c r="I74" s="10" t="s">
        <v>93</v>
      </c>
      <c r="J74" s="97">
        <f t="shared" si="16"/>
        <v>45526</v>
      </c>
      <c r="L74" s="19" t="str">
        <f t="shared" si="17"/>
        <v/>
      </c>
      <c r="M74" s="5">
        <f t="shared" si="18"/>
        <v>45537</v>
      </c>
      <c r="O74" s="19" t="str">
        <f t="shared" si="19"/>
        <v/>
      </c>
      <c r="P74" s="5">
        <f t="shared" si="20"/>
        <v>45552</v>
      </c>
      <c r="R74" s="19" t="str">
        <f t="shared" si="21"/>
        <v/>
      </c>
      <c r="S74" s="5">
        <f t="shared" si="22"/>
        <v>45557</v>
      </c>
      <c r="T74" s="4">
        <v>45605</v>
      </c>
      <c r="U74" s="19">
        <f t="shared" si="23"/>
        <v>-48</v>
      </c>
      <c r="V74" s="5">
        <f t="shared" si="24"/>
        <v>45596</v>
      </c>
      <c r="W74" s="4">
        <v>45616</v>
      </c>
      <c r="X74" s="19">
        <f t="shared" si="25"/>
        <v>-20</v>
      </c>
      <c r="Y74" s="51">
        <f t="shared" si="26"/>
        <v>45621</v>
      </c>
      <c r="AA74" s="49" t="str">
        <f t="shared" si="27"/>
        <v/>
      </c>
      <c r="AB74" s="51">
        <f t="shared" si="28"/>
        <v>45626</v>
      </c>
      <c r="AC74" s="49" t="str">
        <f t="shared" si="29"/>
        <v/>
      </c>
      <c r="AD74" s="43">
        <f t="shared" si="30"/>
        <v>45626</v>
      </c>
      <c r="AF74" s="19" t="str">
        <f t="shared" si="31"/>
        <v/>
      </c>
      <c r="AG74" s="10"/>
      <c r="AH74" s="1"/>
      <c r="AI74" s="1"/>
      <c r="AJ74" s="1"/>
      <c r="AK74" s="1"/>
      <c r="AL74" s="1"/>
    </row>
    <row r="75" spans="1:38" ht="14.45">
      <c r="A75" s="156">
        <v>74</v>
      </c>
      <c r="B75" s="52">
        <v>45626</v>
      </c>
      <c r="D75" s="10" t="s">
        <v>173</v>
      </c>
      <c r="E75" s="11">
        <v>65812.960000000006</v>
      </c>
      <c r="F75" s="3" t="s">
        <v>174</v>
      </c>
      <c r="G75" s="10" t="s">
        <v>35</v>
      </c>
      <c r="H75" s="10" t="s">
        <v>36</v>
      </c>
      <c r="I75" s="10" t="s">
        <v>52</v>
      </c>
      <c r="J75" s="97">
        <f t="shared" si="16"/>
        <v>45526</v>
      </c>
      <c r="L75" s="19" t="str">
        <f t="shared" si="17"/>
        <v/>
      </c>
      <c r="M75" s="5">
        <f t="shared" si="18"/>
        <v>45537</v>
      </c>
      <c r="O75" s="19" t="str">
        <f t="shared" si="19"/>
        <v/>
      </c>
      <c r="P75" s="5">
        <f t="shared" si="20"/>
        <v>45552</v>
      </c>
      <c r="R75" s="19" t="str">
        <f t="shared" si="21"/>
        <v/>
      </c>
      <c r="S75" s="5">
        <f t="shared" si="22"/>
        <v>45557</v>
      </c>
      <c r="U75" s="19" t="str">
        <f t="shared" si="23"/>
        <v/>
      </c>
      <c r="V75" s="5">
        <f t="shared" si="24"/>
        <v>45596</v>
      </c>
      <c r="X75" s="19" t="str">
        <f t="shared" si="25"/>
        <v/>
      </c>
      <c r="Y75" s="51">
        <f t="shared" si="26"/>
        <v>45621</v>
      </c>
      <c r="AA75" s="49" t="str">
        <f t="shared" si="27"/>
        <v/>
      </c>
      <c r="AB75" s="51">
        <f t="shared" si="28"/>
        <v>45626</v>
      </c>
      <c r="AC75" s="49" t="str">
        <f t="shared" si="29"/>
        <v/>
      </c>
      <c r="AD75" s="43">
        <f t="shared" si="30"/>
        <v>45626</v>
      </c>
      <c r="AF75" s="19" t="str">
        <f t="shared" si="31"/>
        <v/>
      </c>
      <c r="AG75" s="10"/>
      <c r="AH75" s="1"/>
      <c r="AI75" s="1"/>
      <c r="AJ75" s="1"/>
      <c r="AK75" s="1"/>
      <c r="AL75" s="1"/>
    </row>
    <row r="76" spans="1:38" ht="14.45">
      <c r="A76" s="156">
        <v>75</v>
      </c>
      <c r="B76" s="52">
        <v>45626</v>
      </c>
      <c r="C76" s="32" t="s">
        <v>175</v>
      </c>
      <c r="D76" s="10" t="s">
        <v>77</v>
      </c>
      <c r="E76" s="11">
        <v>3114.94</v>
      </c>
      <c r="F76" s="3" t="s">
        <v>176</v>
      </c>
      <c r="G76" s="10" t="s">
        <v>51</v>
      </c>
      <c r="H76" s="10" t="s">
        <v>40</v>
      </c>
      <c r="I76" s="10" t="s">
        <v>52</v>
      </c>
      <c r="J76" s="97">
        <f t="shared" si="16"/>
        <v>45526</v>
      </c>
      <c r="L76" s="19" t="str">
        <f t="shared" si="17"/>
        <v/>
      </c>
      <c r="M76" s="5">
        <f t="shared" si="18"/>
        <v>45537</v>
      </c>
      <c r="N76" s="4">
        <v>45593</v>
      </c>
      <c r="O76" s="19">
        <f t="shared" si="19"/>
        <v>-56</v>
      </c>
      <c r="P76" s="5">
        <f t="shared" si="20"/>
        <v>45552</v>
      </c>
      <c r="Q76" s="4">
        <v>45593</v>
      </c>
      <c r="R76" s="19">
        <f t="shared" si="21"/>
        <v>-41</v>
      </c>
      <c r="S76" s="5">
        <f t="shared" si="22"/>
        <v>45557</v>
      </c>
      <c r="T76" s="4">
        <v>45616</v>
      </c>
      <c r="U76" s="19">
        <f t="shared" si="23"/>
        <v>-59</v>
      </c>
      <c r="V76" s="5">
        <f t="shared" si="24"/>
        <v>45596</v>
      </c>
      <c r="X76" s="19" t="str">
        <f t="shared" si="25"/>
        <v/>
      </c>
      <c r="Y76" s="51">
        <f t="shared" si="26"/>
        <v>45621</v>
      </c>
      <c r="Z76" s="4">
        <v>45656</v>
      </c>
      <c r="AA76" s="49">
        <f t="shared" si="27"/>
        <v>-35</v>
      </c>
      <c r="AB76" s="51">
        <f t="shared" si="28"/>
        <v>45626</v>
      </c>
      <c r="AC76" s="49">
        <f t="shared" si="29"/>
        <v>-30</v>
      </c>
      <c r="AD76" s="43">
        <f t="shared" si="30"/>
        <v>45626</v>
      </c>
      <c r="AE76" s="4">
        <v>45656</v>
      </c>
      <c r="AF76" s="19">
        <f t="shared" si="31"/>
        <v>-30</v>
      </c>
      <c r="AG76" s="10"/>
      <c r="AH76" s="1"/>
      <c r="AI76" s="1"/>
      <c r="AJ76" s="1"/>
      <c r="AK76" s="1"/>
      <c r="AL76" s="1"/>
    </row>
    <row r="77" spans="1:38" ht="14.45">
      <c r="A77" s="156">
        <v>76</v>
      </c>
      <c r="B77" s="52">
        <v>45626</v>
      </c>
      <c r="C77" s="78">
        <v>648366367</v>
      </c>
      <c r="D77" s="10" t="s">
        <v>177</v>
      </c>
      <c r="E77" s="11">
        <v>3961.24</v>
      </c>
      <c r="F77" s="3" t="s">
        <v>178</v>
      </c>
      <c r="G77" s="10" t="s">
        <v>51</v>
      </c>
      <c r="H77" s="10" t="s">
        <v>40</v>
      </c>
      <c r="I77" s="10" t="s">
        <v>37</v>
      </c>
      <c r="J77" s="97">
        <f t="shared" si="16"/>
        <v>45526</v>
      </c>
      <c r="K77" s="4">
        <v>45581</v>
      </c>
      <c r="L77" s="19">
        <f t="shared" si="17"/>
        <v>-55</v>
      </c>
      <c r="M77" s="5">
        <f t="shared" si="18"/>
        <v>45537</v>
      </c>
      <c r="N77" s="4">
        <v>45596</v>
      </c>
      <c r="O77" s="19">
        <f t="shared" si="19"/>
        <v>-59</v>
      </c>
      <c r="P77" s="5">
        <f t="shared" si="20"/>
        <v>45552</v>
      </c>
      <c r="Q77" s="4">
        <v>45596</v>
      </c>
      <c r="R77" s="19">
        <f t="shared" si="21"/>
        <v>-44</v>
      </c>
      <c r="S77" s="5">
        <f t="shared" si="22"/>
        <v>45557</v>
      </c>
      <c r="T77" s="4">
        <v>45610</v>
      </c>
      <c r="U77" s="19">
        <f t="shared" si="23"/>
        <v>-53</v>
      </c>
      <c r="V77" s="5">
        <f t="shared" si="24"/>
        <v>45596</v>
      </c>
      <c r="X77" s="19" t="str">
        <f t="shared" si="25"/>
        <v/>
      </c>
      <c r="Y77" s="51">
        <f t="shared" si="26"/>
        <v>45621</v>
      </c>
      <c r="Z77" s="4">
        <v>45705</v>
      </c>
      <c r="AA77" s="49">
        <f t="shared" si="27"/>
        <v>-84</v>
      </c>
      <c r="AB77" s="51">
        <f t="shared" si="28"/>
        <v>45626</v>
      </c>
      <c r="AC77" s="49">
        <f t="shared" si="29"/>
        <v>-79</v>
      </c>
      <c r="AD77" s="43">
        <f t="shared" si="30"/>
        <v>45626</v>
      </c>
      <c r="AE77" s="4">
        <v>45705</v>
      </c>
      <c r="AF77" s="19">
        <f t="shared" si="31"/>
        <v>-79</v>
      </c>
      <c r="AG77" s="10"/>
      <c r="AH77" s="1"/>
      <c r="AI77" s="1"/>
      <c r="AJ77" s="1"/>
      <c r="AK77" s="1"/>
      <c r="AL77" s="1"/>
    </row>
    <row r="78" spans="1:38" ht="14.45">
      <c r="A78" s="156">
        <v>77</v>
      </c>
      <c r="B78" s="53">
        <v>45626</v>
      </c>
      <c r="C78" s="79" t="s">
        <v>179</v>
      </c>
      <c r="D78" s="29" t="s">
        <v>180</v>
      </c>
      <c r="E78" s="30">
        <v>41437.96</v>
      </c>
      <c r="F78" s="3" t="s">
        <v>181</v>
      </c>
      <c r="G78" s="29" t="s">
        <v>51</v>
      </c>
      <c r="H78" s="29" t="s">
        <v>40</v>
      </c>
      <c r="I78" s="29" t="s">
        <v>52</v>
      </c>
      <c r="J78" s="97">
        <f t="shared" si="16"/>
        <v>45526</v>
      </c>
      <c r="L78" s="19" t="str">
        <f t="shared" si="17"/>
        <v/>
      </c>
      <c r="M78" s="5">
        <f t="shared" si="18"/>
        <v>45537</v>
      </c>
      <c r="N78" s="4">
        <v>45609</v>
      </c>
      <c r="O78" s="19">
        <f t="shared" si="19"/>
        <v>-72</v>
      </c>
      <c r="P78" s="5">
        <f t="shared" si="20"/>
        <v>45552</v>
      </c>
      <c r="Q78" s="4">
        <v>45609</v>
      </c>
      <c r="R78" s="19">
        <f t="shared" si="21"/>
        <v>-57</v>
      </c>
      <c r="S78" s="5">
        <f t="shared" si="22"/>
        <v>45557</v>
      </c>
      <c r="T78" s="4">
        <v>45609</v>
      </c>
      <c r="U78" s="19">
        <f t="shared" si="23"/>
        <v>-52</v>
      </c>
      <c r="V78" s="5">
        <f t="shared" si="24"/>
        <v>45596</v>
      </c>
      <c r="W78" s="4">
        <v>45618</v>
      </c>
      <c r="X78" s="19">
        <f t="shared" si="25"/>
        <v>-22</v>
      </c>
      <c r="Y78" s="51">
        <f t="shared" si="26"/>
        <v>45621</v>
      </c>
      <c r="Z78" s="4">
        <v>45618</v>
      </c>
      <c r="AA78" s="49">
        <f t="shared" si="27"/>
        <v>3</v>
      </c>
      <c r="AB78" s="51">
        <f t="shared" si="28"/>
        <v>45626</v>
      </c>
      <c r="AC78" s="49">
        <f t="shared" si="29"/>
        <v>8</v>
      </c>
      <c r="AD78" s="43">
        <f t="shared" si="30"/>
        <v>45626</v>
      </c>
      <c r="AE78" s="4">
        <v>45618</v>
      </c>
      <c r="AF78" s="19">
        <f t="shared" si="31"/>
        <v>8</v>
      </c>
      <c r="AG78" s="10"/>
      <c r="AH78" s="1"/>
      <c r="AI78" s="1"/>
      <c r="AJ78" s="1"/>
      <c r="AK78" s="1"/>
      <c r="AL78" s="1"/>
    </row>
    <row r="79" spans="1:38" ht="14.45">
      <c r="A79" s="156">
        <v>78</v>
      </c>
      <c r="B79" s="53">
        <v>45626</v>
      </c>
      <c r="C79" s="79" t="s">
        <v>182</v>
      </c>
      <c r="D79" s="29" t="s">
        <v>183</v>
      </c>
      <c r="E79" s="30">
        <v>49822.8</v>
      </c>
      <c r="F79" s="3" t="s">
        <v>184</v>
      </c>
      <c r="G79" s="29" t="s">
        <v>51</v>
      </c>
      <c r="H79" s="29" t="s">
        <v>40</v>
      </c>
      <c r="I79" s="29" t="s">
        <v>52</v>
      </c>
      <c r="J79" s="97">
        <f t="shared" si="16"/>
        <v>45526</v>
      </c>
      <c r="L79" s="19" t="str">
        <f t="shared" si="17"/>
        <v/>
      </c>
      <c r="M79" s="5">
        <f t="shared" si="18"/>
        <v>45537</v>
      </c>
      <c r="N79" s="4">
        <v>45609</v>
      </c>
      <c r="O79" s="19">
        <f t="shared" si="19"/>
        <v>-72</v>
      </c>
      <c r="P79" s="5">
        <f t="shared" si="20"/>
        <v>45552</v>
      </c>
      <c r="Q79" s="4">
        <v>45609</v>
      </c>
      <c r="R79" s="19">
        <f t="shared" si="21"/>
        <v>-57</v>
      </c>
      <c r="S79" s="5">
        <f t="shared" si="22"/>
        <v>45557</v>
      </c>
      <c r="T79" s="4">
        <v>45609</v>
      </c>
      <c r="U79" s="19">
        <f t="shared" si="23"/>
        <v>-52</v>
      </c>
      <c r="V79" s="5">
        <f t="shared" si="24"/>
        <v>45596</v>
      </c>
      <c r="W79" s="4">
        <v>45618</v>
      </c>
      <c r="X79" s="19">
        <f t="shared" si="25"/>
        <v>-22</v>
      </c>
      <c r="Y79" s="51">
        <f t="shared" si="26"/>
        <v>45621</v>
      </c>
      <c r="Z79" s="4">
        <v>45618</v>
      </c>
      <c r="AA79" s="49">
        <f t="shared" si="27"/>
        <v>3</v>
      </c>
      <c r="AB79" s="51">
        <f t="shared" si="28"/>
        <v>45626</v>
      </c>
      <c r="AC79" s="49">
        <f t="shared" si="29"/>
        <v>8</v>
      </c>
      <c r="AD79" s="43">
        <f t="shared" si="30"/>
        <v>45626</v>
      </c>
      <c r="AE79" s="4">
        <v>45618</v>
      </c>
      <c r="AF79" s="19">
        <f t="shared" si="31"/>
        <v>8</v>
      </c>
      <c r="AG79" s="10"/>
      <c r="AH79" s="1"/>
      <c r="AI79" s="1"/>
      <c r="AJ79" s="1"/>
      <c r="AK79" s="1"/>
      <c r="AL79" s="1"/>
    </row>
    <row r="80" spans="1:38" ht="14.45">
      <c r="A80" s="156">
        <v>79</v>
      </c>
      <c r="B80" s="54">
        <v>45632</v>
      </c>
      <c r="C80" s="80" t="s">
        <v>185</v>
      </c>
      <c r="D80" s="12" t="s">
        <v>64</v>
      </c>
      <c r="E80" s="13">
        <v>351.89</v>
      </c>
      <c r="F80" s="14" t="s">
        <v>186</v>
      </c>
      <c r="G80" s="12" t="s">
        <v>51</v>
      </c>
      <c r="H80" s="12" t="s">
        <v>40</v>
      </c>
      <c r="I80" s="12" t="s">
        <v>62</v>
      </c>
      <c r="J80" s="97">
        <f t="shared" si="16"/>
        <v>45532</v>
      </c>
      <c r="L80" s="19" t="str">
        <f t="shared" si="17"/>
        <v/>
      </c>
      <c r="M80" s="5">
        <f t="shared" si="18"/>
        <v>45543</v>
      </c>
      <c r="O80" s="19" t="str">
        <f t="shared" si="19"/>
        <v/>
      </c>
      <c r="P80" s="5">
        <f t="shared" si="20"/>
        <v>45558</v>
      </c>
      <c r="R80" s="19" t="str">
        <f t="shared" si="21"/>
        <v/>
      </c>
      <c r="S80" s="5">
        <f t="shared" si="22"/>
        <v>45563</v>
      </c>
      <c r="U80" s="19" t="str">
        <f t="shared" si="23"/>
        <v/>
      </c>
      <c r="V80" s="5">
        <f t="shared" si="24"/>
        <v>45602</v>
      </c>
      <c r="X80" s="19" t="str">
        <f t="shared" si="25"/>
        <v/>
      </c>
      <c r="Y80" s="51">
        <f t="shared" si="26"/>
        <v>45627</v>
      </c>
      <c r="AA80" s="49" t="str">
        <f t="shared" si="27"/>
        <v/>
      </c>
      <c r="AB80" s="51">
        <f t="shared" si="28"/>
        <v>45632</v>
      </c>
      <c r="AC80" s="49" t="str">
        <f t="shared" si="29"/>
        <v/>
      </c>
      <c r="AD80" s="43">
        <f t="shared" si="30"/>
        <v>45632</v>
      </c>
      <c r="AF80" s="19" t="str">
        <f t="shared" si="31"/>
        <v/>
      </c>
      <c r="AG80" s="10"/>
      <c r="AH80" s="1"/>
      <c r="AI80" s="1"/>
      <c r="AJ80" s="1"/>
      <c r="AK80" s="1"/>
      <c r="AL80" s="1"/>
    </row>
    <row r="81" spans="1:38" ht="14.45">
      <c r="A81" s="156">
        <v>80</v>
      </c>
      <c r="B81" s="54">
        <v>45633</v>
      </c>
      <c r="C81" s="80"/>
      <c r="D81" s="12" t="s">
        <v>187</v>
      </c>
      <c r="E81" s="13">
        <v>701</v>
      </c>
      <c r="F81" s="14" t="s">
        <v>188</v>
      </c>
      <c r="G81" s="12" t="s">
        <v>35</v>
      </c>
      <c r="H81" s="12" t="s">
        <v>40</v>
      </c>
      <c r="I81" s="12" t="s">
        <v>93</v>
      </c>
      <c r="J81" s="97">
        <f t="shared" si="16"/>
        <v>45533</v>
      </c>
      <c r="L81" s="19" t="str">
        <f t="shared" si="17"/>
        <v/>
      </c>
      <c r="M81" s="5">
        <f t="shared" si="18"/>
        <v>45544</v>
      </c>
      <c r="O81" s="19" t="str">
        <f t="shared" si="19"/>
        <v/>
      </c>
      <c r="P81" s="5">
        <f t="shared" si="20"/>
        <v>45559</v>
      </c>
      <c r="R81" s="19" t="str">
        <f t="shared" si="21"/>
        <v/>
      </c>
      <c r="S81" s="5">
        <f t="shared" si="22"/>
        <v>45564</v>
      </c>
      <c r="U81" s="19" t="str">
        <f t="shared" si="23"/>
        <v/>
      </c>
      <c r="V81" s="5">
        <f t="shared" si="24"/>
        <v>45603</v>
      </c>
      <c r="X81" s="19" t="str">
        <f t="shared" si="25"/>
        <v/>
      </c>
      <c r="Y81" s="51">
        <f t="shared" si="26"/>
        <v>45628</v>
      </c>
      <c r="AA81" s="49" t="str">
        <f t="shared" si="27"/>
        <v/>
      </c>
      <c r="AB81" s="51">
        <f t="shared" si="28"/>
        <v>45633</v>
      </c>
      <c r="AC81" s="49" t="str">
        <f t="shared" si="29"/>
        <v/>
      </c>
      <c r="AD81" s="43">
        <f t="shared" si="30"/>
        <v>45633</v>
      </c>
      <c r="AF81" s="19" t="str">
        <f t="shared" si="31"/>
        <v/>
      </c>
      <c r="AG81" s="10"/>
      <c r="AH81" s="1"/>
      <c r="AI81" s="1"/>
      <c r="AJ81" s="1"/>
      <c r="AK81" s="1"/>
      <c r="AL81" s="1"/>
    </row>
    <row r="82" spans="1:38" ht="14.45">
      <c r="A82" s="156">
        <v>81</v>
      </c>
      <c r="B82" s="54">
        <v>45633</v>
      </c>
      <c r="C82" s="39" t="s">
        <v>189</v>
      </c>
      <c r="D82" s="12" t="s">
        <v>38</v>
      </c>
      <c r="E82" s="13">
        <v>39.729999999999997</v>
      </c>
      <c r="F82" s="12" t="s">
        <v>58</v>
      </c>
      <c r="G82" s="12" t="s">
        <v>190</v>
      </c>
      <c r="H82" s="12" t="s">
        <v>40</v>
      </c>
      <c r="I82" s="12" t="s">
        <v>41</v>
      </c>
      <c r="J82" s="97">
        <f t="shared" si="16"/>
        <v>45533</v>
      </c>
      <c r="L82" s="19" t="str">
        <f t="shared" si="17"/>
        <v/>
      </c>
      <c r="M82" s="5">
        <f t="shared" si="18"/>
        <v>45544</v>
      </c>
      <c r="O82" s="19" t="str">
        <f t="shared" si="19"/>
        <v/>
      </c>
      <c r="P82" s="5">
        <f t="shared" si="20"/>
        <v>45559</v>
      </c>
      <c r="R82" s="19" t="str">
        <f t="shared" si="21"/>
        <v/>
      </c>
      <c r="S82" s="5">
        <f t="shared" si="22"/>
        <v>45564</v>
      </c>
      <c r="T82" s="4">
        <v>45621</v>
      </c>
      <c r="U82" s="19">
        <f t="shared" si="23"/>
        <v>-57</v>
      </c>
      <c r="V82" s="5">
        <f t="shared" si="24"/>
        <v>45603</v>
      </c>
      <c r="W82" s="4">
        <v>45621</v>
      </c>
      <c r="X82" s="19">
        <f t="shared" si="25"/>
        <v>-18</v>
      </c>
      <c r="Y82" s="51">
        <f t="shared" si="26"/>
        <v>45628</v>
      </c>
      <c r="Z82" s="4">
        <v>45629</v>
      </c>
      <c r="AA82" s="49">
        <f t="shared" si="27"/>
        <v>-1</v>
      </c>
      <c r="AB82" s="51">
        <f t="shared" si="28"/>
        <v>45633</v>
      </c>
      <c r="AC82" s="49">
        <f t="shared" si="29"/>
        <v>4</v>
      </c>
      <c r="AD82" s="43">
        <f t="shared" si="30"/>
        <v>45633</v>
      </c>
      <c r="AE82" s="4">
        <v>45629</v>
      </c>
      <c r="AF82" s="19">
        <f t="shared" si="31"/>
        <v>4</v>
      </c>
      <c r="AG82" s="10"/>
      <c r="AH82" s="1"/>
      <c r="AI82" s="1"/>
      <c r="AJ82" s="1"/>
      <c r="AK82" s="1"/>
      <c r="AL82" s="1"/>
    </row>
    <row r="83" spans="1:38" ht="14.45">
      <c r="A83" s="156">
        <v>82</v>
      </c>
      <c r="B83" s="55">
        <v>45633</v>
      </c>
      <c r="C83" s="33" t="s">
        <v>191</v>
      </c>
      <c r="D83" s="14" t="s">
        <v>148</v>
      </c>
      <c r="E83" s="15">
        <v>602.63</v>
      </c>
      <c r="F83" s="14" t="s">
        <v>192</v>
      </c>
      <c r="G83" s="14" t="s">
        <v>51</v>
      </c>
      <c r="H83" s="14" t="s">
        <v>40</v>
      </c>
      <c r="I83" s="14" t="s">
        <v>62</v>
      </c>
      <c r="J83" s="97">
        <f t="shared" si="16"/>
        <v>45533</v>
      </c>
      <c r="L83" s="19" t="str">
        <f t="shared" si="17"/>
        <v/>
      </c>
      <c r="M83" s="5">
        <f t="shared" si="18"/>
        <v>45544</v>
      </c>
      <c r="O83" s="19" t="str">
        <f t="shared" si="19"/>
        <v/>
      </c>
      <c r="P83" s="5">
        <f t="shared" si="20"/>
        <v>45559</v>
      </c>
      <c r="R83" s="19" t="str">
        <f t="shared" si="21"/>
        <v/>
      </c>
      <c r="S83" s="5">
        <f t="shared" si="22"/>
        <v>45564</v>
      </c>
      <c r="U83" s="19" t="str">
        <f t="shared" si="23"/>
        <v/>
      </c>
      <c r="V83" s="5">
        <f t="shared" si="24"/>
        <v>45603</v>
      </c>
      <c r="X83" s="19" t="str">
        <f t="shared" si="25"/>
        <v/>
      </c>
      <c r="Y83" s="51">
        <f t="shared" si="26"/>
        <v>45628</v>
      </c>
      <c r="AA83" s="49" t="str">
        <f t="shared" si="27"/>
        <v/>
      </c>
      <c r="AB83" s="51">
        <f t="shared" si="28"/>
        <v>45633</v>
      </c>
      <c r="AC83" s="49" t="str">
        <f t="shared" si="29"/>
        <v/>
      </c>
      <c r="AD83" s="43">
        <f t="shared" si="30"/>
        <v>45633</v>
      </c>
      <c r="AF83" s="19" t="str">
        <f t="shared" si="31"/>
        <v/>
      </c>
      <c r="AG83" s="10"/>
      <c r="AH83" s="1"/>
      <c r="AI83" s="1"/>
      <c r="AJ83" s="1"/>
      <c r="AK83" s="1"/>
      <c r="AL83" s="1"/>
    </row>
    <row r="84" spans="1:38" ht="14.45">
      <c r="A84" s="156">
        <v>83</v>
      </c>
      <c r="B84" s="55">
        <v>45635</v>
      </c>
      <c r="C84" s="32" t="s">
        <v>143</v>
      </c>
      <c r="D84" s="14" t="s">
        <v>77</v>
      </c>
      <c r="E84" s="15">
        <v>15098.82</v>
      </c>
      <c r="F84" s="14" t="s">
        <v>144</v>
      </c>
      <c r="G84" s="14" t="s">
        <v>51</v>
      </c>
      <c r="H84" s="14" t="s">
        <v>40</v>
      </c>
      <c r="I84" s="14" t="s">
        <v>52</v>
      </c>
      <c r="J84" s="97">
        <f t="shared" si="16"/>
        <v>45535</v>
      </c>
      <c r="L84" s="19" t="str">
        <f t="shared" si="17"/>
        <v/>
      </c>
      <c r="M84" s="5">
        <f t="shared" si="18"/>
        <v>45546</v>
      </c>
      <c r="O84" s="19" t="str">
        <f t="shared" si="19"/>
        <v/>
      </c>
      <c r="P84" s="5">
        <f t="shared" si="20"/>
        <v>45561</v>
      </c>
      <c r="R84" s="19" t="str">
        <f t="shared" si="21"/>
        <v/>
      </c>
      <c r="S84" s="5">
        <f t="shared" si="22"/>
        <v>45566</v>
      </c>
      <c r="U84" s="19" t="str">
        <f t="shared" si="23"/>
        <v/>
      </c>
      <c r="V84" s="5">
        <f t="shared" si="24"/>
        <v>45605</v>
      </c>
      <c r="X84" s="19" t="str">
        <f t="shared" si="25"/>
        <v/>
      </c>
      <c r="Y84" s="51">
        <f t="shared" si="26"/>
        <v>45630</v>
      </c>
      <c r="Z84" s="4">
        <v>45649</v>
      </c>
      <c r="AA84" s="49">
        <f t="shared" si="27"/>
        <v>-19</v>
      </c>
      <c r="AB84" s="51">
        <f t="shared" si="28"/>
        <v>45635</v>
      </c>
      <c r="AC84" s="49">
        <f t="shared" si="29"/>
        <v>-14</v>
      </c>
      <c r="AD84" s="43">
        <f t="shared" si="30"/>
        <v>45635</v>
      </c>
      <c r="AE84" s="4">
        <v>45649</v>
      </c>
      <c r="AF84" s="19">
        <f t="shared" si="31"/>
        <v>-14</v>
      </c>
      <c r="AG84" s="10"/>
      <c r="AH84" s="1"/>
      <c r="AI84" s="1"/>
      <c r="AJ84" s="1"/>
      <c r="AK84" s="1"/>
      <c r="AL84" s="1"/>
    </row>
    <row r="85" spans="1:38" ht="14.45">
      <c r="A85" s="156">
        <v>84</v>
      </c>
      <c r="B85" s="55">
        <v>45635</v>
      </c>
      <c r="C85" s="39" t="s">
        <v>193</v>
      </c>
      <c r="D85" s="14" t="s">
        <v>38</v>
      </c>
      <c r="E85" s="15">
        <v>65.98</v>
      </c>
      <c r="F85" s="14" t="s">
        <v>72</v>
      </c>
      <c r="G85" s="14" t="s">
        <v>190</v>
      </c>
      <c r="H85" s="14" t="s">
        <v>40</v>
      </c>
      <c r="I85" s="14" t="s">
        <v>41</v>
      </c>
      <c r="J85" s="97">
        <f t="shared" si="16"/>
        <v>45535</v>
      </c>
      <c r="L85" s="19" t="str">
        <f t="shared" si="17"/>
        <v/>
      </c>
      <c r="M85" s="5">
        <f t="shared" si="18"/>
        <v>45546</v>
      </c>
      <c r="O85" s="19" t="str">
        <f t="shared" si="19"/>
        <v/>
      </c>
      <c r="P85" s="5">
        <f t="shared" si="20"/>
        <v>45561</v>
      </c>
      <c r="Q85" s="4">
        <v>45631</v>
      </c>
      <c r="R85" s="19">
        <f t="shared" si="21"/>
        <v>-70</v>
      </c>
      <c r="S85" s="5">
        <f t="shared" si="22"/>
        <v>45566</v>
      </c>
      <c r="T85" s="4">
        <v>45621</v>
      </c>
      <c r="U85" s="19">
        <f t="shared" si="23"/>
        <v>-55</v>
      </c>
      <c r="V85" s="5">
        <f t="shared" si="24"/>
        <v>45605</v>
      </c>
      <c r="W85" s="4">
        <v>45666</v>
      </c>
      <c r="X85" s="19">
        <f t="shared" si="25"/>
        <v>-61</v>
      </c>
      <c r="Y85" s="51">
        <f t="shared" si="26"/>
        <v>45630</v>
      </c>
      <c r="Z85" s="4">
        <v>45666</v>
      </c>
      <c r="AA85" s="49">
        <f t="shared" si="27"/>
        <v>-36</v>
      </c>
      <c r="AB85" s="51">
        <f t="shared" si="28"/>
        <v>45635</v>
      </c>
      <c r="AC85" s="49">
        <f t="shared" si="29"/>
        <v>-31</v>
      </c>
      <c r="AD85" s="43">
        <f t="shared" si="30"/>
        <v>45635</v>
      </c>
      <c r="AE85" s="4">
        <v>45666</v>
      </c>
      <c r="AF85" s="19">
        <f t="shared" si="31"/>
        <v>-31</v>
      </c>
      <c r="AG85" s="10"/>
      <c r="AH85" s="1"/>
      <c r="AI85" s="1"/>
      <c r="AJ85" s="1"/>
      <c r="AK85" s="1"/>
      <c r="AL85" s="1"/>
    </row>
    <row r="86" spans="1:38" ht="14.45">
      <c r="A86" s="156">
        <v>85</v>
      </c>
      <c r="B86" s="55">
        <v>45638</v>
      </c>
      <c r="C86" s="32" t="s">
        <v>104</v>
      </c>
      <c r="D86" s="14" t="s">
        <v>194</v>
      </c>
      <c r="E86" s="15">
        <v>1883.28</v>
      </c>
      <c r="F86" s="14" t="s">
        <v>195</v>
      </c>
      <c r="G86" s="14" t="s">
        <v>51</v>
      </c>
      <c r="H86" s="14" t="s">
        <v>40</v>
      </c>
      <c r="I86" s="14" t="s">
        <v>62</v>
      </c>
      <c r="J86" s="97">
        <f t="shared" si="16"/>
        <v>45538</v>
      </c>
      <c r="L86" s="19" t="str">
        <f t="shared" si="17"/>
        <v/>
      </c>
      <c r="M86" s="5">
        <f t="shared" si="18"/>
        <v>45549</v>
      </c>
      <c r="O86" s="19" t="str">
        <f t="shared" si="19"/>
        <v/>
      </c>
      <c r="P86" s="5">
        <f t="shared" si="20"/>
        <v>45564</v>
      </c>
      <c r="R86" s="19" t="str">
        <f t="shared" si="21"/>
        <v/>
      </c>
      <c r="S86" s="5">
        <f t="shared" si="22"/>
        <v>45569</v>
      </c>
      <c r="U86" s="19" t="str">
        <f t="shared" si="23"/>
        <v/>
      </c>
      <c r="V86" s="5">
        <f t="shared" si="24"/>
        <v>45608</v>
      </c>
      <c r="X86" s="19" t="str">
        <f t="shared" si="25"/>
        <v/>
      </c>
      <c r="Y86" s="51">
        <f t="shared" si="26"/>
        <v>45633</v>
      </c>
      <c r="AA86" s="49" t="str">
        <f t="shared" si="27"/>
        <v/>
      </c>
      <c r="AB86" s="51">
        <f t="shared" si="28"/>
        <v>45638</v>
      </c>
      <c r="AC86" s="49" t="str">
        <f t="shared" si="29"/>
        <v/>
      </c>
      <c r="AD86" s="43">
        <f t="shared" si="30"/>
        <v>45638</v>
      </c>
      <c r="AF86" s="19" t="str">
        <f t="shared" si="31"/>
        <v/>
      </c>
      <c r="AG86" s="10"/>
      <c r="AH86" s="1"/>
      <c r="AI86" s="1"/>
      <c r="AJ86" s="1"/>
      <c r="AK86" s="1"/>
      <c r="AL86" s="1"/>
    </row>
    <row r="87" spans="1:38" ht="14.45">
      <c r="A87" s="156">
        <v>86</v>
      </c>
      <c r="B87" s="55">
        <v>45640</v>
      </c>
      <c r="C87" s="33" t="s">
        <v>196</v>
      </c>
      <c r="D87" s="14" t="s">
        <v>64</v>
      </c>
      <c r="E87" s="15">
        <v>502.02</v>
      </c>
      <c r="F87" s="14" t="s">
        <v>197</v>
      </c>
      <c r="G87" s="14" t="s">
        <v>51</v>
      </c>
      <c r="H87" s="14" t="s">
        <v>40</v>
      </c>
      <c r="I87" s="14" t="s">
        <v>62</v>
      </c>
      <c r="J87" s="97">
        <f t="shared" si="16"/>
        <v>45540</v>
      </c>
      <c r="L87" s="19" t="str">
        <f t="shared" si="17"/>
        <v/>
      </c>
      <c r="M87" s="5">
        <f t="shared" si="18"/>
        <v>45551</v>
      </c>
      <c r="O87" s="19" t="str">
        <f t="shared" si="19"/>
        <v/>
      </c>
      <c r="P87" s="5">
        <f t="shared" si="20"/>
        <v>45566</v>
      </c>
      <c r="R87" s="19" t="str">
        <f t="shared" si="21"/>
        <v/>
      </c>
      <c r="S87" s="5">
        <f t="shared" si="22"/>
        <v>45571</v>
      </c>
      <c r="U87" s="19" t="str">
        <f t="shared" si="23"/>
        <v/>
      </c>
      <c r="V87" s="5">
        <f t="shared" si="24"/>
        <v>45610</v>
      </c>
      <c r="X87" s="19" t="str">
        <f t="shared" si="25"/>
        <v/>
      </c>
      <c r="Y87" s="51">
        <f t="shared" si="26"/>
        <v>45635</v>
      </c>
      <c r="AA87" s="49" t="str">
        <f t="shared" si="27"/>
        <v/>
      </c>
      <c r="AB87" s="51">
        <f t="shared" si="28"/>
        <v>45640</v>
      </c>
      <c r="AC87" s="49" t="str">
        <f t="shared" si="29"/>
        <v/>
      </c>
      <c r="AD87" s="43">
        <f t="shared" si="30"/>
        <v>45640</v>
      </c>
      <c r="AF87" s="19" t="str">
        <f t="shared" si="31"/>
        <v/>
      </c>
      <c r="AG87" s="10"/>
      <c r="AH87" s="1"/>
      <c r="AI87" s="1"/>
      <c r="AJ87" s="1"/>
      <c r="AK87" s="1"/>
      <c r="AL87" s="1"/>
    </row>
    <row r="88" spans="1:38" ht="14.45">
      <c r="A88" s="156">
        <v>87</v>
      </c>
      <c r="B88" s="55">
        <v>45641</v>
      </c>
      <c r="C88" s="33" t="s">
        <v>198</v>
      </c>
      <c r="D88" s="14" t="s">
        <v>77</v>
      </c>
      <c r="E88" s="15">
        <v>531.98</v>
      </c>
      <c r="F88" s="14" t="s">
        <v>199</v>
      </c>
      <c r="G88" s="14" t="s">
        <v>51</v>
      </c>
      <c r="H88" s="14" t="s">
        <v>40</v>
      </c>
      <c r="I88" s="14" t="s">
        <v>52</v>
      </c>
      <c r="J88" s="97">
        <f t="shared" si="16"/>
        <v>45541</v>
      </c>
      <c r="L88" s="19" t="str">
        <f t="shared" si="17"/>
        <v/>
      </c>
      <c r="M88" s="5">
        <f t="shared" si="18"/>
        <v>45552</v>
      </c>
      <c r="O88" s="19" t="str">
        <f t="shared" si="19"/>
        <v/>
      </c>
      <c r="P88" s="5">
        <f t="shared" si="20"/>
        <v>45567</v>
      </c>
      <c r="R88" s="19" t="str">
        <f t="shared" si="21"/>
        <v/>
      </c>
      <c r="S88" s="5">
        <f t="shared" si="22"/>
        <v>45572</v>
      </c>
      <c r="U88" s="19" t="str">
        <f t="shared" si="23"/>
        <v/>
      </c>
      <c r="V88" s="5">
        <f t="shared" si="24"/>
        <v>45611</v>
      </c>
      <c r="X88" s="19" t="str">
        <f t="shared" si="25"/>
        <v/>
      </c>
      <c r="Y88" s="51">
        <f t="shared" si="26"/>
        <v>45636</v>
      </c>
      <c r="Z88" s="4">
        <v>45656</v>
      </c>
      <c r="AA88" s="49">
        <f t="shared" si="27"/>
        <v>-20</v>
      </c>
      <c r="AB88" s="51">
        <f t="shared" si="28"/>
        <v>45641</v>
      </c>
      <c r="AC88" s="49">
        <f t="shared" si="29"/>
        <v>-15</v>
      </c>
      <c r="AD88" s="43">
        <f t="shared" si="30"/>
        <v>45641</v>
      </c>
      <c r="AE88" s="4">
        <v>45656</v>
      </c>
      <c r="AF88" s="19">
        <f t="shared" si="31"/>
        <v>-15</v>
      </c>
      <c r="AG88" s="10"/>
      <c r="AH88" s="1"/>
      <c r="AI88" s="1"/>
      <c r="AJ88" s="1"/>
      <c r="AK88" s="1"/>
      <c r="AL88" s="1"/>
    </row>
    <row r="89" spans="1:38" ht="14.45">
      <c r="A89" s="156">
        <v>88</v>
      </c>
      <c r="B89" s="55">
        <v>45641</v>
      </c>
      <c r="C89" s="32" t="s">
        <v>55</v>
      </c>
      <c r="D89" s="14" t="s">
        <v>200</v>
      </c>
      <c r="E89" s="15">
        <v>288.08999999999997</v>
      </c>
      <c r="F89" s="14" t="s">
        <v>201</v>
      </c>
      <c r="G89" s="14" t="s">
        <v>51</v>
      </c>
      <c r="H89" s="14" t="s">
        <v>40</v>
      </c>
      <c r="I89" s="14" t="s">
        <v>62</v>
      </c>
      <c r="J89" s="97">
        <f t="shared" si="16"/>
        <v>45541</v>
      </c>
      <c r="L89" s="19" t="str">
        <f t="shared" si="17"/>
        <v/>
      </c>
      <c r="M89" s="5">
        <f t="shared" si="18"/>
        <v>45552</v>
      </c>
      <c r="O89" s="19" t="str">
        <f t="shared" si="19"/>
        <v/>
      </c>
      <c r="P89" s="5">
        <f t="shared" si="20"/>
        <v>45567</v>
      </c>
      <c r="R89" s="19" t="str">
        <f t="shared" si="21"/>
        <v/>
      </c>
      <c r="S89" s="5">
        <f t="shared" si="22"/>
        <v>45572</v>
      </c>
      <c r="U89" s="19" t="str">
        <f t="shared" si="23"/>
        <v/>
      </c>
      <c r="V89" s="5">
        <f t="shared" si="24"/>
        <v>45611</v>
      </c>
      <c r="X89" s="19" t="str">
        <f t="shared" si="25"/>
        <v/>
      </c>
      <c r="Y89" s="51">
        <f t="shared" si="26"/>
        <v>45636</v>
      </c>
      <c r="AA89" s="49" t="str">
        <f t="shared" si="27"/>
        <v/>
      </c>
      <c r="AB89" s="51">
        <f t="shared" si="28"/>
        <v>45641</v>
      </c>
      <c r="AC89" s="49" t="str">
        <f t="shared" si="29"/>
        <v/>
      </c>
      <c r="AD89" s="43">
        <f t="shared" si="30"/>
        <v>45641</v>
      </c>
      <c r="AF89" s="19" t="str">
        <f t="shared" si="31"/>
        <v/>
      </c>
      <c r="AG89" s="10"/>
      <c r="AH89" s="1"/>
      <c r="AI89" s="1"/>
      <c r="AJ89" s="1"/>
      <c r="AK89" s="1"/>
      <c r="AL89" s="1"/>
    </row>
    <row r="90" spans="1:38" ht="14.45">
      <c r="A90" s="156">
        <v>89</v>
      </c>
      <c r="B90" s="55">
        <v>45641</v>
      </c>
      <c r="C90" s="32" t="s">
        <v>48</v>
      </c>
      <c r="D90" s="14" t="s">
        <v>202</v>
      </c>
      <c r="E90" s="15">
        <v>361.33</v>
      </c>
      <c r="F90" s="14" t="s">
        <v>203</v>
      </c>
      <c r="G90" s="14" t="s">
        <v>51</v>
      </c>
      <c r="H90" s="14" t="s">
        <v>40</v>
      </c>
      <c r="I90" s="14" t="s">
        <v>62</v>
      </c>
      <c r="J90" s="97">
        <f t="shared" si="16"/>
        <v>45541</v>
      </c>
      <c r="L90" s="19" t="str">
        <f t="shared" si="17"/>
        <v/>
      </c>
      <c r="M90" s="5">
        <f t="shared" si="18"/>
        <v>45552</v>
      </c>
      <c r="O90" s="19" t="str">
        <f t="shared" si="19"/>
        <v/>
      </c>
      <c r="P90" s="5">
        <f t="shared" si="20"/>
        <v>45567</v>
      </c>
      <c r="R90" s="19" t="str">
        <f t="shared" si="21"/>
        <v/>
      </c>
      <c r="S90" s="5">
        <f t="shared" si="22"/>
        <v>45572</v>
      </c>
      <c r="U90" s="19" t="str">
        <f t="shared" si="23"/>
        <v/>
      </c>
      <c r="V90" s="5">
        <f t="shared" si="24"/>
        <v>45611</v>
      </c>
      <c r="X90" s="19" t="str">
        <f t="shared" si="25"/>
        <v/>
      </c>
      <c r="Y90" s="51">
        <f t="shared" si="26"/>
        <v>45636</v>
      </c>
      <c r="AA90" s="49" t="str">
        <f t="shared" si="27"/>
        <v/>
      </c>
      <c r="AB90" s="51">
        <f t="shared" si="28"/>
        <v>45641</v>
      </c>
      <c r="AC90" s="49" t="str">
        <f t="shared" si="29"/>
        <v/>
      </c>
      <c r="AD90" s="43">
        <f t="shared" si="30"/>
        <v>45641</v>
      </c>
      <c r="AF90" s="19" t="str">
        <f t="shared" si="31"/>
        <v/>
      </c>
      <c r="AG90" s="10"/>
      <c r="AH90" s="1"/>
      <c r="AI90" s="1"/>
      <c r="AJ90" s="1"/>
      <c r="AK90" s="1"/>
      <c r="AL90" s="1"/>
    </row>
    <row r="91" spans="1:38" ht="14.45">
      <c r="A91" s="156">
        <v>90</v>
      </c>
      <c r="B91" s="55">
        <v>45641</v>
      </c>
      <c r="C91" s="33" t="s">
        <v>204</v>
      </c>
      <c r="D91" s="14" t="s">
        <v>205</v>
      </c>
      <c r="E91" s="15">
        <v>418.1</v>
      </c>
      <c r="F91" s="14" t="s">
        <v>206</v>
      </c>
      <c r="G91" s="14" t="s">
        <v>51</v>
      </c>
      <c r="H91" s="14" t="s">
        <v>40</v>
      </c>
      <c r="I91" s="14" t="s">
        <v>62</v>
      </c>
      <c r="J91" s="97">
        <f t="shared" si="16"/>
        <v>45541</v>
      </c>
      <c r="L91" s="19" t="str">
        <f t="shared" si="17"/>
        <v/>
      </c>
      <c r="M91" s="5">
        <f t="shared" si="18"/>
        <v>45552</v>
      </c>
      <c r="O91" s="19" t="str">
        <f t="shared" si="19"/>
        <v/>
      </c>
      <c r="P91" s="5">
        <f t="shared" si="20"/>
        <v>45567</v>
      </c>
      <c r="R91" s="19" t="str">
        <f t="shared" si="21"/>
        <v/>
      </c>
      <c r="S91" s="5">
        <f t="shared" si="22"/>
        <v>45572</v>
      </c>
      <c r="U91" s="19" t="str">
        <f t="shared" si="23"/>
        <v/>
      </c>
      <c r="V91" s="5">
        <f t="shared" si="24"/>
        <v>45611</v>
      </c>
      <c r="X91" s="19" t="str">
        <f t="shared" si="25"/>
        <v/>
      </c>
      <c r="Y91" s="51">
        <f t="shared" si="26"/>
        <v>45636</v>
      </c>
      <c r="AA91" s="49" t="str">
        <f t="shared" si="27"/>
        <v/>
      </c>
      <c r="AB91" s="51">
        <f t="shared" si="28"/>
        <v>45641</v>
      </c>
      <c r="AC91" s="49" t="str">
        <f t="shared" si="29"/>
        <v/>
      </c>
      <c r="AD91" s="43">
        <f t="shared" si="30"/>
        <v>45641</v>
      </c>
      <c r="AF91" s="19" t="str">
        <f t="shared" si="31"/>
        <v/>
      </c>
      <c r="AG91" s="10"/>
      <c r="AH91" s="1"/>
      <c r="AI91" s="1"/>
      <c r="AJ91" s="1"/>
      <c r="AK91" s="1"/>
      <c r="AL91" s="1"/>
    </row>
    <row r="92" spans="1:38" ht="14.45">
      <c r="A92" s="156">
        <v>91</v>
      </c>
      <c r="B92" s="55">
        <v>45642</v>
      </c>
      <c r="C92" s="33"/>
      <c r="D92" s="14" t="s">
        <v>207</v>
      </c>
      <c r="E92" s="15">
        <v>129272.02</v>
      </c>
      <c r="F92" s="14" t="s">
        <v>208</v>
      </c>
      <c r="G92" s="14" t="s">
        <v>35</v>
      </c>
      <c r="H92" s="14" t="s">
        <v>40</v>
      </c>
      <c r="I92" s="14" t="s">
        <v>52</v>
      </c>
      <c r="J92" s="97">
        <f t="shared" si="16"/>
        <v>45542</v>
      </c>
      <c r="L92" s="19" t="str">
        <f t="shared" si="17"/>
        <v/>
      </c>
      <c r="M92" s="5">
        <f t="shared" si="18"/>
        <v>45553</v>
      </c>
      <c r="O92" s="19" t="str">
        <f t="shared" si="19"/>
        <v/>
      </c>
      <c r="P92" s="5">
        <f t="shared" si="20"/>
        <v>45568</v>
      </c>
      <c r="R92" s="19" t="str">
        <f t="shared" si="21"/>
        <v/>
      </c>
      <c r="S92" s="5">
        <f t="shared" si="22"/>
        <v>45573</v>
      </c>
      <c r="U92" s="19" t="str">
        <f t="shared" si="23"/>
        <v/>
      </c>
      <c r="V92" s="5">
        <f t="shared" si="24"/>
        <v>45612</v>
      </c>
      <c r="X92" s="19" t="str">
        <f t="shared" si="25"/>
        <v/>
      </c>
      <c r="Y92" s="51">
        <f t="shared" si="26"/>
        <v>45637</v>
      </c>
      <c r="AA92" s="49" t="str">
        <f t="shared" si="27"/>
        <v/>
      </c>
      <c r="AB92" s="51">
        <f t="shared" si="28"/>
        <v>45642</v>
      </c>
      <c r="AC92" s="49" t="str">
        <f t="shared" si="29"/>
        <v/>
      </c>
      <c r="AD92" s="43">
        <f t="shared" si="30"/>
        <v>45642</v>
      </c>
      <c r="AF92" s="19" t="str">
        <f t="shared" si="31"/>
        <v/>
      </c>
      <c r="AG92" s="10"/>
      <c r="AH92" s="1"/>
      <c r="AI92" s="1"/>
      <c r="AJ92" s="1"/>
      <c r="AK92" s="1"/>
      <c r="AL92" s="1"/>
    </row>
    <row r="93" spans="1:38" ht="14.45">
      <c r="A93" s="156">
        <v>92</v>
      </c>
      <c r="B93" s="55">
        <v>45642</v>
      </c>
      <c r="C93" s="33"/>
      <c r="D93" s="14" t="s">
        <v>207</v>
      </c>
      <c r="E93" s="15">
        <v>105768.01</v>
      </c>
      <c r="F93" s="14" t="s">
        <v>209</v>
      </c>
      <c r="G93" s="14" t="s">
        <v>35</v>
      </c>
      <c r="H93" s="14" t="s">
        <v>40</v>
      </c>
      <c r="I93" s="14" t="s">
        <v>52</v>
      </c>
      <c r="J93" s="97">
        <f t="shared" si="16"/>
        <v>45542</v>
      </c>
      <c r="L93" s="19" t="str">
        <f t="shared" si="17"/>
        <v/>
      </c>
      <c r="M93" s="5">
        <f t="shared" si="18"/>
        <v>45553</v>
      </c>
      <c r="O93" s="19" t="str">
        <f t="shared" si="19"/>
        <v/>
      </c>
      <c r="P93" s="5">
        <f t="shared" si="20"/>
        <v>45568</v>
      </c>
      <c r="R93" s="19" t="str">
        <f t="shared" si="21"/>
        <v/>
      </c>
      <c r="S93" s="5">
        <f t="shared" si="22"/>
        <v>45573</v>
      </c>
      <c r="U93" s="19" t="str">
        <f t="shared" si="23"/>
        <v/>
      </c>
      <c r="V93" s="5">
        <f t="shared" si="24"/>
        <v>45612</v>
      </c>
      <c r="X93" s="19" t="str">
        <f t="shared" si="25"/>
        <v/>
      </c>
      <c r="Y93" s="51">
        <f t="shared" si="26"/>
        <v>45637</v>
      </c>
      <c r="AA93" s="49" t="str">
        <f t="shared" si="27"/>
        <v/>
      </c>
      <c r="AB93" s="51">
        <f t="shared" si="28"/>
        <v>45642</v>
      </c>
      <c r="AC93" s="49" t="str">
        <f t="shared" si="29"/>
        <v/>
      </c>
      <c r="AD93" s="43">
        <f t="shared" si="30"/>
        <v>45642</v>
      </c>
      <c r="AF93" s="19" t="str">
        <f t="shared" si="31"/>
        <v/>
      </c>
      <c r="AG93" s="10"/>
      <c r="AH93" s="1"/>
      <c r="AI93" s="1"/>
      <c r="AJ93" s="1"/>
      <c r="AK93" s="1"/>
      <c r="AL93" s="1"/>
    </row>
    <row r="94" spans="1:38" ht="14.45">
      <c r="A94" s="156">
        <v>93</v>
      </c>
      <c r="B94" s="55">
        <v>45642</v>
      </c>
      <c r="C94" s="32" t="s">
        <v>79</v>
      </c>
      <c r="D94" s="14" t="s">
        <v>202</v>
      </c>
      <c r="E94" s="15">
        <v>808.93</v>
      </c>
      <c r="F94" s="14" t="s">
        <v>210</v>
      </c>
      <c r="G94" s="14" t="s">
        <v>51</v>
      </c>
      <c r="H94" s="14" t="s">
        <v>40</v>
      </c>
      <c r="I94" s="14" t="s">
        <v>62</v>
      </c>
      <c r="J94" s="97">
        <f t="shared" si="16"/>
        <v>45542</v>
      </c>
      <c r="L94" s="19" t="str">
        <f t="shared" si="17"/>
        <v/>
      </c>
      <c r="M94" s="5">
        <f t="shared" si="18"/>
        <v>45553</v>
      </c>
      <c r="O94" s="19" t="str">
        <f t="shared" si="19"/>
        <v/>
      </c>
      <c r="P94" s="5">
        <f t="shared" si="20"/>
        <v>45568</v>
      </c>
      <c r="R94" s="19" t="str">
        <f t="shared" si="21"/>
        <v/>
      </c>
      <c r="S94" s="5">
        <f t="shared" si="22"/>
        <v>45573</v>
      </c>
      <c r="U94" s="19" t="str">
        <f t="shared" si="23"/>
        <v/>
      </c>
      <c r="V94" s="5">
        <f t="shared" si="24"/>
        <v>45612</v>
      </c>
      <c r="X94" s="19" t="str">
        <f t="shared" si="25"/>
        <v/>
      </c>
      <c r="Y94" s="51">
        <f t="shared" si="26"/>
        <v>45637</v>
      </c>
      <c r="AA94" s="49" t="str">
        <f t="shared" si="27"/>
        <v/>
      </c>
      <c r="AB94" s="51">
        <f t="shared" si="28"/>
        <v>45642</v>
      </c>
      <c r="AC94" s="49" t="str">
        <f t="shared" si="29"/>
        <v/>
      </c>
      <c r="AD94" s="43">
        <f t="shared" si="30"/>
        <v>45642</v>
      </c>
      <c r="AF94" s="19" t="str">
        <f t="shared" si="31"/>
        <v/>
      </c>
      <c r="AG94" s="10"/>
      <c r="AH94" s="1"/>
      <c r="AI94" s="1"/>
      <c r="AJ94" s="1"/>
      <c r="AK94" s="1"/>
      <c r="AL94" s="1"/>
    </row>
    <row r="95" spans="1:38" ht="14.45">
      <c r="A95" s="156">
        <v>94</v>
      </c>
      <c r="B95" s="55">
        <v>45643</v>
      </c>
      <c r="C95" s="33"/>
      <c r="D95" s="14" t="s">
        <v>211</v>
      </c>
      <c r="E95" s="15">
        <v>182595.52</v>
      </c>
      <c r="F95" s="14" t="s">
        <v>212</v>
      </c>
      <c r="G95" s="14" t="s">
        <v>35</v>
      </c>
      <c r="H95" s="14" t="s">
        <v>36</v>
      </c>
      <c r="I95" s="14" t="s">
        <v>52</v>
      </c>
      <c r="J95" s="97">
        <f t="shared" si="16"/>
        <v>45543</v>
      </c>
      <c r="L95" s="19" t="str">
        <f t="shared" si="17"/>
        <v/>
      </c>
      <c r="M95" s="5">
        <f t="shared" si="18"/>
        <v>45554</v>
      </c>
      <c r="O95" s="19" t="str">
        <f t="shared" si="19"/>
        <v/>
      </c>
      <c r="P95" s="5">
        <f t="shared" si="20"/>
        <v>45569</v>
      </c>
      <c r="R95" s="19" t="str">
        <f t="shared" si="21"/>
        <v/>
      </c>
      <c r="S95" s="5">
        <f t="shared" si="22"/>
        <v>45574</v>
      </c>
      <c r="U95" s="19" t="str">
        <f t="shared" si="23"/>
        <v/>
      </c>
      <c r="V95" s="5">
        <f t="shared" si="24"/>
        <v>45613</v>
      </c>
      <c r="X95" s="19" t="str">
        <f t="shared" si="25"/>
        <v/>
      </c>
      <c r="Y95" s="51">
        <f t="shared" si="26"/>
        <v>45638</v>
      </c>
      <c r="AA95" s="49" t="str">
        <f t="shared" si="27"/>
        <v/>
      </c>
      <c r="AB95" s="51">
        <f t="shared" si="28"/>
        <v>45643</v>
      </c>
      <c r="AC95" s="49" t="str">
        <f t="shared" si="29"/>
        <v/>
      </c>
      <c r="AD95" s="43">
        <f t="shared" si="30"/>
        <v>45643</v>
      </c>
      <c r="AF95" s="19" t="str">
        <f t="shared" si="31"/>
        <v/>
      </c>
      <c r="AG95" s="10"/>
      <c r="AH95" s="1"/>
      <c r="AI95" s="1"/>
      <c r="AJ95" s="1"/>
      <c r="AK95" s="1"/>
      <c r="AL95" s="1"/>
    </row>
    <row r="96" spans="1:38" ht="14.45">
      <c r="A96" s="156">
        <v>95</v>
      </c>
      <c r="B96" s="55">
        <v>45643</v>
      </c>
      <c r="C96" s="32" t="s">
        <v>76</v>
      </c>
      <c r="D96" s="14" t="s">
        <v>213</v>
      </c>
      <c r="E96" s="15">
        <v>714.7</v>
      </c>
      <c r="F96" s="14" t="s">
        <v>214</v>
      </c>
      <c r="G96" s="14" t="s">
        <v>51</v>
      </c>
      <c r="H96" s="14" t="s">
        <v>40</v>
      </c>
      <c r="I96" s="14" t="s">
        <v>62</v>
      </c>
      <c r="J96" s="97">
        <f t="shared" si="16"/>
        <v>45543</v>
      </c>
      <c r="L96" s="19" t="str">
        <f t="shared" si="17"/>
        <v/>
      </c>
      <c r="M96" s="5">
        <f t="shared" si="18"/>
        <v>45554</v>
      </c>
      <c r="O96" s="19" t="str">
        <f t="shared" si="19"/>
        <v/>
      </c>
      <c r="P96" s="5">
        <f t="shared" si="20"/>
        <v>45569</v>
      </c>
      <c r="R96" s="19" t="str">
        <f t="shared" si="21"/>
        <v/>
      </c>
      <c r="S96" s="5">
        <f t="shared" si="22"/>
        <v>45574</v>
      </c>
      <c r="U96" s="19" t="str">
        <f t="shared" si="23"/>
        <v/>
      </c>
      <c r="V96" s="5">
        <f t="shared" si="24"/>
        <v>45613</v>
      </c>
      <c r="X96" s="19" t="str">
        <f t="shared" si="25"/>
        <v/>
      </c>
      <c r="Y96" s="51">
        <f t="shared" si="26"/>
        <v>45638</v>
      </c>
      <c r="AA96" s="49" t="str">
        <f t="shared" si="27"/>
        <v/>
      </c>
      <c r="AB96" s="51">
        <f t="shared" si="28"/>
        <v>45643</v>
      </c>
      <c r="AC96" s="49" t="str">
        <f t="shared" si="29"/>
        <v/>
      </c>
      <c r="AD96" s="43">
        <f t="shared" si="30"/>
        <v>45643</v>
      </c>
      <c r="AF96" s="19" t="str">
        <f t="shared" si="31"/>
        <v/>
      </c>
      <c r="AG96" s="10"/>
      <c r="AH96" s="1"/>
      <c r="AI96" s="1"/>
      <c r="AJ96" s="1"/>
      <c r="AK96" s="1"/>
      <c r="AL96" s="1"/>
    </row>
    <row r="97" spans="1:38" ht="14.45">
      <c r="A97" s="156">
        <v>96</v>
      </c>
      <c r="B97" s="55">
        <v>45645</v>
      </c>
      <c r="C97" s="33" t="s">
        <v>215</v>
      </c>
      <c r="D97" s="14" t="s">
        <v>216</v>
      </c>
      <c r="E97" s="15">
        <v>330.88</v>
      </c>
      <c r="F97" s="14" t="s">
        <v>217</v>
      </c>
      <c r="G97" s="14" t="s">
        <v>51</v>
      </c>
      <c r="H97" s="14" t="s">
        <v>40</v>
      </c>
      <c r="I97" s="14" t="s">
        <v>62</v>
      </c>
      <c r="J97" s="97">
        <f t="shared" si="16"/>
        <v>45545</v>
      </c>
      <c r="L97" s="19" t="str">
        <f t="shared" si="17"/>
        <v/>
      </c>
      <c r="M97" s="5">
        <f t="shared" si="18"/>
        <v>45556</v>
      </c>
      <c r="O97" s="19" t="str">
        <f t="shared" si="19"/>
        <v/>
      </c>
      <c r="P97" s="5">
        <f t="shared" si="20"/>
        <v>45571</v>
      </c>
      <c r="R97" s="19" t="str">
        <f t="shared" si="21"/>
        <v/>
      </c>
      <c r="S97" s="5">
        <f t="shared" si="22"/>
        <v>45576</v>
      </c>
      <c r="U97" s="19" t="str">
        <f t="shared" si="23"/>
        <v/>
      </c>
      <c r="V97" s="5">
        <f t="shared" si="24"/>
        <v>45615</v>
      </c>
      <c r="X97" s="19" t="str">
        <f t="shared" si="25"/>
        <v/>
      </c>
      <c r="Y97" s="51">
        <f t="shared" si="26"/>
        <v>45640</v>
      </c>
      <c r="AA97" s="49" t="str">
        <f t="shared" si="27"/>
        <v/>
      </c>
      <c r="AB97" s="51">
        <f t="shared" si="28"/>
        <v>45645</v>
      </c>
      <c r="AC97" s="49" t="str">
        <f t="shared" si="29"/>
        <v/>
      </c>
      <c r="AD97" s="43">
        <f t="shared" si="30"/>
        <v>45645</v>
      </c>
      <c r="AF97" s="19" t="str">
        <f t="shared" si="31"/>
        <v/>
      </c>
      <c r="AG97" s="10"/>
      <c r="AH97" s="1"/>
      <c r="AI97" s="1"/>
      <c r="AJ97" s="1"/>
      <c r="AK97" s="1"/>
      <c r="AL97" s="1"/>
    </row>
    <row r="98" spans="1:38" ht="14.45">
      <c r="A98" s="156">
        <v>97</v>
      </c>
      <c r="B98" s="55">
        <v>45646</v>
      </c>
      <c r="C98" s="33"/>
      <c r="D98" s="14" t="s">
        <v>218</v>
      </c>
      <c r="E98" s="15">
        <v>32424</v>
      </c>
      <c r="F98" s="14" t="s">
        <v>219</v>
      </c>
      <c r="G98" s="10" t="s">
        <v>120</v>
      </c>
      <c r="H98" s="14" t="s">
        <v>40</v>
      </c>
      <c r="I98" s="14" t="s">
        <v>93</v>
      </c>
      <c r="J98" s="97">
        <f t="shared" si="16"/>
        <v>45546</v>
      </c>
      <c r="K98" s="4">
        <v>45625</v>
      </c>
      <c r="L98" s="19">
        <f t="shared" si="17"/>
        <v>-79</v>
      </c>
      <c r="M98" s="5">
        <f t="shared" si="18"/>
        <v>45557</v>
      </c>
      <c r="O98" s="19" t="str">
        <f t="shared" si="19"/>
        <v/>
      </c>
      <c r="P98" s="5">
        <f t="shared" si="20"/>
        <v>45572</v>
      </c>
      <c r="R98" s="19" t="str">
        <f t="shared" si="21"/>
        <v/>
      </c>
      <c r="S98" s="5">
        <f t="shared" si="22"/>
        <v>45577</v>
      </c>
      <c r="T98" s="4">
        <v>45623</v>
      </c>
      <c r="U98" s="19">
        <f t="shared" si="23"/>
        <v>-46</v>
      </c>
      <c r="V98" s="5">
        <f t="shared" si="24"/>
        <v>45616</v>
      </c>
      <c r="W98" s="4">
        <v>45424</v>
      </c>
      <c r="X98" s="19">
        <f t="shared" si="25"/>
        <v>192</v>
      </c>
      <c r="Y98" s="51">
        <f t="shared" si="26"/>
        <v>45641</v>
      </c>
      <c r="AA98" s="49" t="str">
        <f t="shared" si="27"/>
        <v/>
      </c>
      <c r="AB98" s="51">
        <f t="shared" si="28"/>
        <v>45646</v>
      </c>
      <c r="AC98" s="49" t="str">
        <f t="shared" si="29"/>
        <v/>
      </c>
      <c r="AD98" s="43">
        <f t="shared" si="30"/>
        <v>45646</v>
      </c>
      <c r="AF98" s="19" t="str">
        <f t="shared" si="31"/>
        <v/>
      </c>
      <c r="AG98" s="10"/>
      <c r="AH98" s="1"/>
      <c r="AI98" s="1"/>
      <c r="AJ98" s="1"/>
      <c r="AK98" s="1"/>
      <c r="AL98" s="1"/>
    </row>
    <row r="99" spans="1:38" ht="14.45">
      <c r="A99" s="156">
        <v>98</v>
      </c>
      <c r="B99" s="56">
        <v>45646</v>
      </c>
      <c r="C99" s="33"/>
      <c r="D99" s="14" t="s">
        <v>220</v>
      </c>
      <c r="E99" s="15">
        <v>48953.22</v>
      </c>
      <c r="F99" s="14" t="s">
        <v>221</v>
      </c>
      <c r="G99" s="14" t="s">
        <v>120</v>
      </c>
      <c r="H99" s="14" t="s">
        <v>40</v>
      </c>
      <c r="I99" s="14" t="s">
        <v>93</v>
      </c>
      <c r="J99" s="97">
        <f t="shared" si="16"/>
        <v>45546</v>
      </c>
      <c r="L99" s="19" t="str">
        <f t="shared" si="17"/>
        <v/>
      </c>
      <c r="M99" s="5">
        <f t="shared" si="18"/>
        <v>45557</v>
      </c>
      <c r="O99" s="19" t="str">
        <f t="shared" si="19"/>
        <v/>
      </c>
      <c r="P99" s="5">
        <f t="shared" si="20"/>
        <v>45572</v>
      </c>
      <c r="R99" s="19" t="str">
        <f t="shared" si="21"/>
        <v/>
      </c>
      <c r="S99" s="5">
        <f>B99-69</f>
        <v>45577</v>
      </c>
      <c r="U99" s="19" t="str">
        <f t="shared" si="23"/>
        <v/>
      </c>
      <c r="V99" s="5">
        <f t="shared" si="24"/>
        <v>45616</v>
      </c>
      <c r="X99" s="19" t="str">
        <f t="shared" si="25"/>
        <v/>
      </c>
      <c r="Y99" s="51">
        <f t="shared" si="26"/>
        <v>45641</v>
      </c>
      <c r="AA99" s="49" t="str">
        <f t="shared" si="27"/>
        <v/>
      </c>
      <c r="AB99" s="51">
        <f t="shared" si="28"/>
        <v>45646</v>
      </c>
      <c r="AC99" s="49" t="str">
        <f t="shared" si="29"/>
        <v/>
      </c>
      <c r="AD99" s="43">
        <f t="shared" si="30"/>
        <v>45646</v>
      </c>
      <c r="AF99" s="19" t="str">
        <f t="shared" si="31"/>
        <v/>
      </c>
      <c r="AG99" s="10"/>
      <c r="AH99" s="1"/>
      <c r="AI99" s="1"/>
      <c r="AJ99" s="1"/>
      <c r="AK99" s="1"/>
      <c r="AL99" s="1"/>
    </row>
    <row r="100" spans="1:38" ht="14.45">
      <c r="A100" s="156">
        <v>99</v>
      </c>
      <c r="B100" s="55">
        <v>45646</v>
      </c>
      <c r="C100" s="32" t="s">
        <v>55</v>
      </c>
      <c r="D100" s="14" t="s">
        <v>49</v>
      </c>
      <c r="E100" s="15">
        <v>597.99</v>
      </c>
      <c r="F100" s="14" t="s">
        <v>56</v>
      </c>
      <c r="G100" s="14" t="s">
        <v>51</v>
      </c>
      <c r="H100" s="14" t="s">
        <v>40</v>
      </c>
      <c r="I100" s="14" t="s">
        <v>52</v>
      </c>
      <c r="J100" s="97">
        <f t="shared" si="16"/>
        <v>45546</v>
      </c>
      <c r="L100" s="19" t="str">
        <f t="shared" si="17"/>
        <v/>
      </c>
      <c r="M100" s="5">
        <f t="shared" si="18"/>
        <v>45557</v>
      </c>
      <c r="O100" s="19" t="str">
        <f t="shared" si="19"/>
        <v/>
      </c>
      <c r="P100" s="5">
        <f t="shared" si="20"/>
        <v>45572</v>
      </c>
      <c r="R100" s="19" t="str">
        <f t="shared" si="21"/>
        <v/>
      </c>
      <c r="S100" s="5">
        <f t="shared" si="22"/>
        <v>45577</v>
      </c>
      <c r="U100" s="19" t="str">
        <f t="shared" si="23"/>
        <v/>
      </c>
      <c r="V100" s="5">
        <f t="shared" si="24"/>
        <v>45616</v>
      </c>
      <c r="X100" s="19" t="str">
        <f t="shared" si="25"/>
        <v/>
      </c>
      <c r="Y100" s="51">
        <f t="shared" si="26"/>
        <v>45641</v>
      </c>
      <c r="Z100" s="4">
        <v>45660</v>
      </c>
      <c r="AA100" s="49">
        <f t="shared" si="27"/>
        <v>-19</v>
      </c>
      <c r="AB100" s="51">
        <f t="shared" si="28"/>
        <v>45646</v>
      </c>
      <c r="AC100" s="49">
        <f t="shared" si="29"/>
        <v>-14</v>
      </c>
      <c r="AD100" s="43">
        <f t="shared" si="30"/>
        <v>45646</v>
      </c>
      <c r="AE100" s="4">
        <v>45660</v>
      </c>
      <c r="AF100" s="19">
        <f t="shared" si="31"/>
        <v>-14</v>
      </c>
      <c r="AG100" s="10"/>
      <c r="AH100" s="1"/>
      <c r="AI100" s="1"/>
      <c r="AJ100" s="1"/>
      <c r="AK100" s="1"/>
      <c r="AL100" s="1"/>
    </row>
    <row r="101" spans="1:38" ht="14.45">
      <c r="A101" s="156">
        <v>100</v>
      </c>
      <c r="B101" s="55">
        <v>45646</v>
      </c>
      <c r="C101" s="32" t="s">
        <v>48</v>
      </c>
      <c r="D101" s="14" t="s">
        <v>49</v>
      </c>
      <c r="E101" s="15">
        <v>627.54</v>
      </c>
      <c r="F101" s="14" t="s">
        <v>50</v>
      </c>
      <c r="G101" s="14" t="s">
        <v>51</v>
      </c>
      <c r="H101" s="14" t="s">
        <v>40</v>
      </c>
      <c r="I101" s="14" t="s">
        <v>52</v>
      </c>
      <c r="J101" s="97">
        <f t="shared" si="16"/>
        <v>45546</v>
      </c>
      <c r="L101" s="19" t="str">
        <f t="shared" si="17"/>
        <v/>
      </c>
      <c r="M101" s="5">
        <f t="shared" si="18"/>
        <v>45557</v>
      </c>
      <c r="O101" s="19" t="str">
        <f t="shared" si="19"/>
        <v/>
      </c>
      <c r="P101" s="5">
        <f t="shared" si="20"/>
        <v>45572</v>
      </c>
      <c r="R101" s="19" t="str">
        <f t="shared" si="21"/>
        <v/>
      </c>
      <c r="S101" s="5">
        <f t="shared" si="22"/>
        <v>45577</v>
      </c>
      <c r="U101" s="19" t="str">
        <f t="shared" si="23"/>
        <v/>
      </c>
      <c r="V101" s="5">
        <f t="shared" si="24"/>
        <v>45616</v>
      </c>
      <c r="X101" s="19" t="str">
        <f t="shared" si="25"/>
        <v/>
      </c>
      <c r="Y101" s="51">
        <f t="shared" si="26"/>
        <v>45641</v>
      </c>
      <c r="Z101" s="4">
        <v>45660</v>
      </c>
      <c r="AA101" s="49">
        <f t="shared" si="27"/>
        <v>-19</v>
      </c>
      <c r="AB101" s="51">
        <f t="shared" si="28"/>
        <v>45646</v>
      </c>
      <c r="AC101" s="49">
        <f t="shared" si="29"/>
        <v>-14</v>
      </c>
      <c r="AD101" s="43">
        <f t="shared" si="30"/>
        <v>45646</v>
      </c>
      <c r="AE101" s="4">
        <v>45660</v>
      </c>
      <c r="AF101" s="19">
        <f t="shared" si="31"/>
        <v>-14</v>
      </c>
      <c r="AG101" s="10"/>
      <c r="AH101" s="1"/>
      <c r="AI101" s="1"/>
      <c r="AJ101" s="1"/>
      <c r="AK101" s="1"/>
      <c r="AL101" s="1"/>
    </row>
    <row r="102" spans="1:38" ht="14.45">
      <c r="A102" s="156">
        <v>101</v>
      </c>
      <c r="B102" s="55">
        <v>45646</v>
      </c>
      <c r="C102" s="33" t="s">
        <v>222</v>
      </c>
      <c r="D102" s="14" t="s">
        <v>49</v>
      </c>
      <c r="E102" s="15">
        <v>3262.02</v>
      </c>
      <c r="F102" s="14" t="s">
        <v>223</v>
      </c>
      <c r="G102" s="14" t="s">
        <v>51</v>
      </c>
      <c r="H102" s="14" t="s">
        <v>40</v>
      </c>
      <c r="I102" s="14" t="s">
        <v>52</v>
      </c>
      <c r="J102" s="97">
        <f t="shared" si="16"/>
        <v>45546</v>
      </c>
      <c r="L102" s="19" t="str">
        <f t="shared" si="17"/>
        <v/>
      </c>
      <c r="M102" s="5">
        <f t="shared" si="18"/>
        <v>45557</v>
      </c>
      <c r="O102" s="19" t="str">
        <f t="shared" si="19"/>
        <v/>
      </c>
      <c r="P102" s="5">
        <f t="shared" si="20"/>
        <v>45572</v>
      </c>
      <c r="R102" s="19" t="str">
        <f t="shared" si="21"/>
        <v/>
      </c>
      <c r="S102" s="5">
        <f t="shared" si="22"/>
        <v>45577</v>
      </c>
      <c r="U102" s="19" t="str">
        <f t="shared" si="23"/>
        <v/>
      </c>
      <c r="V102" s="5">
        <f t="shared" si="24"/>
        <v>45616</v>
      </c>
      <c r="X102" s="19" t="str">
        <f t="shared" si="25"/>
        <v/>
      </c>
      <c r="Y102" s="51">
        <f t="shared" si="26"/>
        <v>45641</v>
      </c>
      <c r="Z102" s="4">
        <v>45660</v>
      </c>
      <c r="AA102" s="49">
        <f t="shared" si="27"/>
        <v>-19</v>
      </c>
      <c r="AB102" s="51">
        <f t="shared" si="28"/>
        <v>45646</v>
      </c>
      <c r="AC102" s="49">
        <f t="shared" si="29"/>
        <v>-14</v>
      </c>
      <c r="AD102" s="43">
        <f t="shared" si="30"/>
        <v>45646</v>
      </c>
      <c r="AE102" s="4">
        <v>45660</v>
      </c>
      <c r="AF102" s="19">
        <f t="shared" si="31"/>
        <v>-14</v>
      </c>
      <c r="AG102" s="10"/>
      <c r="AH102" s="1"/>
      <c r="AI102" s="1"/>
      <c r="AJ102" s="1"/>
      <c r="AK102" s="1"/>
      <c r="AL102" s="1"/>
    </row>
    <row r="103" spans="1:38" ht="14.45">
      <c r="A103" s="156">
        <v>102</v>
      </c>
      <c r="B103" s="55">
        <v>45646</v>
      </c>
      <c r="C103" s="32" t="s">
        <v>102</v>
      </c>
      <c r="D103" s="14" t="s">
        <v>49</v>
      </c>
      <c r="E103" s="15">
        <v>1183.93</v>
      </c>
      <c r="F103" s="14" t="s">
        <v>103</v>
      </c>
      <c r="G103" s="14" t="s">
        <v>51</v>
      </c>
      <c r="H103" s="14" t="s">
        <v>40</v>
      </c>
      <c r="I103" s="14" t="s">
        <v>52</v>
      </c>
      <c r="J103" s="97">
        <f t="shared" si="16"/>
        <v>45546</v>
      </c>
      <c r="L103" s="19" t="str">
        <f t="shared" si="17"/>
        <v/>
      </c>
      <c r="M103" s="5">
        <f t="shared" si="18"/>
        <v>45557</v>
      </c>
      <c r="O103" s="19" t="str">
        <f t="shared" si="19"/>
        <v/>
      </c>
      <c r="P103" s="5">
        <f t="shared" si="20"/>
        <v>45572</v>
      </c>
      <c r="R103" s="19" t="str">
        <f t="shared" si="21"/>
        <v/>
      </c>
      <c r="S103" s="5">
        <f t="shared" si="22"/>
        <v>45577</v>
      </c>
      <c r="U103" s="19" t="str">
        <f t="shared" si="23"/>
        <v/>
      </c>
      <c r="V103" s="5">
        <f t="shared" si="24"/>
        <v>45616</v>
      </c>
      <c r="X103" s="19" t="str">
        <f t="shared" si="25"/>
        <v/>
      </c>
      <c r="Y103" s="51">
        <f t="shared" si="26"/>
        <v>45641</v>
      </c>
      <c r="Z103" s="4">
        <v>45660</v>
      </c>
      <c r="AA103" s="49">
        <f t="shared" si="27"/>
        <v>-19</v>
      </c>
      <c r="AB103" s="51">
        <f t="shared" si="28"/>
        <v>45646</v>
      </c>
      <c r="AC103" s="49">
        <f t="shared" si="29"/>
        <v>-14</v>
      </c>
      <c r="AD103" s="43">
        <f t="shared" si="30"/>
        <v>45646</v>
      </c>
      <c r="AE103" s="4">
        <v>45660</v>
      </c>
      <c r="AF103" s="19">
        <f t="shared" si="31"/>
        <v>-14</v>
      </c>
      <c r="AG103" s="10"/>
      <c r="AH103" s="1"/>
      <c r="AI103" s="1"/>
      <c r="AJ103" s="1"/>
      <c r="AK103" s="1"/>
      <c r="AL103" s="1"/>
    </row>
    <row r="104" spans="1:38" ht="14.45">
      <c r="A104" s="156">
        <v>103</v>
      </c>
      <c r="B104" s="55">
        <v>45646</v>
      </c>
      <c r="C104" s="33" t="s">
        <v>224</v>
      </c>
      <c r="D104" s="14" t="s">
        <v>49</v>
      </c>
      <c r="E104" s="15">
        <v>4946.26</v>
      </c>
      <c r="F104" s="14" t="s">
        <v>225</v>
      </c>
      <c r="G104" s="14" t="s">
        <v>51</v>
      </c>
      <c r="H104" s="14" t="s">
        <v>40</v>
      </c>
      <c r="I104" s="14" t="s">
        <v>52</v>
      </c>
      <c r="J104" s="97">
        <f t="shared" si="16"/>
        <v>45546</v>
      </c>
      <c r="L104" s="19" t="str">
        <f t="shared" si="17"/>
        <v/>
      </c>
      <c r="M104" s="5">
        <f t="shared" si="18"/>
        <v>45557</v>
      </c>
      <c r="O104" s="19" t="str">
        <f t="shared" si="19"/>
        <v/>
      </c>
      <c r="P104" s="5">
        <f t="shared" si="20"/>
        <v>45572</v>
      </c>
      <c r="R104" s="19" t="str">
        <f t="shared" si="21"/>
        <v/>
      </c>
      <c r="S104" s="5">
        <f t="shared" si="22"/>
        <v>45577</v>
      </c>
      <c r="U104" s="19" t="str">
        <f t="shared" si="23"/>
        <v/>
      </c>
      <c r="V104" s="5">
        <f t="shared" si="24"/>
        <v>45616</v>
      </c>
      <c r="X104" s="19" t="str">
        <f t="shared" si="25"/>
        <v/>
      </c>
      <c r="Y104" s="51">
        <f t="shared" si="26"/>
        <v>45641</v>
      </c>
      <c r="Z104" s="4">
        <v>45660</v>
      </c>
      <c r="AA104" s="49">
        <f t="shared" si="27"/>
        <v>-19</v>
      </c>
      <c r="AB104" s="51">
        <f t="shared" si="28"/>
        <v>45646</v>
      </c>
      <c r="AC104" s="49">
        <f t="shared" si="29"/>
        <v>-14</v>
      </c>
      <c r="AD104" s="43">
        <f t="shared" si="30"/>
        <v>45646</v>
      </c>
      <c r="AE104" s="4">
        <v>45660</v>
      </c>
      <c r="AF104" s="19">
        <f t="shared" si="31"/>
        <v>-14</v>
      </c>
      <c r="AG104" s="10"/>
      <c r="AH104" s="1"/>
      <c r="AI104" s="1"/>
      <c r="AJ104" s="1"/>
      <c r="AK104" s="1"/>
      <c r="AL104" s="1"/>
    </row>
    <row r="105" spans="1:38" ht="14.45">
      <c r="A105" s="156">
        <v>104</v>
      </c>
      <c r="B105" s="55">
        <v>45646</v>
      </c>
      <c r="C105" s="32" t="s">
        <v>79</v>
      </c>
      <c r="D105" s="14" t="s">
        <v>49</v>
      </c>
      <c r="E105" s="15">
        <v>1367.96</v>
      </c>
      <c r="F105" s="14" t="s">
        <v>80</v>
      </c>
      <c r="G105" s="14" t="s">
        <v>51</v>
      </c>
      <c r="H105" s="14" t="s">
        <v>40</v>
      </c>
      <c r="I105" s="14" t="s">
        <v>52</v>
      </c>
      <c r="J105" s="97">
        <f t="shared" si="16"/>
        <v>45546</v>
      </c>
      <c r="L105" s="19" t="str">
        <f t="shared" si="17"/>
        <v/>
      </c>
      <c r="M105" s="5">
        <f t="shared" si="18"/>
        <v>45557</v>
      </c>
      <c r="O105" s="19" t="str">
        <f t="shared" si="19"/>
        <v/>
      </c>
      <c r="P105" s="5">
        <f t="shared" si="20"/>
        <v>45572</v>
      </c>
      <c r="R105" s="19" t="str">
        <f t="shared" si="21"/>
        <v/>
      </c>
      <c r="S105" s="5">
        <f t="shared" si="22"/>
        <v>45577</v>
      </c>
      <c r="U105" s="19" t="str">
        <f t="shared" si="23"/>
        <v/>
      </c>
      <c r="V105" s="5">
        <f t="shared" si="24"/>
        <v>45616</v>
      </c>
      <c r="X105" s="19" t="str">
        <f t="shared" si="25"/>
        <v/>
      </c>
      <c r="Y105" s="51">
        <f t="shared" si="26"/>
        <v>45641</v>
      </c>
      <c r="Z105" s="4">
        <v>45660</v>
      </c>
      <c r="AA105" s="49">
        <f t="shared" si="27"/>
        <v>-19</v>
      </c>
      <c r="AB105" s="51">
        <f t="shared" si="28"/>
        <v>45646</v>
      </c>
      <c r="AC105" s="49">
        <f t="shared" si="29"/>
        <v>-14</v>
      </c>
      <c r="AD105" s="43">
        <f t="shared" si="30"/>
        <v>45646</v>
      </c>
      <c r="AE105" s="4">
        <v>45660</v>
      </c>
      <c r="AF105" s="19">
        <f t="shared" si="31"/>
        <v>-14</v>
      </c>
      <c r="AG105" s="10"/>
      <c r="AH105" s="1"/>
      <c r="AI105" s="1"/>
      <c r="AJ105" s="1"/>
      <c r="AK105" s="1"/>
      <c r="AL105" s="1"/>
    </row>
    <row r="106" spans="1:38" ht="14.45">
      <c r="A106" s="156">
        <v>105</v>
      </c>
      <c r="B106" s="55">
        <v>45646</v>
      </c>
      <c r="C106" s="32" t="s">
        <v>106</v>
      </c>
      <c r="D106" s="14" t="s">
        <v>49</v>
      </c>
      <c r="E106" s="15">
        <v>2736.95</v>
      </c>
      <c r="F106" s="14" t="s">
        <v>107</v>
      </c>
      <c r="G106" s="14" t="s">
        <v>51</v>
      </c>
      <c r="H106" s="14" t="s">
        <v>40</v>
      </c>
      <c r="I106" s="14" t="s">
        <v>52</v>
      </c>
      <c r="J106" s="97">
        <f t="shared" si="16"/>
        <v>45546</v>
      </c>
      <c r="L106" s="19" t="str">
        <f t="shared" si="17"/>
        <v/>
      </c>
      <c r="M106" s="5">
        <f t="shared" si="18"/>
        <v>45557</v>
      </c>
      <c r="O106" s="19" t="str">
        <f t="shared" si="19"/>
        <v/>
      </c>
      <c r="P106" s="5">
        <f t="shared" si="20"/>
        <v>45572</v>
      </c>
      <c r="R106" s="19" t="str">
        <f t="shared" si="21"/>
        <v/>
      </c>
      <c r="S106" s="5">
        <f t="shared" si="22"/>
        <v>45577</v>
      </c>
      <c r="U106" s="19" t="str">
        <f t="shared" si="23"/>
        <v/>
      </c>
      <c r="V106" s="5">
        <f t="shared" si="24"/>
        <v>45616</v>
      </c>
      <c r="X106" s="19" t="str">
        <f t="shared" si="25"/>
        <v/>
      </c>
      <c r="Y106" s="51">
        <f t="shared" si="26"/>
        <v>45641</v>
      </c>
      <c r="Z106" s="4">
        <v>45660</v>
      </c>
      <c r="AA106" s="49">
        <f t="shared" si="27"/>
        <v>-19</v>
      </c>
      <c r="AB106" s="51">
        <f t="shared" si="28"/>
        <v>45646</v>
      </c>
      <c r="AC106" s="49">
        <f t="shared" si="29"/>
        <v>-14</v>
      </c>
      <c r="AD106" s="43">
        <f t="shared" si="30"/>
        <v>45646</v>
      </c>
      <c r="AE106" s="4">
        <v>45660</v>
      </c>
      <c r="AF106" s="19">
        <f t="shared" si="31"/>
        <v>-14</v>
      </c>
      <c r="AG106" s="10"/>
      <c r="AH106" s="1"/>
      <c r="AI106" s="1"/>
      <c r="AJ106" s="1"/>
      <c r="AK106" s="1"/>
      <c r="AL106" s="1"/>
    </row>
    <row r="107" spans="1:38" ht="14.45">
      <c r="A107" s="156">
        <v>106</v>
      </c>
      <c r="B107" s="55">
        <v>45646</v>
      </c>
      <c r="C107" s="32" t="s">
        <v>136</v>
      </c>
      <c r="D107" s="14" t="s">
        <v>49</v>
      </c>
      <c r="E107" s="15">
        <v>2375.12</v>
      </c>
      <c r="F107" s="14" t="s">
        <v>137</v>
      </c>
      <c r="G107" s="14" t="s">
        <v>51</v>
      </c>
      <c r="H107" s="14" t="s">
        <v>40</v>
      </c>
      <c r="I107" s="14" t="s">
        <v>52</v>
      </c>
      <c r="J107" s="97">
        <f t="shared" si="16"/>
        <v>45546</v>
      </c>
      <c r="L107" s="19" t="str">
        <f t="shared" si="17"/>
        <v/>
      </c>
      <c r="M107" s="5">
        <f t="shared" si="18"/>
        <v>45557</v>
      </c>
      <c r="O107" s="19" t="str">
        <f t="shared" si="19"/>
        <v/>
      </c>
      <c r="P107" s="5">
        <f t="shared" si="20"/>
        <v>45572</v>
      </c>
      <c r="R107" s="19" t="str">
        <f t="shared" si="21"/>
        <v/>
      </c>
      <c r="S107" s="5">
        <f t="shared" si="22"/>
        <v>45577</v>
      </c>
      <c r="U107" s="19" t="str">
        <f t="shared" si="23"/>
        <v/>
      </c>
      <c r="V107" s="5">
        <f t="shared" si="24"/>
        <v>45616</v>
      </c>
      <c r="X107" s="19" t="str">
        <f t="shared" si="25"/>
        <v/>
      </c>
      <c r="Y107" s="51">
        <f t="shared" si="26"/>
        <v>45641</v>
      </c>
      <c r="Z107" s="4">
        <v>45660</v>
      </c>
      <c r="AA107" s="49">
        <f t="shared" si="27"/>
        <v>-19</v>
      </c>
      <c r="AB107" s="51">
        <f t="shared" si="28"/>
        <v>45646</v>
      </c>
      <c r="AC107" s="49">
        <f t="shared" si="29"/>
        <v>-14</v>
      </c>
      <c r="AD107" s="43">
        <f t="shared" si="30"/>
        <v>45646</v>
      </c>
      <c r="AE107" s="4">
        <v>45660</v>
      </c>
      <c r="AF107" s="19">
        <f t="shared" si="31"/>
        <v>-14</v>
      </c>
      <c r="AG107" s="10"/>
      <c r="AH107" s="1"/>
      <c r="AI107" s="1"/>
      <c r="AJ107" s="1"/>
      <c r="AK107" s="1"/>
      <c r="AL107" s="1"/>
    </row>
    <row r="108" spans="1:38" ht="14.45">
      <c r="A108" s="156">
        <v>107</v>
      </c>
      <c r="B108" s="55">
        <v>45646</v>
      </c>
      <c r="C108" s="32" t="s">
        <v>63</v>
      </c>
      <c r="D108" s="14" t="s">
        <v>64</v>
      </c>
      <c r="E108" s="15">
        <v>865.49</v>
      </c>
      <c r="F108" s="14" t="s">
        <v>65</v>
      </c>
      <c r="G108" s="14" t="s">
        <v>51</v>
      </c>
      <c r="H108" s="14" t="s">
        <v>40</v>
      </c>
      <c r="I108" s="14" t="s">
        <v>62</v>
      </c>
      <c r="J108" s="97">
        <f t="shared" si="16"/>
        <v>45546</v>
      </c>
      <c r="L108" s="19" t="str">
        <f t="shared" si="17"/>
        <v/>
      </c>
      <c r="M108" s="5">
        <f t="shared" si="18"/>
        <v>45557</v>
      </c>
      <c r="O108" s="19" t="str">
        <f t="shared" si="19"/>
        <v/>
      </c>
      <c r="P108" s="5">
        <f t="shared" si="20"/>
        <v>45572</v>
      </c>
      <c r="R108" s="19" t="str">
        <f t="shared" si="21"/>
        <v/>
      </c>
      <c r="S108" s="5">
        <f t="shared" si="22"/>
        <v>45577</v>
      </c>
      <c r="U108" s="19" t="str">
        <f t="shared" si="23"/>
        <v/>
      </c>
      <c r="V108" s="5">
        <f t="shared" si="24"/>
        <v>45616</v>
      </c>
      <c r="X108" s="19" t="str">
        <f t="shared" si="25"/>
        <v/>
      </c>
      <c r="Y108" s="51">
        <f t="shared" si="26"/>
        <v>45641</v>
      </c>
      <c r="Z108" s="4">
        <v>45660</v>
      </c>
      <c r="AA108" s="49">
        <f t="shared" si="27"/>
        <v>-19</v>
      </c>
      <c r="AB108" s="51">
        <f t="shared" si="28"/>
        <v>45646</v>
      </c>
      <c r="AC108" s="49">
        <f t="shared" si="29"/>
        <v>-14</v>
      </c>
      <c r="AD108" s="43">
        <f t="shared" si="30"/>
        <v>45646</v>
      </c>
      <c r="AE108" s="4">
        <v>45660</v>
      </c>
      <c r="AF108" s="19">
        <f t="shared" si="31"/>
        <v>-14</v>
      </c>
      <c r="AG108" s="10"/>
      <c r="AH108" s="1"/>
      <c r="AI108" s="1"/>
      <c r="AJ108" s="1"/>
      <c r="AK108" s="1"/>
      <c r="AL108" s="1"/>
    </row>
    <row r="109" spans="1:38" ht="14.45">
      <c r="A109" s="156">
        <v>108</v>
      </c>
      <c r="B109" s="55">
        <v>45650</v>
      </c>
      <c r="C109" s="76" t="s">
        <v>226</v>
      </c>
      <c r="D109" s="14" t="s">
        <v>227</v>
      </c>
      <c r="E109" s="15">
        <v>8453.1</v>
      </c>
      <c r="F109" s="14" t="s">
        <v>228</v>
      </c>
      <c r="G109" s="14" t="s">
        <v>46</v>
      </c>
      <c r="H109" s="14" t="s">
        <v>40</v>
      </c>
      <c r="I109" s="14" t="s">
        <v>229</v>
      </c>
      <c r="J109" s="97">
        <f t="shared" si="16"/>
        <v>45550</v>
      </c>
      <c r="L109" s="19" t="str">
        <f t="shared" si="17"/>
        <v/>
      </c>
      <c r="M109" s="5">
        <f t="shared" si="18"/>
        <v>45561</v>
      </c>
      <c r="O109" s="19" t="str">
        <f t="shared" si="19"/>
        <v/>
      </c>
      <c r="P109" s="5">
        <f t="shared" si="20"/>
        <v>45576</v>
      </c>
      <c r="R109" s="19" t="str">
        <f t="shared" si="21"/>
        <v/>
      </c>
      <c r="S109" s="5">
        <f t="shared" si="22"/>
        <v>45581</v>
      </c>
      <c r="T109" s="4">
        <v>45580</v>
      </c>
      <c r="U109" s="19">
        <f t="shared" si="23"/>
        <v>1</v>
      </c>
      <c r="V109" s="5">
        <f t="shared" si="24"/>
        <v>45620</v>
      </c>
      <c r="W109" s="4">
        <v>45645</v>
      </c>
      <c r="X109" s="19">
        <f t="shared" si="25"/>
        <v>-25</v>
      </c>
      <c r="Y109" s="51">
        <f t="shared" si="26"/>
        <v>45645</v>
      </c>
      <c r="Z109" s="4">
        <v>45663</v>
      </c>
      <c r="AA109" s="49">
        <f t="shared" si="27"/>
        <v>-18</v>
      </c>
      <c r="AB109" s="51">
        <f t="shared" si="28"/>
        <v>45650</v>
      </c>
      <c r="AC109" s="49">
        <f t="shared" si="29"/>
        <v>-13</v>
      </c>
      <c r="AD109" s="43">
        <f t="shared" si="30"/>
        <v>45650</v>
      </c>
      <c r="AE109" s="4">
        <v>45663</v>
      </c>
      <c r="AF109" s="19">
        <f t="shared" si="31"/>
        <v>-13</v>
      </c>
      <c r="AG109" s="10"/>
      <c r="AH109" s="1"/>
      <c r="AI109" s="1"/>
      <c r="AJ109" s="1"/>
      <c r="AK109" s="1"/>
      <c r="AL109" s="1"/>
    </row>
    <row r="110" spans="1:38" ht="14.45">
      <c r="A110" s="156">
        <v>109</v>
      </c>
      <c r="B110" s="55">
        <v>45651</v>
      </c>
      <c r="C110" s="33" t="s">
        <v>230</v>
      </c>
      <c r="D110" s="14" t="s">
        <v>202</v>
      </c>
      <c r="E110" s="15">
        <v>888.62</v>
      </c>
      <c r="F110" s="14" t="s">
        <v>231</v>
      </c>
      <c r="G110" s="14" t="s">
        <v>51</v>
      </c>
      <c r="H110" s="14" t="s">
        <v>40</v>
      </c>
      <c r="I110" s="14" t="s">
        <v>62</v>
      </c>
      <c r="J110" s="97">
        <f t="shared" si="16"/>
        <v>45551</v>
      </c>
      <c r="L110" s="19" t="str">
        <f t="shared" si="17"/>
        <v/>
      </c>
      <c r="M110" s="5">
        <f t="shared" si="18"/>
        <v>45562</v>
      </c>
      <c r="O110" s="19" t="str">
        <f t="shared" si="19"/>
        <v/>
      </c>
      <c r="P110" s="5">
        <f t="shared" si="20"/>
        <v>45577</v>
      </c>
      <c r="R110" s="19" t="str">
        <f t="shared" si="21"/>
        <v/>
      </c>
      <c r="S110" s="5">
        <f t="shared" si="22"/>
        <v>45582</v>
      </c>
      <c r="U110" s="19" t="str">
        <f t="shared" si="23"/>
        <v/>
      </c>
      <c r="V110" s="5">
        <f t="shared" si="24"/>
        <v>45621</v>
      </c>
      <c r="X110" s="19" t="str">
        <f t="shared" si="25"/>
        <v/>
      </c>
      <c r="Y110" s="51">
        <f t="shared" si="26"/>
        <v>45646</v>
      </c>
      <c r="Z110" s="4">
        <v>45660</v>
      </c>
      <c r="AA110" s="49">
        <f t="shared" si="27"/>
        <v>-14</v>
      </c>
      <c r="AB110" s="51">
        <f t="shared" si="28"/>
        <v>45651</v>
      </c>
      <c r="AC110" s="49">
        <f t="shared" si="29"/>
        <v>-9</v>
      </c>
      <c r="AD110" s="43">
        <f t="shared" si="30"/>
        <v>45651</v>
      </c>
      <c r="AE110" s="4">
        <v>45660</v>
      </c>
      <c r="AF110" s="19">
        <f t="shared" si="31"/>
        <v>-9</v>
      </c>
      <c r="AG110" s="10"/>
      <c r="AH110" s="1"/>
      <c r="AI110" s="1"/>
      <c r="AJ110" s="1"/>
      <c r="AK110" s="1"/>
      <c r="AL110" s="1"/>
    </row>
    <row r="111" spans="1:38" ht="14.45">
      <c r="A111" s="156">
        <v>110</v>
      </c>
      <c r="B111" s="55">
        <v>45653</v>
      </c>
      <c r="C111" s="33"/>
      <c r="D111" s="14" t="s">
        <v>232</v>
      </c>
      <c r="E111" s="15">
        <v>1031.24</v>
      </c>
      <c r="F111" s="14" t="s">
        <v>233</v>
      </c>
      <c r="G111" s="14" t="s">
        <v>35</v>
      </c>
      <c r="H111" s="14" t="s">
        <v>40</v>
      </c>
      <c r="I111" s="14" t="s">
        <v>62</v>
      </c>
      <c r="J111" s="97">
        <f t="shared" si="16"/>
        <v>45553</v>
      </c>
      <c r="L111" s="19" t="str">
        <f t="shared" si="17"/>
        <v/>
      </c>
      <c r="M111" s="5">
        <f t="shared" si="18"/>
        <v>45564</v>
      </c>
      <c r="O111" s="19" t="str">
        <f t="shared" si="19"/>
        <v/>
      </c>
      <c r="P111" s="5">
        <f t="shared" si="20"/>
        <v>45579</v>
      </c>
      <c r="R111" s="19" t="str">
        <f t="shared" si="21"/>
        <v/>
      </c>
      <c r="S111" s="5">
        <f t="shared" si="22"/>
        <v>45584</v>
      </c>
      <c r="U111" s="19" t="str">
        <f t="shared" si="23"/>
        <v/>
      </c>
      <c r="V111" s="5">
        <f t="shared" si="24"/>
        <v>45623</v>
      </c>
      <c r="X111" s="19" t="str">
        <f t="shared" si="25"/>
        <v/>
      </c>
      <c r="Y111" s="51">
        <f t="shared" si="26"/>
        <v>45648</v>
      </c>
      <c r="AA111" s="49" t="str">
        <f t="shared" si="27"/>
        <v/>
      </c>
      <c r="AB111" s="51">
        <f t="shared" si="28"/>
        <v>45653</v>
      </c>
      <c r="AC111" s="49" t="str">
        <f t="shared" si="29"/>
        <v/>
      </c>
      <c r="AD111" s="43">
        <f t="shared" si="30"/>
        <v>45653</v>
      </c>
      <c r="AF111" s="19" t="str">
        <f t="shared" si="31"/>
        <v/>
      </c>
      <c r="AG111" s="10"/>
      <c r="AH111" s="1"/>
      <c r="AI111" s="1"/>
      <c r="AJ111" s="1"/>
      <c r="AK111" s="1"/>
      <c r="AL111" s="1"/>
    </row>
    <row r="112" spans="1:38" ht="14.45">
      <c r="A112" s="156">
        <v>111</v>
      </c>
      <c r="B112" s="55">
        <v>45653</v>
      </c>
      <c r="C112" s="33"/>
      <c r="D112" s="14" t="s">
        <v>232</v>
      </c>
      <c r="E112" s="15">
        <v>28438.799999999999</v>
      </c>
      <c r="F112" s="14" t="s">
        <v>234</v>
      </c>
      <c r="G112" s="14" t="s">
        <v>35</v>
      </c>
      <c r="H112" s="14" t="s">
        <v>36</v>
      </c>
      <c r="I112" s="14" t="s">
        <v>235</v>
      </c>
      <c r="J112" s="97">
        <f t="shared" si="16"/>
        <v>45553</v>
      </c>
      <c r="L112" s="19" t="str">
        <f t="shared" si="17"/>
        <v/>
      </c>
      <c r="M112" s="5">
        <f t="shared" si="18"/>
        <v>45564</v>
      </c>
      <c r="O112" s="19" t="str">
        <f t="shared" si="19"/>
        <v/>
      </c>
      <c r="P112" s="5">
        <f t="shared" si="20"/>
        <v>45579</v>
      </c>
      <c r="R112" s="19" t="str">
        <f t="shared" si="21"/>
        <v/>
      </c>
      <c r="S112" s="5">
        <f t="shared" si="22"/>
        <v>45584</v>
      </c>
      <c r="U112" s="19" t="str">
        <f t="shared" si="23"/>
        <v/>
      </c>
      <c r="V112" s="5">
        <f t="shared" si="24"/>
        <v>45623</v>
      </c>
      <c r="X112" s="19" t="str">
        <f t="shared" si="25"/>
        <v/>
      </c>
      <c r="Y112" s="51">
        <f t="shared" si="26"/>
        <v>45648</v>
      </c>
      <c r="AA112" s="49" t="str">
        <f t="shared" si="27"/>
        <v/>
      </c>
      <c r="AB112" s="51">
        <f t="shared" si="28"/>
        <v>45653</v>
      </c>
      <c r="AC112" s="49" t="str">
        <f t="shared" si="29"/>
        <v/>
      </c>
      <c r="AD112" s="43">
        <f t="shared" si="30"/>
        <v>45653</v>
      </c>
      <c r="AF112" s="19" t="str">
        <f t="shared" si="31"/>
        <v/>
      </c>
      <c r="AG112" s="10"/>
      <c r="AH112" s="1"/>
      <c r="AI112" s="1"/>
      <c r="AJ112" s="1"/>
      <c r="AK112" s="1"/>
      <c r="AL112" s="1"/>
    </row>
    <row r="113" spans="1:38" ht="14.45">
      <c r="A113" s="156">
        <v>112</v>
      </c>
      <c r="B113" s="55">
        <v>45653</v>
      </c>
      <c r="C113" s="33"/>
      <c r="D113" s="14" t="s">
        <v>236</v>
      </c>
      <c r="E113" s="15">
        <v>11207.23</v>
      </c>
      <c r="F113" s="14" t="s">
        <v>237</v>
      </c>
      <c r="G113" s="14" t="s">
        <v>35</v>
      </c>
      <c r="H113" s="14" t="s">
        <v>36</v>
      </c>
      <c r="I113" s="14" t="s">
        <v>93</v>
      </c>
      <c r="J113" s="97">
        <f t="shared" si="16"/>
        <v>45553</v>
      </c>
      <c r="L113" s="19" t="str">
        <f t="shared" si="17"/>
        <v/>
      </c>
      <c r="M113" s="5">
        <f t="shared" si="18"/>
        <v>45564</v>
      </c>
      <c r="O113" s="19" t="str">
        <f t="shared" si="19"/>
        <v/>
      </c>
      <c r="P113" s="5">
        <f t="shared" si="20"/>
        <v>45579</v>
      </c>
      <c r="R113" s="19" t="str">
        <f t="shared" si="21"/>
        <v/>
      </c>
      <c r="S113" s="5">
        <f t="shared" si="22"/>
        <v>45584</v>
      </c>
      <c r="U113" s="19" t="str">
        <f t="shared" si="23"/>
        <v/>
      </c>
      <c r="V113" s="5">
        <f t="shared" si="24"/>
        <v>45623</v>
      </c>
      <c r="X113" s="19" t="str">
        <f t="shared" si="25"/>
        <v/>
      </c>
      <c r="Y113" s="51">
        <f t="shared" si="26"/>
        <v>45648</v>
      </c>
      <c r="AA113" s="49" t="str">
        <f t="shared" si="27"/>
        <v/>
      </c>
      <c r="AB113" s="51">
        <f t="shared" si="28"/>
        <v>45653</v>
      </c>
      <c r="AC113" s="49" t="str">
        <f t="shared" si="29"/>
        <v/>
      </c>
      <c r="AD113" s="43">
        <f t="shared" si="30"/>
        <v>45653</v>
      </c>
      <c r="AF113" s="19" t="str">
        <f t="shared" si="31"/>
        <v/>
      </c>
      <c r="AG113" s="10"/>
      <c r="AH113" s="1"/>
      <c r="AI113" s="1"/>
      <c r="AJ113" s="1"/>
      <c r="AK113" s="1"/>
      <c r="AL113" s="1"/>
    </row>
    <row r="114" spans="1:38" ht="14.45">
      <c r="A114" s="156">
        <v>113</v>
      </c>
      <c r="B114" s="55">
        <v>45654</v>
      </c>
      <c r="C114" s="33"/>
      <c r="D114" s="14" t="s">
        <v>238</v>
      </c>
      <c r="E114" s="15">
        <v>842.41</v>
      </c>
      <c r="F114" s="14" t="s">
        <v>239</v>
      </c>
      <c r="G114" s="14" t="s">
        <v>35</v>
      </c>
      <c r="H114" s="14" t="s">
        <v>40</v>
      </c>
      <c r="I114" s="14" t="s">
        <v>93</v>
      </c>
      <c r="J114" s="97">
        <f t="shared" si="16"/>
        <v>45554</v>
      </c>
      <c r="L114" s="19" t="str">
        <f t="shared" si="17"/>
        <v/>
      </c>
      <c r="M114" s="5">
        <f t="shared" si="18"/>
        <v>45565</v>
      </c>
      <c r="O114" s="19" t="str">
        <f t="shared" si="19"/>
        <v/>
      </c>
      <c r="P114" s="5">
        <f t="shared" si="20"/>
        <v>45580</v>
      </c>
      <c r="R114" s="19" t="str">
        <f t="shared" si="21"/>
        <v/>
      </c>
      <c r="S114" s="5">
        <f t="shared" si="22"/>
        <v>45585</v>
      </c>
      <c r="U114" s="19" t="str">
        <f t="shared" si="23"/>
        <v/>
      </c>
      <c r="V114" s="5">
        <f t="shared" si="24"/>
        <v>45624</v>
      </c>
      <c r="X114" s="19" t="str">
        <f t="shared" si="25"/>
        <v/>
      </c>
      <c r="Y114" s="51">
        <f t="shared" si="26"/>
        <v>45649</v>
      </c>
      <c r="AA114" s="49" t="str">
        <f t="shared" si="27"/>
        <v/>
      </c>
      <c r="AB114" s="51">
        <f t="shared" si="28"/>
        <v>45654</v>
      </c>
      <c r="AC114" s="49" t="str">
        <f t="shared" si="29"/>
        <v/>
      </c>
      <c r="AD114" s="43">
        <f t="shared" si="30"/>
        <v>45654</v>
      </c>
      <c r="AF114" s="19" t="str">
        <f t="shared" si="31"/>
        <v/>
      </c>
      <c r="AG114" s="10"/>
      <c r="AH114" s="1"/>
      <c r="AI114" s="1"/>
      <c r="AJ114" s="1"/>
      <c r="AK114" s="1"/>
      <c r="AL114" s="1"/>
    </row>
    <row r="115" spans="1:38" ht="14.45">
      <c r="A115" s="156">
        <v>114</v>
      </c>
      <c r="B115" s="55">
        <v>45655</v>
      </c>
      <c r="C115" s="33"/>
      <c r="D115" s="14" t="s">
        <v>240</v>
      </c>
      <c r="E115" s="15">
        <v>31147.96</v>
      </c>
      <c r="F115" s="14" t="s">
        <v>241</v>
      </c>
      <c r="G115" s="10" t="s">
        <v>120</v>
      </c>
      <c r="H115" s="14" t="s">
        <v>40</v>
      </c>
      <c r="I115" s="14" t="s">
        <v>93</v>
      </c>
      <c r="J115" s="97">
        <f t="shared" si="16"/>
        <v>45555</v>
      </c>
      <c r="L115" s="19" t="str">
        <f t="shared" si="17"/>
        <v/>
      </c>
      <c r="M115" s="5">
        <f t="shared" si="18"/>
        <v>45566</v>
      </c>
      <c r="N115" s="5"/>
      <c r="O115" s="19" t="str">
        <f t="shared" si="19"/>
        <v/>
      </c>
      <c r="P115" s="5">
        <f t="shared" si="20"/>
        <v>45581</v>
      </c>
      <c r="R115" s="19" t="str">
        <f t="shared" si="21"/>
        <v/>
      </c>
      <c r="S115" s="5">
        <f t="shared" si="22"/>
        <v>45586</v>
      </c>
      <c r="T115" s="4">
        <v>45424</v>
      </c>
      <c r="U115" s="19">
        <f t="shared" si="23"/>
        <v>162</v>
      </c>
      <c r="V115" s="5">
        <f t="shared" si="24"/>
        <v>45625</v>
      </c>
      <c r="W115" s="4">
        <v>45577</v>
      </c>
      <c r="X115" s="19">
        <f t="shared" si="25"/>
        <v>48</v>
      </c>
      <c r="Y115" s="51">
        <f t="shared" si="26"/>
        <v>45650</v>
      </c>
      <c r="AA115" s="49" t="str">
        <f t="shared" si="27"/>
        <v/>
      </c>
      <c r="AB115" s="51">
        <f t="shared" si="28"/>
        <v>45655</v>
      </c>
      <c r="AC115" s="49" t="str">
        <f t="shared" si="29"/>
        <v/>
      </c>
      <c r="AD115" s="43">
        <f t="shared" si="30"/>
        <v>45655</v>
      </c>
      <c r="AF115" s="19" t="str">
        <f t="shared" si="31"/>
        <v/>
      </c>
      <c r="AG115" s="10"/>
      <c r="AH115" s="1"/>
      <c r="AI115" s="1"/>
      <c r="AJ115" s="1"/>
      <c r="AK115" s="1"/>
      <c r="AL115" s="1"/>
    </row>
    <row r="116" spans="1:38" ht="14.45">
      <c r="A116" s="156">
        <v>115</v>
      </c>
      <c r="B116" s="55">
        <v>45655</v>
      </c>
      <c r="C116" s="33"/>
      <c r="D116" s="14" t="s">
        <v>240</v>
      </c>
      <c r="E116" s="15">
        <v>876.55</v>
      </c>
      <c r="F116" s="14" t="s">
        <v>242</v>
      </c>
      <c r="G116" s="14" t="s">
        <v>110</v>
      </c>
      <c r="H116" s="14" t="s">
        <v>40</v>
      </c>
      <c r="I116" s="14" t="s">
        <v>41</v>
      </c>
      <c r="J116" s="97">
        <f t="shared" si="16"/>
        <v>45555</v>
      </c>
      <c r="L116" s="19" t="str">
        <f t="shared" si="17"/>
        <v/>
      </c>
      <c r="M116" s="5">
        <f t="shared" si="18"/>
        <v>45566</v>
      </c>
      <c r="N116" s="5"/>
      <c r="O116" s="19" t="str">
        <f t="shared" si="19"/>
        <v/>
      </c>
      <c r="P116" s="5">
        <f t="shared" si="20"/>
        <v>45581</v>
      </c>
      <c r="Q116" s="5"/>
      <c r="R116" s="19" t="str">
        <f t="shared" si="21"/>
        <v/>
      </c>
      <c r="S116" s="5">
        <f t="shared" si="22"/>
        <v>45586</v>
      </c>
      <c r="T116" s="4">
        <v>45424</v>
      </c>
      <c r="U116" s="19">
        <f t="shared" si="23"/>
        <v>162</v>
      </c>
      <c r="V116" s="5">
        <f t="shared" si="24"/>
        <v>45625</v>
      </c>
      <c r="W116" s="4">
        <v>45577</v>
      </c>
      <c r="X116" s="19">
        <f t="shared" si="25"/>
        <v>48</v>
      </c>
      <c r="Y116" s="51">
        <f t="shared" si="26"/>
        <v>45650</v>
      </c>
      <c r="Z116" s="4">
        <v>45653</v>
      </c>
      <c r="AA116" s="49">
        <f t="shared" si="27"/>
        <v>-3</v>
      </c>
      <c r="AB116" s="51">
        <f t="shared" si="28"/>
        <v>45655</v>
      </c>
      <c r="AC116" s="49">
        <f t="shared" si="29"/>
        <v>2</v>
      </c>
      <c r="AD116" s="43">
        <f t="shared" si="30"/>
        <v>45655</v>
      </c>
      <c r="AE116" s="4">
        <v>45653</v>
      </c>
      <c r="AF116" s="19">
        <f t="shared" si="31"/>
        <v>2</v>
      </c>
      <c r="AG116" s="10"/>
      <c r="AH116" s="1"/>
      <c r="AI116" s="1"/>
      <c r="AJ116" s="1"/>
      <c r="AK116" s="1"/>
      <c r="AL116" s="1"/>
    </row>
    <row r="117" spans="1:38" ht="14.45">
      <c r="A117" s="156">
        <v>116</v>
      </c>
      <c r="B117" s="55">
        <v>45657</v>
      </c>
      <c r="C117" s="81">
        <v>111762450</v>
      </c>
      <c r="D117" s="14" t="s">
        <v>213</v>
      </c>
      <c r="E117" s="15">
        <v>474.46</v>
      </c>
      <c r="F117" s="14" t="s">
        <v>243</v>
      </c>
      <c r="G117" s="14" t="s">
        <v>51</v>
      </c>
      <c r="H117" s="14" t="s">
        <v>40</v>
      </c>
      <c r="I117" s="14" t="s">
        <v>62</v>
      </c>
      <c r="J117" s="97">
        <f t="shared" si="16"/>
        <v>45557</v>
      </c>
      <c r="L117" s="19" t="str">
        <f t="shared" si="17"/>
        <v/>
      </c>
      <c r="M117" s="5">
        <f t="shared" si="18"/>
        <v>45568</v>
      </c>
      <c r="N117" s="4">
        <v>45484</v>
      </c>
      <c r="O117" s="19">
        <f t="shared" si="19"/>
        <v>84</v>
      </c>
      <c r="P117" s="5">
        <f t="shared" si="20"/>
        <v>45583</v>
      </c>
      <c r="Q117" s="4">
        <v>45613</v>
      </c>
      <c r="R117" s="19">
        <f t="shared" si="21"/>
        <v>-30</v>
      </c>
      <c r="S117" s="5">
        <f t="shared" si="22"/>
        <v>45588</v>
      </c>
      <c r="U117" s="19" t="str">
        <f t="shared" si="23"/>
        <v/>
      </c>
      <c r="V117" s="5">
        <f t="shared" si="24"/>
        <v>45627</v>
      </c>
      <c r="X117" s="19" t="str">
        <f t="shared" si="25"/>
        <v/>
      </c>
      <c r="Y117" s="51">
        <f t="shared" si="26"/>
        <v>45652</v>
      </c>
      <c r="AA117" s="49" t="str">
        <f t="shared" si="27"/>
        <v/>
      </c>
      <c r="AB117" s="51">
        <f t="shared" si="28"/>
        <v>45657</v>
      </c>
      <c r="AC117" s="49" t="str">
        <f t="shared" si="29"/>
        <v/>
      </c>
      <c r="AD117" s="43">
        <f t="shared" si="30"/>
        <v>45657</v>
      </c>
      <c r="AF117" s="19" t="str">
        <f t="shared" si="31"/>
        <v/>
      </c>
      <c r="AG117" s="10"/>
      <c r="AH117" s="1"/>
      <c r="AI117" s="1"/>
      <c r="AJ117" s="1"/>
      <c r="AK117" s="1"/>
      <c r="AL117" s="1"/>
    </row>
    <row r="118" spans="1:38" ht="14.45">
      <c r="A118" s="156">
        <v>117</v>
      </c>
      <c r="B118" s="55">
        <v>45657</v>
      </c>
      <c r="C118" s="32" t="s">
        <v>104</v>
      </c>
      <c r="D118" s="14" t="s">
        <v>77</v>
      </c>
      <c r="E118" s="15">
        <v>4952.91</v>
      </c>
      <c r="F118" s="14" t="s">
        <v>105</v>
      </c>
      <c r="G118" s="14" t="s">
        <v>51</v>
      </c>
      <c r="H118" s="14" t="s">
        <v>40</v>
      </c>
      <c r="I118" s="14" t="s">
        <v>52</v>
      </c>
      <c r="J118" s="97">
        <f t="shared" si="16"/>
        <v>45557</v>
      </c>
      <c r="L118" s="19" t="str">
        <f t="shared" si="17"/>
        <v/>
      </c>
      <c r="M118" s="5">
        <f t="shared" si="18"/>
        <v>45568</v>
      </c>
      <c r="O118" s="19" t="str">
        <f t="shared" si="19"/>
        <v/>
      </c>
      <c r="P118" s="5">
        <f t="shared" si="20"/>
        <v>45583</v>
      </c>
      <c r="R118" s="19" t="str">
        <f t="shared" si="21"/>
        <v/>
      </c>
      <c r="S118" s="5">
        <f t="shared" si="22"/>
        <v>45588</v>
      </c>
      <c r="U118" s="19" t="str">
        <f t="shared" si="23"/>
        <v/>
      </c>
      <c r="V118" s="5">
        <f t="shared" si="24"/>
        <v>45627</v>
      </c>
      <c r="X118" s="19" t="str">
        <f t="shared" si="25"/>
        <v/>
      </c>
      <c r="Y118" s="51">
        <f t="shared" si="26"/>
        <v>45652</v>
      </c>
      <c r="Z118" s="4">
        <v>45656</v>
      </c>
      <c r="AA118" s="49">
        <f t="shared" si="27"/>
        <v>-4</v>
      </c>
      <c r="AB118" s="51">
        <f t="shared" si="28"/>
        <v>45657</v>
      </c>
      <c r="AC118" s="49">
        <f t="shared" si="29"/>
        <v>1</v>
      </c>
      <c r="AD118" s="43">
        <f t="shared" si="30"/>
        <v>45657</v>
      </c>
      <c r="AE118" s="4">
        <v>45656</v>
      </c>
      <c r="AF118" s="19">
        <f t="shared" si="31"/>
        <v>1</v>
      </c>
      <c r="AG118" s="10"/>
      <c r="AH118" s="1"/>
      <c r="AI118" s="1"/>
      <c r="AJ118" s="1"/>
      <c r="AK118" s="1"/>
      <c r="AL118" s="1"/>
    </row>
    <row r="119" spans="1:38" ht="14.45">
      <c r="A119" s="156">
        <v>118</v>
      </c>
      <c r="B119" s="55">
        <v>45657</v>
      </c>
      <c r="C119" s="32" t="s">
        <v>138</v>
      </c>
      <c r="D119" s="14" t="s">
        <v>77</v>
      </c>
      <c r="E119" s="15">
        <v>4963.3</v>
      </c>
      <c r="F119" s="14" t="s">
        <v>139</v>
      </c>
      <c r="G119" s="14" t="s">
        <v>51</v>
      </c>
      <c r="H119" s="14" t="s">
        <v>40</v>
      </c>
      <c r="I119" s="14" t="s">
        <v>52</v>
      </c>
      <c r="J119" s="97">
        <f t="shared" si="16"/>
        <v>45557</v>
      </c>
      <c r="L119" s="19" t="str">
        <f t="shared" si="17"/>
        <v/>
      </c>
      <c r="M119" s="5">
        <f t="shared" si="18"/>
        <v>45568</v>
      </c>
      <c r="O119" s="19" t="str">
        <f t="shared" si="19"/>
        <v/>
      </c>
      <c r="P119" s="5">
        <f t="shared" si="20"/>
        <v>45583</v>
      </c>
      <c r="R119" s="19" t="str">
        <f t="shared" si="21"/>
        <v/>
      </c>
      <c r="S119" s="5">
        <f t="shared" si="22"/>
        <v>45588</v>
      </c>
      <c r="U119" s="19" t="str">
        <f t="shared" si="23"/>
        <v/>
      </c>
      <c r="V119" s="5">
        <f t="shared" si="24"/>
        <v>45627</v>
      </c>
      <c r="X119" s="19" t="str">
        <f t="shared" si="25"/>
        <v/>
      </c>
      <c r="Y119" s="51">
        <f t="shared" si="26"/>
        <v>45652</v>
      </c>
      <c r="Z119" s="4">
        <v>45656</v>
      </c>
      <c r="AA119" s="49">
        <f t="shared" si="27"/>
        <v>-4</v>
      </c>
      <c r="AB119" s="51">
        <f t="shared" si="28"/>
        <v>45657</v>
      </c>
      <c r="AC119" s="49">
        <f t="shared" si="29"/>
        <v>1</v>
      </c>
      <c r="AD119" s="43">
        <f t="shared" si="30"/>
        <v>45657</v>
      </c>
      <c r="AE119" s="4">
        <v>45656</v>
      </c>
      <c r="AF119" s="19">
        <f t="shared" si="31"/>
        <v>1</v>
      </c>
      <c r="AG119" s="10"/>
      <c r="AH119" s="1"/>
      <c r="AI119" s="1"/>
      <c r="AJ119" s="1"/>
      <c r="AK119" s="1"/>
      <c r="AL119" s="1"/>
    </row>
    <row r="120" spans="1:38" ht="14.45">
      <c r="A120" s="156">
        <v>119</v>
      </c>
      <c r="B120" s="55">
        <v>45657</v>
      </c>
      <c r="C120" s="33"/>
      <c r="D120" s="14" t="s">
        <v>244</v>
      </c>
      <c r="E120" s="15">
        <v>32101.95</v>
      </c>
      <c r="F120" s="14" t="s">
        <v>245</v>
      </c>
      <c r="G120" s="14" t="s">
        <v>35</v>
      </c>
      <c r="H120" s="14" t="s">
        <v>36</v>
      </c>
      <c r="I120" s="14" t="s">
        <v>52</v>
      </c>
      <c r="J120" s="97">
        <f t="shared" si="16"/>
        <v>45557</v>
      </c>
      <c r="K120" s="5"/>
      <c r="L120" s="19" t="str">
        <f t="shared" si="17"/>
        <v/>
      </c>
      <c r="M120" s="5">
        <f t="shared" si="18"/>
        <v>45568</v>
      </c>
      <c r="O120" s="19" t="str">
        <f t="shared" si="19"/>
        <v/>
      </c>
      <c r="P120" s="5">
        <f t="shared" si="20"/>
        <v>45583</v>
      </c>
      <c r="R120" s="19" t="str">
        <f t="shared" si="21"/>
        <v/>
      </c>
      <c r="S120" s="5">
        <f t="shared" si="22"/>
        <v>45588</v>
      </c>
      <c r="U120" s="19" t="str">
        <f t="shared" si="23"/>
        <v/>
      </c>
      <c r="V120" s="5">
        <f t="shared" si="24"/>
        <v>45627</v>
      </c>
      <c r="X120" s="19" t="str">
        <f t="shared" si="25"/>
        <v/>
      </c>
      <c r="Y120" s="51">
        <f t="shared" si="26"/>
        <v>45652</v>
      </c>
      <c r="AA120" s="49" t="str">
        <f t="shared" si="27"/>
        <v/>
      </c>
      <c r="AB120" s="51">
        <f t="shared" si="28"/>
        <v>45657</v>
      </c>
      <c r="AC120" s="49" t="str">
        <f t="shared" si="29"/>
        <v/>
      </c>
      <c r="AD120" s="43">
        <f t="shared" si="30"/>
        <v>45657</v>
      </c>
      <c r="AF120" s="19" t="str">
        <f t="shared" si="31"/>
        <v/>
      </c>
      <c r="AG120" s="10"/>
      <c r="AH120" s="1"/>
      <c r="AI120" s="1"/>
      <c r="AJ120" s="1"/>
      <c r="AK120" s="1"/>
      <c r="AL120" s="1"/>
    </row>
    <row r="121" spans="1:38" ht="14.45">
      <c r="A121" s="156">
        <v>120</v>
      </c>
      <c r="B121" s="55">
        <v>45657</v>
      </c>
      <c r="C121" s="33"/>
      <c r="D121" s="14" t="s">
        <v>246</v>
      </c>
      <c r="E121" s="15">
        <v>1349.96</v>
      </c>
      <c r="F121" s="14" t="s">
        <v>247</v>
      </c>
      <c r="G121" s="14" t="s">
        <v>35</v>
      </c>
      <c r="H121" s="14" t="s">
        <v>40</v>
      </c>
      <c r="I121" s="14" t="s">
        <v>62</v>
      </c>
      <c r="J121" s="97">
        <f t="shared" si="16"/>
        <v>45557</v>
      </c>
      <c r="L121" s="19" t="str">
        <f t="shared" si="17"/>
        <v/>
      </c>
      <c r="M121" s="5">
        <f t="shared" si="18"/>
        <v>45568</v>
      </c>
      <c r="O121" s="19" t="str">
        <f t="shared" si="19"/>
        <v/>
      </c>
      <c r="P121" s="5">
        <f t="shared" si="20"/>
        <v>45583</v>
      </c>
      <c r="R121" s="19" t="str">
        <f t="shared" si="21"/>
        <v/>
      </c>
      <c r="S121" s="5">
        <f t="shared" si="22"/>
        <v>45588</v>
      </c>
      <c r="U121" s="19" t="str">
        <f t="shared" si="23"/>
        <v/>
      </c>
      <c r="V121" s="5">
        <f t="shared" si="24"/>
        <v>45627</v>
      </c>
      <c r="W121" s="4">
        <v>45652</v>
      </c>
      <c r="X121" s="19">
        <f t="shared" si="25"/>
        <v>-25</v>
      </c>
      <c r="Y121" s="51">
        <f t="shared" si="26"/>
        <v>45652</v>
      </c>
      <c r="AA121" s="49" t="str">
        <f t="shared" si="27"/>
        <v/>
      </c>
      <c r="AB121" s="51">
        <f t="shared" si="28"/>
        <v>45657</v>
      </c>
      <c r="AC121" s="49" t="str">
        <f t="shared" si="29"/>
        <v/>
      </c>
      <c r="AD121" s="43">
        <f t="shared" si="30"/>
        <v>45657</v>
      </c>
      <c r="AF121" s="19" t="str">
        <f t="shared" si="31"/>
        <v/>
      </c>
      <c r="AG121" s="10"/>
      <c r="AH121" s="1"/>
      <c r="AI121" s="1"/>
      <c r="AJ121" s="1"/>
      <c r="AK121" s="1"/>
      <c r="AL121" s="1"/>
    </row>
    <row r="122" spans="1:38" ht="14.45">
      <c r="A122" s="156">
        <v>121</v>
      </c>
      <c r="B122" s="55">
        <v>45657</v>
      </c>
      <c r="C122" s="33"/>
      <c r="D122" s="14" t="s">
        <v>246</v>
      </c>
      <c r="E122" s="15">
        <v>116.92</v>
      </c>
      <c r="F122" s="14" t="s">
        <v>248</v>
      </c>
      <c r="G122" s="14" t="s">
        <v>35</v>
      </c>
      <c r="H122" s="14" t="s">
        <v>40</v>
      </c>
      <c r="I122" s="14" t="s">
        <v>249</v>
      </c>
      <c r="J122" s="97">
        <f t="shared" si="16"/>
        <v>45557</v>
      </c>
      <c r="L122" s="19" t="str">
        <f t="shared" si="17"/>
        <v/>
      </c>
      <c r="M122" s="5">
        <f t="shared" si="18"/>
        <v>45568</v>
      </c>
      <c r="O122" s="19" t="str">
        <f t="shared" si="19"/>
        <v/>
      </c>
      <c r="P122" s="5">
        <f t="shared" si="20"/>
        <v>45583</v>
      </c>
      <c r="R122" s="19" t="str">
        <f t="shared" si="21"/>
        <v/>
      </c>
      <c r="S122" s="5">
        <f t="shared" si="22"/>
        <v>45588</v>
      </c>
      <c r="U122" s="19" t="str">
        <f t="shared" si="23"/>
        <v/>
      </c>
      <c r="V122" s="5">
        <f t="shared" si="24"/>
        <v>45627</v>
      </c>
      <c r="W122" s="4">
        <v>45652</v>
      </c>
      <c r="X122" s="19">
        <f t="shared" si="25"/>
        <v>-25</v>
      </c>
      <c r="Y122" s="51">
        <f t="shared" si="26"/>
        <v>45652</v>
      </c>
      <c r="AA122" s="49" t="str">
        <f t="shared" si="27"/>
        <v/>
      </c>
      <c r="AB122" s="51">
        <f t="shared" si="28"/>
        <v>45657</v>
      </c>
      <c r="AC122" s="49" t="str">
        <f t="shared" si="29"/>
        <v/>
      </c>
      <c r="AD122" s="43">
        <f t="shared" si="30"/>
        <v>45657</v>
      </c>
      <c r="AF122" s="19" t="str">
        <f t="shared" si="31"/>
        <v/>
      </c>
      <c r="AG122" s="10"/>
      <c r="AH122" s="1"/>
      <c r="AI122" s="1"/>
      <c r="AJ122" s="1"/>
      <c r="AK122" s="1"/>
      <c r="AL122" s="1"/>
    </row>
    <row r="123" spans="1:38" ht="14.45">
      <c r="A123" s="156">
        <v>122</v>
      </c>
      <c r="B123" s="55">
        <v>45657</v>
      </c>
      <c r="C123" s="33"/>
      <c r="D123" s="14" t="s">
        <v>246</v>
      </c>
      <c r="E123" s="15">
        <v>54776.88</v>
      </c>
      <c r="F123" s="14" t="s">
        <v>250</v>
      </c>
      <c r="G123" s="14" t="s">
        <v>35</v>
      </c>
      <c r="H123" s="14" t="s">
        <v>36</v>
      </c>
      <c r="I123" s="14" t="s">
        <v>47</v>
      </c>
      <c r="J123" s="97">
        <f t="shared" si="16"/>
        <v>45557</v>
      </c>
      <c r="L123" s="19" t="str">
        <f t="shared" si="17"/>
        <v/>
      </c>
      <c r="M123" s="5">
        <f t="shared" si="18"/>
        <v>45568</v>
      </c>
      <c r="O123" s="19" t="str">
        <f t="shared" si="19"/>
        <v/>
      </c>
      <c r="P123" s="5">
        <f t="shared" si="20"/>
        <v>45583</v>
      </c>
      <c r="R123" s="19" t="str">
        <f t="shared" si="21"/>
        <v/>
      </c>
      <c r="S123" s="5">
        <f t="shared" si="22"/>
        <v>45588</v>
      </c>
      <c r="U123" s="19" t="str">
        <f t="shared" si="23"/>
        <v/>
      </c>
      <c r="V123" s="5">
        <f t="shared" si="24"/>
        <v>45627</v>
      </c>
      <c r="W123" s="4">
        <v>45652</v>
      </c>
      <c r="X123" s="19">
        <f t="shared" si="25"/>
        <v>-25</v>
      </c>
      <c r="Y123" s="51">
        <f t="shared" si="26"/>
        <v>45652</v>
      </c>
      <c r="AA123" s="49" t="str">
        <f t="shared" si="27"/>
        <v/>
      </c>
      <c r="AB123" s="51">
        <f t="shared" si="28"/>
        <v>45657</v>
      </c>
      <c r="AC123" s="49" t="str">
        <f t="shared" si="29"/>
        <v/>
      </c>
      <c r="AD123" s="43">
        <f t="shared" si="30"/>
        <v>45657</v>
      </c>
      <c r="AF123" s="19" t="str">
        <f t="shared" si="31"/>
        <v/>
      </c>
      <c r="AG123" s="67"/>
      <c r="AH123" s="2"/>
      <c r="AI123" s="2"/>
      <c r="AJ123" s="2"/>
      <c r="AK123" s="2"/>
      <c r="AL123" s="2"/>
    </row>
    <row r="124" spans="1:38" ht="14.45">
      <c r="A124" s="156">
        <v>123</v>
      </c>
      <c r="B124" s="55">
        <v>45657</v>
      </c>
      <c r="C124" s="33"/>
      <c r="D124" s="14" t="s">
        <v>246</v>
      </c>
      <c r="E124" s="15">
        <v>189500</v>
      </c>
      <c r="F124" s="14" t="s">
        <v>251</v>
      </c>
      <c r="G124" s="14" t="s">
        <v>35</v>
      </c>
      <c r="H124" s="14" t="s">
        <v>36</v>
      </c>
      <c r="I124" s="14" t="s">
        <v>252</v>
      </c>
      <c r="J124" s="97">
        <f t="shared" si="16"/>
        <v>45557</v>
      </c>
      <c r="L124" s="19" t="str">
        <f t="shared" si="17"/>
        <v/>
      </c>
      <c r="M124" s="5">
        <f t="shared" si="18"/>
        <v>45568</v>
      </c>
      <c r="O124" s="19" t="str">
        <f t="shared" si="19"/>
        <v/>
      </c>
      <c r="P124" s="5">
        <f t="shared" si="20"/>
        <v>45583</v>
      </c>
      <c r="R124" s="19" t="str">
        <f t="shared" si="21"/>
        <v/>
      </c>
      <c r="S124" s="5">
        <f t="shared" si="22"/>
        <v>45588</v>
      </c>
      <c r="U124" s="19" t="str">
        <f t="shared" si="23"/>
        <v/>
      </c>
      <c r="V124" s="5">
        <f t="shared" si="24"/>
        <v>45627</v>
      </c>
      <c r="W124" s="4">
        <v>45652</v>
      </c>
      <c r="X124" s="19">
        <f t="shared" si="25"/>
        <v>-25</v>
      </c>
      <c r="Y124" s="51">
        <f t="shared" si="26"/>
        <v>45652</v>
      </c>
      <c r="AA124" s="49" t="str">
        <f t="shared" si="27"/>
        <v/>
      </c>
      <c r="AB124" s="51">
        <f t="shared" si="28"/>
        <v>45657</v>
      </c>
      <c r="AC124" s="49" t="str">
        <f t="shared" si="29"/>
        <v/>
      </c>
      <c r="AD124" s="43">
        <f t="shared" si="30"/>
        <v>45657</v>
      </c>
      <c r="AF124" s="19" t="str">
        <f t="shared" si="31"/>
        <v/>
      </c>
      <c r="AG124" s="67"/>
      <c r="AH124" s="2"/>
      <c r="AI124" s="2"/>
      <c r="AJ124" s="2"/>
      <c r="AK124" s="2"/>
      <c r="AL124" s="2"/>
    </row>
    <row r="125" spans="1:38" ht="14.45">
      <c r="A125" s="156">
        <v>124</v>
      </c>
      <c r="B125" s="55">
        <v>45657</v>
      </c>
      <c r="C125" s="33"/>
      <c r="D125" s="14" t="s">
        <v>253</v>
      </c>
      <c r="E125" s="15">
        <v>291882.98</v>
      </c>
      <c r="F125" s="14" t="s">
        <v>37</v>
      </c>
      <c r="G125" s="14" t="s">
        <v>35</v>
      </c>
      <c r="H125" s="14" t="s">
        <v>36</v>
      </c>
      <c r="I125" s="14" t="s">
        <v>37</v>
      </c>
      <c r="J125" s="97">
        <f t="shared" si="16"/>
        <v>45557</v>
      </c>
      <c r="L125" s="19" t="str">
        <f t="shared" si="17"/>
        <v/>
      </c>
      <c r="M125" s="5">
        <f t="shared" si="18"/>
        <v>45568</v>
      </c>
      <c r="O125" s="19" t="str">
        <f t="shared" si="19"/>
        <v/>
      </c>
      <c r="P125" s="5">
        <f t="shared" si="20"/>
        <v>45583</v>
      </c>
      <c r="R125" s="19" t="str">
        <f t="shared" si="21"/>
        <v/>
      </c>
      <c r="S125" s="5">
        <f t="shared" si="22"/>
        <v>45588</v>
      </c>
      <c r="U125" s="19" t="str">
        <f t="shared" si="23"/>
        <v/>
      </c>
      <c r="V125" s="5">
        <f t="shared" si="24"/>
        <v>45627</v>
      </c>
      <c r="X125" s="19" t="str">
        <f t="shared" si="25"/>
        <v/>
      </c>
      <c r="Y125" s="51">
        <f t="shared" si="26"/>
        <v>45652</v>
      </c>
      <c r="AA125" s="49" t="str">
        <f t="shared" si="27"/>
        <v/>
      </c>
      <c r="AB125" s="51">
        <f t="shared" si="28"/>
        <v>45657</v>
      </c>
      <c r="AC125" s="49" t="str">
        <f t="shared" si="29"/>
        <v/>
      </c>
      <c r="AD125" s="43">
        <f t="shared" si="30"/>
        <v>45657</v>
      </c>
      <c r="AF125" s="19" t="str">
        <f t="shared" si="31"/>
        <v/>
      </c>
      <c r="AG125" s="67"/>
      <c r="AH125" s="2"/>
      <c r="AI125" s="2"/>
      <c r="AJ125" s="2"/>
      <c r="AK125" s="2"/>
      <c r="AL125" s="2"/>
    </row>
    <row r="126" spans="1:38" ht="28.9">
      <c r="A126" s="156">
        <v>125</v>
      </c>
      <c r="B126" s="55">
        <v>45657</v>
      </c>
      <c r="C126" s="33"/>
      <c r="D126" s="14" t="s">
        <v>254</v>
      </c>
      <c r="E126" s="15">
        <v>40473.629999999997</v>
      </c>
      <c r="F126" s="18" t="s">
        <v>255</v>
      </c>
      <c r="G126" s="10" t="s">
        <v>120</v>
      </c>
      <c r="H126" s="14" t="s">
        <v>40</v>
      </c>
      <c r="I126" s="14" t="s">
        <v>37</v>
      </c>
      <c r="J126" s="97">
        <f t="shared" si="16"/>
        <v>45557</v>
      </c>
      <c r="L126" s="19" t="str">
        <f t="shared" si="17"/>
        <v/>
      </c>
      <c r="M126" s="5">
        <f t="shared" si="18"/>
        <v>45568</v>
      </c>
      <c r="O126" s="19" t="str">
        <f t="shared" si="19"/>
        <v/>
      </c>
      <c r="P126" s="5">
        <f t="shared" si="20"/>
        <v>45583</v>
      </c>
      <c r="R126" s="19" t="str">
        <f t="shared" si="21"/>
        <v/>
      </c>
      <c r="S126" s="5">
        <f t="shared" si="22"/>
        <v>45588</v>
      </c>
      <c r="T126" s="6">
        <v>45622</v>
      </c>
      <c r="U126" s="19">
        <f t="shared" si="23"/>
        <v>-34</v>
      </c>
      <c r="V126" s="5">
        <f t="shared" si="24"/>
        <v>45627</v>
      </c>
      <c r="W126" s="4">
        <v>45660</v>
      </c>
      <c r="X126" s="19">
        <f t="shared" si="25"/>
        <v>-33</v>
      </c>
      <c r="Y126" s="51">
        <f t="shared" si="26"/>
        <v>45652</v>
      </c>
      <c r="Z126" s="4">
        <v>45701</v>
      </c>
      <c r="AA126" s="49">
        <f t="shared" si="27"/>
        <v>-49</v>
      </c>
      <c r="AB126" s="51">
        <f t="shared" si="28"/>
        <v>45657</v>
      </c>
      <c r="AC126" s="49">
        <f t="shared" si="29"/>
        <v>-44</v>
      </c>
      <c r="AD126" s="43">
        <f t="shared" si="30"/>
        <v>45657</v>
      </c>
      <c r="AE126" s="4">
        <v>45701</v>
      </c>
      <c r="AF126" s="19">
        <f t="shared" si="31"/>
        <v>-44</v>
      </c>
      <c r="AG126" s="67"/>
      <c r="AH126" s="2"/>
      <c r="AI126" s="2"/>
      <c r="AJ126" s="2"/>
      <c r="AK126" s="2"/>
      <c r="AL126" s="2"/>
    </row>
    <row r="127" spans="1:38" ht="14.45">
      <c r="A127" s="156">
        <v>126</v>
      </c>
      <c r="B127" s="55">
        <v>45657</v>
      </c>
      <c r="C127" s="32" t="s">
        <v>162</v>
      </c>
      <c r="D127" s="14" t="s">
        <v>77</v>
      </c>
      <c r="E127" s="15">
        <v>24969.71</v>
      </c>
      <c r="F127" s="14" t="s">
        <v>163</v>
      </c>
      <c r="G127" s="14" t="s">
        <v>51</v>
      </c>
      <c r="H127" s="14" t="s">
        <v>40</v>
      </c>
      <c r="I127" s="14" t="s">
        <v>52</v>
      </c>
      <c r="J127" s="97">
        <f t="shared" si="16"/>
        <v>45557</v>
      </c>
      <c r="K127" s="4">
        <v>45625</v>
      </c>
      <c r="L127" s="19">
        <f t="shared" si="17"/>
        <v>-68</v>
      </c>
      <c r="M127" s="5">
        <f t="shared" si="18"/>
        <v>45568</v>
      </c>
      <c r="N127" s="4">
        <v>45577</v>
      </c>
      <c r="O127" s="19">
        <f t="shared" si="19"/>
        <v>-9</v>
      </c>
      <c r="P127" s="5">
        <f t="shared" si="20"/>
        <v>45583</v>
      </c>
      <c r="Q127" s="4">
        <v>45649</v>
      </c>
      <c r="R127" s="19">
        <f t="shared" si="21"/>
        <v>-66</v>
      </c>
      <c r="S127" s="5">
        <f t="shared" si="22"/>
        <v>45588</v>
      </c>
      <c r="T127" s="4">
        <v>45652</v>
      </c>
      <c r="U127" s="19">
        <f t="shared" si="23"/>
        <v>-64</v>
      </c>
      <c r="V127" s="5">
        <f t="shared" si="24"/>
        <v>45627</v>
      </c>
      <c r="X127" s="19" t="str">
        <f t="shared" si="25"/>
        <v/>
      </c>
      <c r="Y127" s="51">
        <f t="shared" si="26"/>
        <v>45652</v>
      </c>
      <c r="Z127" s="4">
        <v>45656</v>
      </c>
      <c r="AA127" s="49">
        <f t="shared" si="27"/>
        <v>-4</v>
      </c>
      <c r="AB127" s="51">
        <f t="shared" si="28"/>
        <v>45657</v>
      </c>
      <c r="AC127" s="49">
        <f t="shared" si="29"/>
        <v>1</v>
      </c>
      <c r="AD127" s="43">
        <f t="shared" si="30"/>
        <v>45657</v>
      </c>
      <c r="AE127" s="4">
        <v>45656</v>
      </c>
      <c r="AF127" s="19">
        <f t="shared" si="31"/>
        <v>1</v>
      </c>
      <c r="AG127" s="67"/>
      <c r="AH127" s="2"/>
      <c r="AI127" s="2"/>
      <c r="AJ127" s="2"/>
      <c r="AK127" s="2"/>
      <c r="AL127" s="2"/>
    </row>
    <row r="128" spans="1:38" ht="14.45">
      <c r="A128" s="156">
        <v>127</v>
      </c>
      <c r="B128" s="55">
        <v>45657</v>
      </c>
      <c r="C128" s="33"/>
      <c r="D128" s="14" t="s">
        <v>122</v>
      </c>
      <c r="E128" s="15">
        <v>39728.57</v>
      </c>
      <c r="F128" s="14" t="s">
        <v>123</v>
      </c>
      <c r="G128" s="10" t="s">
        <v>120</v>
      </c>
      <c r="H128" s="14" t="s">
        <v>40</v>
      </c>
      <c r="I128" s="14" t="s">
        <v>52</v>
      </c>
      <c r="J128" s="97">
        <f t="shared" si="16"/>
        <v>45557</v>
      </c>
      <c r="L128" s="19" t="str">
        <f t="shared" si="17"/>
        <v/>
      </c>
      <c r="M128" s="5">
        <f t="shared" si="18"/>
        <v>45568</v>
      </c>
      <c r="N128" s="4">
        <v>45484</v>
      </c>
      <c r="O128" s="19">
        <f t="shared" si="19"/>
        <v>84</v>
      </c>
      <c r="P128" s="5">
        <f t="shared" si="20"/>
        <v>45583</v>
      </c>
      <c r="Q128" s="4">
        <v>45613</v>
      </c>
      <c r="R128" s="19">
        <f t="shared" si="21"/>
        <v>-30</v>
      </c>
      <c r="S128" s="5">
        <f t="shared" si="22"/>
        <v>45588</v>
      </c>
      <c r="T128" s="4">
        <v>45617</v>
      </c>
      <c r="U128" s="19">
        <f t="shared" si="23"/>
        <v>-29</v>
      </c>
      <c r="V128" s="5">
        <f t="shared" si="24"/>
        <v>45627</v>
      </c>
      <c r="W128" s="4">
        <v>45617</v>
      </c>
      <c r="X128" s="19">
        <f t="shared" si="25"/>
        <v>10</v>
      </c>
      <c r="Y128" s="51">
        <f t="shared" si="26"/>
        <v>45652</v>
      </c>
      <c r="Z128" s="4">
        <v>45621</v>
      </c>
      <c r="AA128" s="49">
        <f t="shared" si="27"/>
        <v>31</v>
      </c>
      <c r="AB128" s="51">
        <f t="shared" si="28"/>
        <v>45657</v>
      </c>
      <c r="AC128" s="49">
        <f t="shared" si="29"/>
        <v>36</v>
      </c>
      <c r="AD128" s="43">
        <f t="shared" si="30"/>
        <v>45657</v>
      </c>
      <c r="AE128" s="4">
        <v>45621</v>
      </c>
      <c r="AF128" s="19">
        <f t="shared" si="31"/>
        <v>36</v>
      </c>
      <c r="AG128" s="67"/>
      <c r="AH128" s="2"/>
      <c r="AI128" s="2"/>
      <c r="AJ128" s="2"/>
      <c r="AK128" s="2"/>
      <c r="AL128" s="2"/>
    </row>
    <row r="129" spans="1:38" ht="14.45">
      <c r="A129" s="156">
        <v>128</v>
      </c>
      <c r="B129" s="55">
        <v>45658</v>
      </c>
      <c r="C129" s="33"/>
      <c r="D129" s="14" t="s">
        <v>66</v>
      </c>
      <c r="E129" s="15">
        <v>263.05</v>
      </c>
      <c r="F129" s="14" t="s">
        <v>256</v>
      </c>
      <c r="G129" s="14" t="s">
        <v>110</v>
      </c>
      <c r="H129" s="14" t="s">
        <v>40</v>
      </c>
      <c r="I129" s="14" t="s">
        <v>62</v>
      </c>
      <c r="J129" s="97">
        <f t="shared" si="16"/>
        <v>45558</v>
      </c>
      <c r="L129" s="19" t="str">
        <f t="shared" si="17"/>
        <v/>
      </c>
      <c r="M129" s="5">
        <f t="shared" si="18"/>
        <v>45569</v>
      </c>
      <c r="N129" s="4">
        <v>45455</v>
      </c>
      <c r="O129" s="19">
        <f t="shared" si="19"/>
        <v>114</v>
      </c>
      <c r="P129" s="5">
        <f t="shared" si="20"/>
        <v>45584</v>
      </c>
      <c r="Q129" s="4">
        <v>45649</v>
      </c>
      <c r="R129" s="19">
        <f t="shared" si="21"/>
        <v>-65</v>
      </c>
      <c r="S129" s="5">
        <f t="shared" si="22"/>
        <v>45589</v>
      </c>
      <c r="T129" s="4">
        <v>45656</v>
      </c>
      <c r="U129" s="19">
        <f t="shared" si="23"/>
        <v>-67</v>
      </c>
      <c r="V129" s="5">
        <f t="shared" si="24"/>
        <v>45628</v>
      </c>
      <c r="W129" s="4">
        <v>45659</v>
      </c>
      <c r="X129" s="19">
        <f t="shared" si="25"/>
        <v>-31</v>
      </c>
      <c r="Y129" s="51">
        <f t="shared" si="26"/>
        <v>45653</v>
      </c>
      <c r="Z129" s="4">
        <v>45659</v>
      </c>
      <c r="AA129" s="49">
        <f t="shared" si="27"/>
        <v>-6</v>
      </c>
      <c r="AB129" s="51">
        <f t="shared" si="28"/>
        <v>45658</v>
      </c>
      <c r="AC129" s="49">
        <f t="shared" si="29"/>
        <v>-1</v>
      </c>
      <c r="AD129" s="43">
        <f t="shared" si="30"/>
        <v>45658</v>
      </c>
      <c r="AE129" s="4">
        <v>45659</v>
      </c>
      <c r="AF129" s="19">
        <f t="shared" si="31"/>
        <v>-1</v>
      </c>
      <c r="AG129" s="67"/>
      <c r="AH129" s="2"/>
      <c r="AI129" s="2"/>
      <c r="AJ129" s="2"/>
      <c r="AK129" s="2"/>
      <c r="AL129" s="2"/>
    </row>
    <row r="130" spans="1:38" ht="14.45">
      <c r="A130" s="156">
        <v>129</v>
      </c>
      <c r="B130" s="55">
        <v>45658</v>
      </c>
      <c r="C130" s="33"/>
      <c r="D130" s="14" t="s">
        <v>257</v>
      </c>
      <c r="E130" s="15">
        <v>24001.17</v>
      </c>
      <c r="F130" s="14" t="s">
        <v>258</v>
      </c>
      <c r="G130" s="14" t="s">
        <v>35</v>
      </c>
      <c r="H130" s="14" t="s">
        <v>36</v>
      </c>
      <c r="I130" s="14" t="s">
        <v>37</v>
      </c>
      <c r="J130" s="97">
        <f t="shared" ref="J130:J193" si="32">B130-100</f>
        <v>45558</v>
      </c>
      <c r="L130" s="19" t="str">
        <f t="shared" ref="L130:L193" si="33">IF(OR(J130="", K130=""), "", J130-K130)</f>
        <v/>
      </c>
      <c r="M130" s="5">
        <f t="shared" ref="M130:M193" si="34">B130-89</f>
        <v>45569</v>
      </c>
      <c r="O130" s="19" t="str">
        <f t="shared" ref="O130:O193" si="35">IF(OR(M130="", N130=""), "", M130-N130)</f>
        <v/>
      </c>
      <c r="P130" s="5">
        <f t="shared" ref="P130:P193" si="36">B130-74</f>
        <v>45584</v>
      </c>
      <c r="R130" s="19" t="str">
        <f t="shared" ref="R130:R193" si="37">IF(OR(P130="", Q130=""), "", P130-Q130)</f>
        <v/>
      </c>
      <c r="S130" s="5">
        <f t="shared" ref="S130:S193" si="38">B130-69</f>
        <v>45589</v>
      </c>
      <c r="U130" s="19" t="str">
        <f t="shared" ref="U130:U193" si="39">IF(OR(S130="", T130=""), "", S130-T130)</f>
        <v/>
      </c>
      <c r="V130" s="5">
        <f t="shared" ref="V130:V193" si="40">B130-30</f>
        <v>45628</v>
      </c>
      <c r="W130" s="4">
        <v>45424</v>
      </c>
      <c r="X130" s="19">
        <f t="shared" ref="X130:X193" si="41">IF(OR(V130="", W130=""), "", V130-W130)</f>
        <v>204</v>
      </c>
      <c r="Y130" s="51">
        <f t="shared" ref="Y130:Y193" si="42">B130-5</f>
        <v>45653</v>
      </c>
      <c r="AA130" s="49" t="str">
        <f t="shared" ref="AA130:AA193" si="43">IF(OR(Y130="", Z130=""), "", Y130-Z130)</f>
        <v/>
      </c>
      <c r="AB130" s="51">
        <f t="shared" ref="AB130:AB193" si="44">IF(B130&lt;&gt;"", B130, "")</f>
        <v>45658</v>
      </c>
      <c r="AC130" s="49" t="str">
        <f t="shared" ref="AC130:AC193" si="45">IF(OR(AB130="", Z130=""), "", AB130-Z130)</f>
        <v/>
      </c>
      <c r="AD130" s="43">
        <f t="shared" ref="AD130:AD193" si="46">IF(B130&lt;&gt;"", B130, "")</f>
        <v>45658</v>
      </c>
      <c r="AF130" s="19" t="str">
        <f t="shared" ref="AF130:AF193" si="47">IF(OR(AD130="", AE130=""), "", AD130-AE130)</f>
        <v/>
      </c>
      <c r="AG130" s="67"/>
      <c r="AH130" s="2"/>
      <c r="AI130" s="2"/>
      <c r="AJ130" s="2"/>
      <c r="AK130" s="2"/>
      <c r="AL130" s="2"/>
    </row>
    <row r="131" spans="1:38" ht="14.45" customHeight="1">
      <c r="A131" s="156">
        <v>130</v>
      </c>
      <c r="B131" s="54">
        <v>45658</v>
      </c>
      <c r="C131" s="39" t="s">
        <v>259</v>
      </c>
      <c r="D131" s="12" t="s">
        <v>38</v>
      </c>
      <c r="E131" s="13">
        <v>92.06</v>
      </c>
      <c r="F131" s="31" t="s">
        <v>260</v>
      </c>
      <c r="G131" s="12" t="s">
        <v>190</v>
      </c>
      <c r="H131" s="12" t="s">
        <v>40</v>
      </c>
      <c r="I131" s="12" t="s">
        <v>41</v>
      </c>
      <c r="J131" s="97">
        <f t="shared" si="32"/>
        <v>45558</v>
      </c>
      <c r="L131" s="19" t="str">
        <f t="shared" si="33"/>
        <v/>
      </c>
      <c r="M131" s="5">
        <f t="shared" si="34"/>
        <v>45569</v>
      </c>
      <c r="N131" s="4">
        <v>45652</v>
      </c>
      <c r="O131" s="19">
        <f t="shared" si="35"/>
        <v>-83</v>
      </c>
      <c r="P131" s="5">
        <f t="shared" si="36"/>
        <v>45584</v>
      </c>
      <c r="Q131" s="4">
        <v>46022</v>
      </c>
      <c r="R131" s="19">
        <f t="shared" si="37"/>
        <v>-438</v>
      </c>
      <c r="S131" s="5">
        <f t="shared" si="38"/>
        <v>45589</v>
      </c>
      <c r="T131" s="4">
        <v>45657</v>
      </c>
      <c r="U131" s="19">
        <f t="shared" si="39"/>
        <v>-68</v>
      </c>
      <c r="V131" s="5">
        <f t="shared" si="40"/>
        <v>45628</v>
      </c>
      <c r="W131" s="4">
        <v>45666</v>
      </c>
      <c r="X131" s="19">
        <f t="shared" si="41"/>
        <v>-38</v>
      </c>
      <c r="Y131" s="51">
        <f t="shared" si="42"/>
        <v>45653</v>
      </c>
      <c r="Z131" s="4">
        <v>45666</v>
      </c>
      <c r="AA131" s="49">
        <f t="shared" si="43"/>
        <v>-13</v>
      </c>
      <c r="AB131" s="51">
        <f t="shared" si="44"/>
        <v>45658</v>
      </c>
      <c r="AC131" s="49">
        <f t="shared" si="45"/>
        <v>-8</v>
      </c>
      <c r="AD131" s="43">
        <f t="shared" si="46"/>
        <v>45658</v>
      </c>
      <c r="AE131" s="4">
        <v>45666</v>
      </c>
      <c r="AF131" s="19">
        <f t="shared" si="47"/>
        <v>-8</v>
      </c>
      <c r="AG131" s="67"/>
      <c r="AH131" s="2"/>
      <c r="AI131" s="2"/>
      <c r="AJ131" s="2"/>
      <c r="AK131" s="2"/>
      <c r="AL131" s="2"/>
    </row>
    <row r="132" spans="1:38" ht="14.45">
      <c r="A132" s="156">
        <v>131</v>
      </c>
      <c r="B132" s="55">
        <v>45659</v>
      </c>
      <c r="C132" s="33" t="s">
        <v>261</v>
      </c>
      <c r="D132" s="14" t="s">
        <v>200</v>
      </c>
      <c r="E132" s="15">
        <v>595.01</v>
      </c>
      <c r="F132" s="14" t="s">
        <v>262</v>
      </c>
      <c r="G132" s="14" t="s">
        <v>51</v>
      </c>
      <c r="H132" s="14" t="s">
        <v>40</v>
      </c>
      <c r="I132" s="14" t="s">
        <v>62</v>
      </c>
      <c r="J132" s="97">
        <f t="shared" si="32"/>
        <v>45559</v>
      </c>
      <c r="L132" s="19" t="str">
        <f t="shared" si="33"/>
        <v/>
      </c>
      <c r="M132" s="5">
        <f t="shared" si="34"/>
        <v>45570</v>
      </c>
      <c r="O132" s="19" t="str">
        <f t="shared" si="35"/>
        <v/>
      </c>
      <c r="P132" s="5">
        <f t="shared" si="36"/>
        <v>45585</v>
      </c>
      <c r="R132" s="19" t="str">
        <f t="shared" si="37"/>
        <v/>
      </c>
      <c r="S132" s="5">
        <f t="shared" si="38"/>
        <v>45590</v>
      </c>
      <c r="U132" s="19" t="str">
        <f t="shared" si="39"/>
        <v/>
      </c>
      <c r="V132" s="5">
        <f t="shared" si="40"/>
        <v>45629</v>
      </c>
      <c r="X132" s="19" t="str">
        <f t="shared" si="41"/>
        <v/>
      </c>
      <c r="Y132" s="51">
        <f t="shared" si="42"/>
        <v>45654</v>
      </c>
      <c r="Z132" s="4">
        <v>45660</v>
      </c>
      <c r="AA132" s="49">
        <f t="shared" si="43"/>
        <v>-6</v>
      </c>
      <c r="AB132" s="51">
        <f t="shared" si="44"/>
        <v>45659</v>
      </c>
      <c r="AC132" s="49">
        <f t="shared" si="45"/>
        <v>-1</v>
      </c>
      <c r="AD132" s="43">
        <f t="shared" si="46"/>
        <v>45659</v>
      </c>
      <c r="AE132" s="4">
        <v>45660</v>
      </c>
      <c r="AF132" s="19">
        <f t="shared" si="47"/>
        <v>-1</v>
      </c>
      <c r="AG132" s="67"/>
      <c r="AH132" s="2"/>
      <c r="AI132" s="2"/>
      <c r="AJ132" s="2"/>
      <c r="AK132" s="2"/>
      <c r="AL132" s="2"/>
    </row>
    <row r="133" spans="1:38" ht="14.45">
      <c r="A133" s="156">
        <v>132</v>
      </c>
      <c r="B133" s="55">
        <v>45659</v>
      </c>
      <c r="C133" s="39" t="s">
        <v>263</v>
      </c>
      <c r="D133" s="14" t="s">
        <v>264</v>
      </c>
      <c r="E133" s="15">
        <v>1692.09</v>
      </c>
      <c r="F133" s="14" t="s">
        <v>265</v>
      </c>
      <c r="G133" s="14" t="s">
        <v>190</v>
      </c>
      <c r="H133" s="14" t="s">
        <v>40</v>
      </c>
      <c r="I133" s="14" t="s">
        <v>93</v>
      </c>
      <c r="J133" s="97">
        <f t="shared" si="32"/>
        <v>45559</v>
      </c>
      <c r="L133" s="19" t="str">
        <f t="shared" si="33"/>
        <v/>
      </c>
      <c r="M133" s="5">
        <f t="shared" si="34"/>
        <v>45570</v>
      </c>
      <c r="O133" s="19" t="str">
        <f t="shared" si="35"/>
        <v/>
      </c>
      <c r="P133" s="5">
        <f t="shared" si="36"/>
        <v>45585</v>
      </c>
      <c r="R133" s="19" t="str">
        <f t="shared" si="37"/>
        <v/>
      </c>
      <c r="S133" s="5">
        <f t="shared" si="38"/>
        <v>45590</v>
      </c>
      <c r="T133" s="4">
        <v>45652</v>
      </c>
      <c r="U133" s="19">
        <f t="shared" si="39"/>
        <v>-62</v>
      </c>
      <c r="V133" s="5">
        <f t="shared" si="40"/>
        <v>45629</v>
      </c>
      <c r="W133" s="6">
        <v>45656</v>
      </c>
      <c r="X133" s="19">
        <f t="shared" si="41"/>
        <v>-27</v>
      </c>
      <c r="Y133" s="51">
        <f t="shared" si="42"/>
        <v>45654</v>
      </c>
      <c r="Z133" s="4">
        <v>45665</v>
      </c>
      <c r="AA133" s="49">
        <f t="shared" si="43"/>
        <v>-11</v>
      </c>
      <c r="AB133" s="51">
        <f t="shared" si="44"/>
        <v>45659</v>
      </c>
      <c r="AC133" s="49">
        <f t="shared" si="45"/>
        <v>-6</v>
      </c>
      <c r="AD133" s="43">
        <f t="shared" si="46"/>
        <v>45659</v>
      </c>
      <c r="AE133" s="4">
        <v>45665</v>
      </c>
      <c r="AF133" s="19">
        <f t="shared" si="47"/>
        <v>-6</v>
      </c>
      <c r="AG133" s="67"/>
      <c r="AH133" s="2"/>
      <c r="AI133" s="2"/>
      <c r="AJ133" s="2"/>
      <c r="AK133" s="2"/>
      <c r="AL133" s="2"/>
    </row>
    <row r="134" spans="1:38" ht="14.45">
      <c r="A134" s="156">
        <v>133</v>
      </c>
      <c r="B134" s="55">
        <v>45659</v>
      </c>
      <c r="C134" s="33"/>
      <c r="D134" s="14" t="s">
        <v>266</v>
      </c>
      <c r="E134" s="15">
        <v>111920.29</v>
      </c>
      <c r="F134" s="14" t="s">
        <v>267</v>
      </c>
      <c r="G134" s="10" t="s">
        <v>120</v>
      </c>
      <c r="H134" s="14" t="s">
        <v>40</v>
      </c>
      <c r="I134" s="14" t="s">
        <v>37</v>
      </c>
      <c r="J134" s="97">
        <f t="shared" si="32"/>
        <v>45559</v>
      </c>
      <c r="K134" s="95">
        <v>45653</v>
      </c>
      <c r="L134" s="19">
        <f t="shared" si="33"/>
        <v>-94</v>
      </c>
      <c r="M134" s="5">
        <f t="shared" si="34"/>
        <v>45570</v>
      </c>
      <c r="O134" s="19" t="str">
        <f t="shared" si="35"/>
        <v/>
      </c>
      <c r="P134" s="5">
        <f t="shared" si="36"/>
        <v>45585</v>
      </c>
      <c r="R134" s="19" t="str">
        <f t="shared" si="37"/>
        <v/>
      </c>
      <c r="S134" s="5">
        <f t="shared" si="38"/>
        <v>45590</v>
      </c>
      <c r="T134" s="95">
        <v>45645</v>
      </c>
      <c r="U134" s="19">
        <f t="shared" si="39"/>
        <v>-55</v>
      </c>
      <c r="V134" s="5">
        <f t="shared" si="40"/>
        <v>45629</v>
      </c>
      <c r="W134" s="96">
        <v>45664</v>
      </c>
      <c r="X134" s="19">
        <f t="shared" si="41"/>
        <v>-35</v>
      </c>
      <c r="Y134" s="51">
        <f t="shared" si="42"/>
        <v>45654</v>
      </c>
      <c r="AA134" s="49" t="str">
        <f t="shared" si="43"/>
        <v/>
      </c>
      <c r="AB134" s="51">
        <f t="shared" si="44"/>
        <v>45659</v>
      </c>
      <c r="AC134" s="49" t="str">
        <f t="shared" si="45"/>
        <v/>
      </c>
      <c r="AD134" s="43">
        <f t="shared" si="46"/>
        <v>45659</v>
      </c>
      <c r="AF134" s="19" t="str">
        <f t="shared" si="47"/>
        <v/>
      </c>
      <c r="AG134" s="67"/>
      <c r="AH134" s="2"/>
      <c r="AI134" s="2"/>
      <c r="AJ134" s="2"/>
      <c r="AK134" s="2"/>
      <c r="AL134" s="2"/>
    </row>
    <row r="135" spans="1:38" ht="14.45">
      <c r="A135" s="156">
        <v>134</v>
      </c>
      <c r="B135" s="55">
        <v>45659</v>
      </c>
      <c r="C135" s="76"/>
      <c r="D135" s="14" t="s">
        <v>268</v>
      </c>
      <c r="E135" s="15">
        <v>47156.86</v>
      </c>
      <c r="F135" s="14" t="s">
        <v>269</v>
      </c>
      <c r="G135" s="14" t="s">
        <v>46</v>
      </c>
      <c r="H135" s="14" t="s">
        <v>40</v>
      </c>
      <c r="I135" s="14" t="s">
        <v>62</v>
      </c>
      <c r="J135" s="97">
        <f t="shared" si="32"/>
        <v>45559</v>
      </c>
      <c r="K135" s="4">
        <v>45611</v>
      </c>
      <c r="L135" s="19">
        <f t="shared" si="33"/>
        <v>-52</v>
      </c>
      <c r="M135" s="5">
        <f t="shared" si="34"/>
        <v>45570</v>
      </c>
      <c r="N135" s="4">
        <v>45645</v>
      </c>
      <c r="O135" s="19">
        <f t="shared" si="35"/>
        <v>-75</v>
      </c>
      <c r="P135" s="5">
        <f t="shared" si="36"/>
        <v>45585</v>
      </c>
      <c r="Q135" s="4">
        <v>45294</v>
      </c>
      <c r="R135" s="19">
        <f t="shared" si="37"/>
        <v>291</v>
      </c>
      <c r="S135" s="5">
        <f t="shared" si="38"/>
        <v>45590</v>
      </c>
      <c r="T135" s="4">
        <v>45657</v>
      </c>
      <c r="U135" s="19">
        <f t="shared" si="39"/>
        <v>-67</v>
      </c>
      <c r="V135" s="5">
        <f t="shared" si="40"/>
        <v>45629</v>
      </c>
      <c r="W135" s="4">
        <v>45674</v>
      </c>
      <c r="X135" s="19">
        <f t="shared" si="41"/>
        <v>-45</v>
      </c>
      <c r="Y135" s="51">
        <f t="shared" si="42"/>
        <v>45654</v>
      </c>
      <c r="Z135" s="4">
        <v>45695</v>
      </c>
      <c r="AA135" s="49">
        <f t="shared" si="43"/>
        <v>-41</v>
      </c>
      <c r="AB135" s="51">
        <f t="shared" si="44"/>
        <v>45659</v>
      </c>
      <c r="AC135" s="49">
        <f t="shared" si="45"/>
        <v>-36</v>
      </c>
      <c r="AD135" s="43">
        <f t="shared" si="46"/>
        <v>45659</v>
      </c>
      <c r="AE135" s="4">
        <v>45695</v>
      </c>
      <c r="AF135" s="19">
        <f t="shared" si="47"/>
        <v>-36</v>
      </c>
      <c r="AG135" s="67"/>
      <c r="AH135" s="2"/>
      <c r="AI135" s="2"/>
      <c r="AJ135" s="2"/>
      <c r="AK135" s="2"/>
      <c r="AL135" s="2"/>
    </row>
    <row r="136" spans="1:38" ht="14.45">
      <c r="A136" s="156">
        <v>135</v>
      </c>
      <c r="B136" s="55">
        <v>45659</v>
      </c>
      <c r="C136" s="33"/>
      <c r="D136" s="14" t="s">
        <v>270</v>
      </c>
      <c r="E136" s="15">
        <v>24978.91</v>
      </c>
      <c r="F136" s="14" t="s">
        <v>271</v>
      </c>
      <c r="G136" s="14" t="s">
        <v>35</v>
      </c>
      <c r="H136" s="14" t="s">
        <v>36</v>
      </c>
      <c r="I136" s="14" t="s">
        <v>272</v>
      </c>
      <c r="J136" s="97">
        <f t="shared" si="32"/>
        <v>45559</v>
      </c>
      <c r="K136" s="95">
        <v>45664</v>
      </c>
      <c r="L136" s="19">
        <f t="shared" si="33"/>
        <v>-105</v>
      </c>
      <c r="M136" s="5">
        <f t="shared" si="34"/>
        <v>45570</v>
      </c>
      <c r="O136" s="19" t="str">
        <f t="shared" si="35"/>
        <v/>
      </c>
      <c r="P136" s="5">
        <f t="shared" si="36"/>
        <v>45585</v>
      </c>
      <c r="R136" s="19" t="str">
        <f t="shared" si="37"/>
        <v/>
      </c>
      <c r="S136" s="5">
        <f t="shared" si="38"/>
        <v>45590</v>
      </c>
      <c r="T136" s="95">
        <v>45666</v>
      </c>
      <c r="U136" s="19">
        <f t="shared" si="39"/>
        <v>-76</v>
      </c>
      <c r="V136" s="5">
        <f t="shared" si="40"/>
        <v>45629</v>
      </c>
      <c r="X136" s="19" t="str">
        <f t="shared" si="41"/>
        <v/>
      </c>
      <c r="Y136" s="51">
        <f t="shared" si="42"/>
        <v>45654</v>
      </c>
      <c r="AA136" s="49" t="str">
        <f t="shared" si="43"/>
        <v/>
      </c>
      <c r="AB136" s="51">
        <f t="shared" si="44"/>
        <v>45659</v>
      </c>
      <c r="AC136" s="49" t="str">
        <f t="shared" si="45"/>
        <v/>
      </c>
      <c r="AD136" s="43">
        <f t="shared" si="46"/>
        <v>45659</v>
      </c>
      <c r="AF136" s="19" t="str">
        <f t="shared" si="47"/>
        <v/>
      </c>
      <c r="AG136" s="67"/>
      <c r="AH136" s="2"/>
      <c r="AI136" s="2"/>
      <c r="AJ136" s="2"/>
      <c r="AK136" s="2"/>
      <c r="AL136" s="2"/>
    </row>
    <row r="137" spans="1:38" ht="14.45">
      <c r="A137" s="156">
        <v>136</v>
      </c>
      <c r="B137" s="55">
        <v>45660</v>
      </c>
      <c r="C137" s="76"/>
      <c r="D137" s="14" t="s">
        <v>273</v>
      </c>
      <c r="E137" s="15">
        <v>960.25</v>
      </c>
      <c r="F137" s="14" t="s">
        <v>274</v>
      </c>
      <c r="G137" s="14" t="s">
        <v>46</v>
      </c>
      <c r="H137" s="14" t="s">
        <v>40</v>
      </c>
      <c r="I137" s="14" t="s">
        <v>93</v>
      </c>
      <c r="J137" s="97">
        <f t="shared" si="32"/>
        <v>45560</v>
      </c>
      <c r="L137" s="19" t="str">
        <f t="shared" si="33"/>
        <v/>
      </c>
      <c r="M137" s="5">
        <f t="shared" si="34"/>
        <v>45571</v>
      </c>
      <c r="O137" s="19" t="str">
        <f t="shared" si="35"/>
        <v/>
      </c>
      <c r="P137" s="5">
        <f t="shared" si="36"/>
        <v>45586</v>
      </c>
      <c r="R137" s="19" t="str">
        <f t="shared" si="37"/>
        <v/>
      </c>
      <c r="S137" s="5">
        <f t="shared" si="38"/>
        <v>45591</v>
      </c>
      <c r="T137" s="5">
        <v>45637</v>
      </c>
      <c r="U137" s="19">
        <f t="shared" si="39"/>
        <v>-46</v>
      </c>
      <c r="V137" s="5">
        <f t="shared" si="40"/>
        <v>45630</v>
      </c>
      <c r="W137" s="5">
        <v>45645</v>
      </c>
      <c r="X137" s="19">
        <f t="shared" si="41"/>
        <v>-15</v>
      </c>
      <c r="Y137" s="51">
        <f t="shared" si="42"/>
        <v>45655</v>
      </c>
      <c r="Z137" s="4">
        <v>45681</v>
      </c>
      <c r="AA137" s="49">
        <f t="shared" si="43"/>
        <v>-26</v>
      </c>
      <c r="AB137" s="51">
        <f t="shared" si="44"/>
        <v>45660</v>
      </c>
      <c r="AC137" s="49">
        <f t="shared" si="45"/>
        <v>-21</v>
      </c>
      <c r="AD137" s="43">
        <f t="shared" si="46"/>
        <v>45660</v>
      </c>
      <c r="AE137" s="4">
        <v>45681</v>
      </c>
      <c r="AF137" s="19">
        <f t="shared" si="47"/>
        <v>-21</v>
      </c>
      <c r="AG137" s="67"/>
      <c r="AH137" s="2"/>
      <c r="AI137" s="2"/>
      <c r="AJ137" s="2"/>
      <c r="AK137" s="2"/>
      <c r="AL137" s="2"/>
    </row>
    <row r="138" spans="1:38" ht="14.45">
      <c r="A138" s="156">
        <v>137</v>
      </c>
      <c r="B138" s="55">
        <v>45660</v>
      </c>
      <c r="C138" s="77"/>
      <c r="D138" s="14" t="s">
        <v>273</v>
      </c>
      <c r="E138" s="15">
        <v>332.41</v>
      </c>
      <c r="F138" s="14" t="s">
        <v>275</v>
      </c>
      <c r="G138" s="14" t="s">
        <v>46</v>
      </c>
      <c r="H138" s="14" t="s">
        <v>40</v>
      </c>
      <c r="I138" s="14" t="s">
        <v>276</v>
      </c>
      <c r="J138" s="97">
        <f t="shared" si="32"/>
        <v>45560</v>
      </c>
      <c r="L138" s="19" t="str">
        <f t="shared" si="33"/>
        <v/>
      </c>
      <c r="M138" s="5">
        <f t="shared" si="34"/>
        <v>45571</v>
      </c>
      <c r="O138" s="19" t="str">
        <f t="shared" si="35"/>
        <v/>
      </c>
      <c r="P138" s="5">
        <f t="shared" si="36"/>
        <v>45586</v>
      </c>
      <c r="R138" s="19" t="str">
        <f t="shared" si="37"/>
        <v/>
      </c>
      <c r="S138" s="5">
        <f t="shared" si="38"/>
        <v>45591</v>
      </c>
      <c r="T138" s="5">
        <v>45637</v>
      </c>
      <c r="U138" s="19">
        <f t="shared" si="39"/>
        <v>-46</v>
      </c>
      <c r="V138" s="5">
        <f t="shared" si="40"/>
        <v>45630</v>
      </c>
      <c r="W138" s="5">
        <v>45645</v>
      </c>
      <c r="X138" s="19">
        <f t="shared" si="41"/>
        <v>-15</v>
      </c>
      <c r="Y138" s="51">
        <f t="shared" si="42"/>
        <v>45655</v>
      </c>
      <c r="Z138" s="4">
        <v>45659</v>
      </c>
      <c r="AA138" s="49">
        <f t="shared" si="43"/>
        <v>-4</v>
      </c>
      <c r="AB138" s="51">
        <f t="shared" si="44"/>
        <v>45660</v>
      </c>
      <c r="AC138" s="49">
        <f t="shared" si="45"/>
        <v>1</v>
      </c>
      <c r="AD138" s="43">
        <f t="shared" si="46"/>
        <v>45660</v>
      </c>
      <c r="AE138" s="4">
        <v>45659</v>
      </c>
      <c r="AF138" s="19">
        <f t="shared" si="47"/>
        <v>1</v>
      </c>
      <c r="AG138" s="67"/>
      <c r="AH138" s="2"/>
      <c r="AI138" s="2"/>
      <c r="AJ138" s="2"/>
      <c r="AK138" s="2"/>
      <c r="AL138" s="2"/>
    </row>
    <row r="139" spans="1:38" ht="14.45">
      <c r="A139" s="156">
        <v>138</v>
      </c>
      <c r="B139" s="55">
        <v>45660</v>
      </c>
      <c r="C139" s="33"/>
      <c r="D139" s="14" t="s">
        <v>273</v>
      </c>
      <c r="E139" s="15">
        <v>1125.8399999999999</v>
      </c>
      <c r="F139" s="14" t="s">
        <v>277</v>
      </c>
      <c r="G139" s="14" t="s">
        <v>46</v>
      </c>
      <c r="H139" s="14" t="s">
        <v>40</v>
      </c>
      <c r="I139" s="14" t="s">
        <v>41</v>
      </c>
      <c r="J139" s="97">
        <f t="shared" si="32"/>
        <v>45560</v>
      </c>
      <c r="L139" s="19" t="str">
        <f t="shared" si="33"/>
        <v/>
      </c>
      <c r="M139" s="5">
        <f t="shared" si="34"/>
        <v>45571</v>
      </c>
      <c r="O139" s="19" t="str">
        <f t="shared" si="35"/>
        <v/>
      </c>
      <c r="P139" s="5">
        <f t="shared" si="36"/>
        <v>45586</v>
      </c>
      <c r="R139" s="19" t="str">
        <f t="shared" si="37"/>
        <v/>
      </c>
      <c r="S139" s="5">
        <f t="shared" si="38"/>
        <v>45591</v>
      </c>
      <c r="T139" s="5">
        <v>45637</v>
      </c>
      <c r="U139" s="19">
        <f t="shared" si="39"/>
        <v>-46</v>
      </c>
      <c r="V139" s="5">
        <f t="shared" si="40"/>
        <v>45630</v>
      </c>
      <c r="W139" s="5">
        <v>45645</v>
      </c>
      <c r="X139" s="19">
        <f t="shared" si="41"/>
        <v>-15</v>
      </c>
      <c r="Y139" s="51">
        <f t="shared" si="42"/>
        <v>45655</v>
      </c>
      <c r="Z139" s="4">
        <v>45659</v>
      </c>
      <c r="AA139" s="49">
        <f t="shared" si="43"/>
        <v>-4</v>
      </c>
      <c r="AB139" s="51">
        <f t="shared" si="44"/>
        <v>45660</v>
      </c>
      <c r="AC139" s="49">
        <f t="shared" si="45"/>
        <v>1</v>
      </c>
      <c r="AD139" s="43">
        <f t="shared" si="46"/>
        <v>45660</v>
      </c>
      <c r="AE139" s="4">
        <v>45659</v>
      </c>
      <c r="AF139" s="19">
        <f t="shared" si="47"/>
        <v>1</v>
      </c>
      <c r="AG139" s="67"/>
      <c r="AH139" s="2"/>
      <c r="AI139" s="2"/>
      <c r="AJ139" s="2"/>
      <c r="AK139" s="2"/>
      <c r="AL139" s="2"/>
    </row>
    <row r="140" spans="1:38" ht="14.45">
      <c r="A140" s="156">
        <v>139</v>
      </c>
      <c r="B140" s="55">
        <v>45661</v>
      </c>
      <c r="C140" s="39" t="s">
        <v>278</v>
      </c>
      <c r="D140" s="14" t="s">
        <v>38</v>
      </c>
      <c r="E140" s="15">
        <v>149.28</v>
      </c>
      <c r="F140" s="14" t="s">
        <v>279</v>
      </c>
      <c r="G140" s="14" t="s">
        <v>190</v>
      </c>
      <c r="H140" s="14" t="s">
        <v>40</v>
      </c>
      <c r="I140" s="14" t="s">
        <v>41</v>
      </c>
      <c r="J140" s="97">
        <f t="shared" si="32"/>
        <v>45561</v>
      </c>
      <c r="L140" s="19" t="str">
        <f t="shared" si="33"/>
        <v/>
      </c>
      <c r="M140" s="5">
        <f t="shared" si="34"/>
        <v>45572</v>
      </c>
      <c r="N140" s="4">
        <v>45652</v>
      </c>
      <c r="O140" s="19">
        <f t="shared" si="35"/>
        <v>-80</v>
      </c>
      <c r="P140" s="5">
        <f t="shared" si="36"/>
        <v>45587</v>
      </c>
      <c r="Q140" s="4">
        <v>46022</v>
      </c>
      <c r="R140" s="19">
        <f t="shared" si="37"/>
        <v>-435</v>
      </c>
      <c r="S140" s="5">
        <f t="shared" si="38"/>
        <v>45592</v>
      </c>
      <c r="T140" s="4">
        <v>45657</v>
      </c>
      <c r="U140" s="19">
        <f t="shared" si="39"/>
        <v>-65</v>
      </c>
      <c r="V140" s="5">
        <f t="shared" si="40"/>
        <v>45631</v>
      </c>
      <c r="W140" s="4">
        <v>45666</v>
      </c>
      <c r="X140" s="19">
        <f t="shared" si="41"/>
        <v>-35</v>
      </c>
      <c r="Y140" s="51">
        <f t="shared" si="42"/>
        <v>45656</v>
      </c>
      <c r="Z140" s="4">
        <v>45666</v>
      </c>
      <c r="AA140" s="49">
        <f t="shared" si="43"/>
        <v>-10</v>
      </c>
      <c r="AB140" s="51">
        <f t="shared" si="44"/>
        <v>45661</v>
      </c>
      <c r="AC140" s="49">
        <f t="shared" si="45"/>
        <v>-5</v>
      </c>
      <c r="AD140" s="43">
        <f t="shared" si="46"/>
        <v>45661</v>
      </c>
      <c r="AE140" s="4">
        <v>45666</v>
      </c>
      <c r="AF140" s="19">
        <f t="shared" si="47"/>
        <v>-5</v>
      </c>
      <c r="AG140" s="67"/>
      <c r="AH140" s="2"/>
      <c r="AI140" s="2"/>
      <c r="AJ140" s="2"/>
      <c r="AK140" s="2"/>
      <c r="AL140" s="2"/>
    </row>
    <row r="141" spans="1:38" ht="14.45">
      <c r="A141" s="156">
        <v>140</v>
      </c>
      <c r="B141" s="55">
        <v>45661</v>
      </c>
      <c r="C141" s="33"/>
      <c r="D141" s="14" t="s">
        <v>220</v>
      </c>
      <c r="E141" s="15">
        <v>12391.68</v>
      </c>
      <c r="F141" s="14" t="s">
        <v>280</v>
      </c>
      <c r="G141" s="14" t="s">
        <v>110</v>
      </c>
      <c r="H141" s="14" t="s">
        <v>40</v>
      </c>
      <c r="I141" s="14" t="s">
        <v>276</v>
      </c>
      <c r="J141" s="97">
        <f t="shared" si="32"/>
        <v>45561</v>
      </c>
      <c r="L141" s="19" t="str">
        <f t="shared" si="33"/>
        <v/>
      </c>
      <c r="M141" s="5">
        <f t="shared" si="34"/>
        <v>45572</v>
      </c>
      <c r="N141" s="4">
        <v>45363</v>
      </c>
      <c r="O141" s="19">
        <f t="shared" si="35"/>
        <v>209</v>
      </c>
      <c r="P141" s="5">
        <f t="shared" si="36"/>
        <v>45587</v>
      </c>
      <c r="Q141" s="4">
        <v>45630</v>
      </c>
      <c r="R141" s="19">
        <f t="shared" si="37"/>
        <v>-43</v>
      </c>
      <c r="S141" s="5">
        <f t="shared" si="38"/>
        <v>45592</v>
      </c>
      <c r="T141" s="4">
        <v>45643</v>
      </c>
      <c r="U141" s="19">
        <f t="shared" si="39"/>
        <v>-51</v>
      </c>
      <c r="V141" s="5">
        <f t="shared" si="40"/>
        <v>45631</v>
      </c>
      <c r="W141" s="4">
        <v>45663</v>
      </c>
      <c r="X141" s="19">
        <f t="shared" si="41"/>
        <v>-32</v>
      </c>
      <c r="Y141" s="51">
        <f t="shared" si="42"/>
        <v>45656</v>
      </c>
      <c r="Z141" s="4">
        <v>45663</v>
      </c>
      <c r="AA141" s="49">
        <f t="shared" si="43"/>
        <v>-7</v>
      </c>
      <c r="AB141" s="51">
        <f t="shared" si="44"/>
        <v>45661</v>
      </c>
      <c r="AC141" s="49">
        <f t="shared" si="45"/>
        <v>-2</v>
      </c>
      <c r="AD141" s="43">
        <f t="shared" si="46"/>
        <v>45661</v>
      </c>
      <c r="AE141" s="4">
        <v>45663</v>
      </c>
      <c r="AF141" s="19">
        <f t="shared" si="47"/>
        <v>-2</v>
      </c>
      <c r="AG141" s="67"/>
      <c r="AH141" s="2"/>
      <c r="AI141" s="2"/>
      <c r="AJ141" s="2"/>
      <c r="AK141" s="2"/>
      <c r="AL141" s="2"/>
    </row>
    <row r="142" spans="1:38" ht="14.45">
      <c r="A142" s="156">
        <v>141</v>
      </c>
      <c r="B142" s="55">
        <v>45662</v>
      </c>
      <c r="C142" s="33"/>
      <c r="D142" s="14" t="s">
        <v>281</v>
      </c>
      <c r="E142" s="15">
        <v>17798.78</v>
      </c>
      <c r="F142" s="14" t="s">
        <v>282</v>
      </c>
      <c r="G142" s="14" t="s">
        <v>35</v>
      </c>
      <c r="H142" s="14" t="s">
        <v>36</v>
      </c>
      <c r="I142" s="14" t="s">
        <v>37</v>
      </c>
      <c r="J142" s="97">
        <f t="shared" si="32"/>
        <v>45562</v>
      </c>
      <c r="L142" s="19" t="str">
        <f t="shared" si="33"/>
        <v/>
      </c>
      <c r="M142" s="5">
        <f t="shared" si="34"/>
        <v>45573</v>
      </c>
      <c r="O142" s="19" t="str">
        <f t="shared" si="35"/>
        <v/>
      </c>
      <c r="P142" s="5">
        <f t="shared" si="36"/>
        <v>45588</v>
      </c>
      <c r="R142" s="19" t="str">
        <f t="shared" si="37"/>
        <v/>
      </c>
      <c r="S142" s="5">
        <f t="shared" si="38"/>
        <v>45593</v>
      </c>
      <c r="U142" s="19" t="str">
        <f t="shared" si="39"/>
        <v/>
      </c>
      <c r="V142" s="5">
        <f t="shared" si="40"/>
        <v>45632</v>
      </c>
      <c r="W142" s="4">
        <v>45547</v>
      </c>
      <c r="X142" s="19">
        <f t="shared" si="41"/>
        <v>85</v>
      </c>
      <c r="Y142" s="51">
        <f t="shared" si="42"/>
        <v>45657</v>
      </c>
      <c r="AA142" s="49" t="str">
        <f t="shared" si="43"/>
        <v/>
      </c>
      <c r="AB142" s="51">
        <f t="shared" si="44"/>
        <v>45662</v>
      </c>
      <c r="AC142" s="49" t="str">
        <f t="shared" si="45"/>
        <v/>
      </c>
      <c r="AD142" s="43">
        <f t="shared" si="46"/>
        <v>45662</v>
      </c>
      <c r="AF142" s="19" t="str">
        <f t="shared" si="47"/>
        <v/>
      </c>
      <c r="AG142" s="67"/>
      <c r="AH142" s="2"/>
      <c r="AI142" s="2"/>
      <c r="AJ142" s="2"/>
      <c r="AK142" s="2"/>
      <c r="AL142" s="2"/>
    </row>
    <row r="143" spans="1:38" ht="14.45">
      <c r="A143" s="156">
        <v>142</v>
      </c>
      <c r="B143" s="55">
        <v>45662</v>
      </c>
      <c r="C143" s="33"/>
      <c r="D143" s="14" t="s">
        <v>283</v>
      </c>
      <c r="E143" s="15">
        <v>3487.84</v>
      </c>
      <c r="F143" s="14" t="s">
        <v>284</v>
      </c>
      <c r="G143" s="14" t="s">
        <v>51</v>
      </c>
      <c r="H143" s="14" t="s">
        <v>40</v>
      </c>
      <c r="I143" s="14" t="s">
        <v>121</v>
      </c>
      <c r="J143" s="97">
        <f t="shared" si="32"/>
        <v>45562</v>
      </c>
      <c r="K143" s="4">
        <v>45625</v>
      </c>
      <c r="L143" s="19">
        <f t="shared" si="33"/>
        <v>-63</v>
      </c>
      <c r="M143" s="5">
        <f t="shared" si="34"/>
        <v>45573</v>
      </c>
      <c r="O143" s="19" t="str">
        <f t="shared" si="35"/>
        <v/>
      </c>
      <c r="P143" s="5">
        <f t="shared" si="36"/>
        <v>45588</v>
      </c>
      <c r="R143" s="19" t="str">
        <f t="shared" si="37"/>
        <v/>
      </c>
      <c r="S143" s="5">
        <f t="shared" si="38"/>
        <v>45593</v>
      </c>
      <c r="U143" s="19" t="str">
        <f t="shared" si="39"/>
        <v/>
      </c>
      <c r="V143" s="5">
        <f t="shared" si="40"/>
        <v>45632</v>
      </c>
      <c r="W143" s="4">
        <v>45638</v>
      </c>
      <c r="X143" s="19">
        <f t="shared" si="41"/>
        <v>-6</v>
      </c>
      <c r="Y143" s="51">
        <f t="shared" si="42"/>
        <v>45657</v>
      </c>
      <c r="Z143" s="4">
        <v>45474</v>
      </c>
      <c r="AA143" s="49">
        <f t="shared" si="43"/>
        <v>183</v>
      </c>
      <c r="AB143" s="51">
        <f t="shared" si="44"/>
        <v>45662</v>
      </c>
      <c r="AC143" s="49">
        <f t="shared" si="45"/>
        <v>188</v>
      </c>
      <c r="AD143" s="43">
        <f t="shared" si="46"/>
        <v>45662</v>
      </c>
      <c r="AE143" s="4">
        <v>45474</v>
      </c>
      <c r="AF143" s="19">
        <f t="shared" si="47"/>
        <v>188</v>
      </c>
      <c r="AG143" s="67"/>
      <c r="AH143" s="2"/>
      <c r="AI143" s="2"/>
      <c r="AJ143" s="2"/>
      <c r="AK143" s="2"/>
      <c r="AL143" s="2"/>
    </row>
    <row r="144" spans="1:38" ht="14.45">
      <c r="A144" s="156">
        <v>143</v>
      </c>
      <c r="B144" s="55">
        <v>45662</v>
      </c>
      <c r="C144" s="33" t="s">
        <v>285</v>
      </c>
      <c r="D144" s="14" t="s">
        <v>216</v>
      </c>
      <c r="E144" s="15">
        <v>598.79999999999995</v>
      </c>
      <c r="F144" s="14" t="s">
        <v>286</v>
      </c>
      <c r="G144" s="14" t="s">
        <v>51</v>
      </c>
      <c r="H144" s="14" t="s">
        <v>40</v>
      </c>
      <c r="I144" s="14" t="s">
        <v>62</v>
      </c>
      <c r="J144" s="97">
        <f t="shared" si="32"/>
        <v>45562</v>
      </c>
      <c r="L144" s="19" t="str">
        <f t="shared" si="33"/>
        <v/>
      </c>
      <c r="M144" s="5">
        <f t="shared" si="34"/>
        <v>45573</v>
      </c>
      <c r="O144" s="19" t="str">
        <f t="shared" si="35"/>
        <v/>
      </c>
      <c r="P144" s="5">
        <f t="shared" si="36"/>
        <v>45588</v>
      </c>
      <c r="R144" s="19" t="str">
        <f t="shared" si="37"/>
        <v/>
      </c>
      <c r="S144" s="5">
        <f t="shared" si="38"/>
        <v>45593</v>
      </c>
      <c r="U144" s="19" t="str">
        <f t="shared" si="39"/>
        <v/>
      </c>
      <c r="V144" s="5">
        <f t="shared" si="40"/>
        <v>45632</v>
      </c>
      <c r="X144" s="19" t="str">
        <f t="shared" si="41"/>
        <v/>
      </c>
      <c r="Y144" s="51">
        <f t="shared" si="42"/>
        <v>45657</v>
      </c>
      <c r="AA144" s="49" t="str">
        <f t="shared" si="43"/>
        <v/>
      </c>
      <c r="AB144" s="51">
        <f t="shared" si="44"/>
        <v>45662</v>
      </c>
      <c r="AC144" s="49" t="str">
        <f t="shared" si="45"/>
        <v/>
      </c>
      <c r="AD144" s="43">
        <f t="shared" si="46"/>
        <v>45662</v>
      </c>
      <c r="AF144" s="19" t="str">
        <f t="shared" si="47"/>
        <v/>
      </c>
      <c r="AG144" s="67"/>
      <c r="AH144" s="2"/>
      <c r="AI144" s="2"/>
      <c r="AJ144" s="2"/>
      <c r="AK144" s="2"/>
      <c r="AL144" s="2"/>
    </row>
    <row r="145" spans="1:38" ht="14.45">
      <c r="A145" s="156">
        <v>144</v>
      </c>
      <c r="B145" s="55">
        <v>45662</v>
      </c>
      <c r="C145" s="33"/>
      <c r="D145" s="14" t="s">
        <v>287</v>
      </c>
      <c r="E145" s="15">
        <v>1033.68</v>
      </c>
      <c r="F145" s="14" t="s">
        <v>288</v>
      </c>
      <c r="G145" s="10" t="s">
        <v>120</v>
      </c>
      <c r="H145" s="14" t="s">
        <v>40</v>
      </c>
      <c r="I145" s="14" t="s">
        <v>41</v>
      </c>
      <c r="J145" s="97">
        <f t="shared" si="32"/>
        <v>45562</v>
      </c>
      <c r="K145" s="4">
        <v>45625</v>
      </c>
      <c r="L145" s="19">
        <f t="shared" si="33"/>
        <v>-63</v>
      </c>
      <c r="M145" s="5">
        <f t="shared" si="34"/>
        <v>45573</v>
      </c>
      <c r="O145" s="19" t="str">
        <f t="shared" si="35"/>
        <v/>
      </c>
      <c r="P145" s="5">
        <f t="shared" si="36"/>
        <v>45588</v>
      </c>
      <c r="R145" s="19" t="str">
        <f t="shared" si="37"/>
        <v/>
      </c>
      <c r="S145" s="5">
        <f t="shared" si="38"/>
        <v>45593</v>
      </c>
      <c r="U145" s="19" t="str">
        <f t="shared" si="39"/>
        <v/>
      </c>
      <c r="V145" s="5">
        <f t="shared" si="40"/>
        <v>45632</v>
      </c>
      <c r="W145" s="4">
        <v>45638</v>
      </c>
      <c r="X145" s="19">
        <f t="shared" si="41"/>
        <v>-6</v>
      </c>
      <c r="Y145" s="51">
        <f t="shared" si="42"/>
        <v>45657</v>
      </c>
      <c r="Z145" s="4">
        <v>45656</v>
      </c>
      <c r="AA145" s="49">
        <f t="shared" si="43"/>
        <v>1</v>
      </c>
      <c r="AB145" s="51">
        <f t="shared" si="44"/>
        <v>45662</v>
      </c>
      <c r="AC145" s="49">
        <f t="shared" si="45"/>
        <v>6</v>
      </c>
      <c r="AD145" s="43">
        <f t="shared" si="46"/>
        <v>45662</v>
      </c>
      <c r="AE145" s="4">
        <v>45656</v>
      </c>
      <c r="AF145" s="19">
        <f t="shared" si="47"/>
        <v>6</v>
      </c>
      <c r="AG145" s="67"/>
      <c r="AH145" s="2"/>
      <c r="AI145" s="2"/>
      <c r="AJ145" s="2"/>
      <c r="AK145" s="2"/>
      <c r="AL145" s="2"/>
    </row>
    <row r="146" spans="1:38" ht="14.45">
      <c r="A146" s="156">
        <v>145</v>
      </c>
      <c r="B146" s="55">
        <v>45662</v>
      </c>
      <c r="C146" s="33"/>
      <c r="D146" s="14" t="s">
        <v>289</v>
      </c>
      <c r="E146" s="15">
        <v>5473.46</v>
      </c>
      <c r="F146" s="14" t="s">
        <v>290</v>
      </c>
      <c r="G146" s="14" t="s">
        <v>35</v>
      </c>
      <c r="H146" s="14" t="s">
        <v>40</v>
      </c>
      <c r="I146" s="14" t="s">
        <v>37</v>
      </c>
      <c r="J146" s="97">
        <f t="shared" si="32"/>
        <v>45562</v>
      </c>
      <c r="L146" s="19" t="str">
        <f t="shared" si="33"/>
        <v/>
      </c>
      <c r="M146" s="5">
        <f t="shared" si="34"/>
        <v>45573</v>
      </c>
      <c r="O146" s="19" t="str">
        <f t="shared" si="35"/>
        <v/>
      </c>
      <c r="P146" s="5">
        <f t="shared" si="36"/>
        <v>45588</v>
      </c>
      <c r="R146" s="19" t="str">
        <f t="shared" si="37"/>
        <v/>
      </c>
      <c r="S146" s="5">
        <f t="shared" si="38"/>
        <v>45593</v>
      </c>
      <c r="U146" s="19" t="str">
        <f t="shared" si="39"/>
        <v/>
      </c>
      <c r="V146" s="5">
        <f t="shared" si="40"/>
        <v>45632</v>
      </c>
      <c r="X146" s="19" t="str">
        <f t="shared" si="41"/>
        <v/>
      </c>
      <c r="Y146" s="51">
        <f t="shared" si="42"/>
        <v>45657</v>
      </c>
      <c r="AA146" s="49" t="str">
        <f t="shared" si="43"/>
        <v/>
      </c>
      <c r="AB146" s="51">
        <f t="shared" si="44"/>
        <v>45662</v>
      </c>
      <c r="AC146" s="49" t="str">
        <f t="shared" si="45"/>
        <v/>
      </c>
      <c r="AD146" s="43">
        <f t="shared" si="46"/>
        <v>45662</v>
      </c>
      <c r="AF146" s="19" t="str">
        <f t="shared" si="47"/>
        <v/>
      </c>
      <c r="AG146" s="67"/>
      <c r="AH146" s="2"/>
      <c r="AI146" s="2"/>
      <c r="AJ146" s="2"/>
      <c r="AK146" s="2"/>
      <c r="AL146" s="2"/>
    </row>
    <row r="147" spans="1:38" ht="14.45">
      <c r="A147" s="156">
        <v>146</v>
      </c>
      <c r="B147" s="55">
        <v>45662</v>
      </c>
      <c r="C147" s="33" t="s">
        <v>291</v>
      </c>
      <c r="D147" s="14" t="s">
        <v>213</v>
      </c>
      <c r="E147" s="15">
        <v>3920.24</v>
      </c>
      <c r="F147" s="14" t="s">
        <v>292</v>
      </c>
      <c r="G147" s="14" t="s">
        <v>51</v>
      </c>
      <c r="H147" s="14" t="s">
        <v>40</v>
      </c>
      <c r="I147" s="14" t="s">
        <v>62</v>
      </c>
      <c r="J147" s="97">
        <f t="shared" si="32"/>
        <v>45562</v>
      </c>
      <c r="L147" s="19" t="str">
        <f t="shared" si="33"/>
        <v/>
      </c>
      <c r="M147" s="5">
        <f t="shared" si="34"/>
        <v>45573</v>
      </c>
      <c r="O147" s="19" t="str">
        <f t="shared" si="35"/>
        <v/>
      </c>
      <c r="P147" s="5">
        <f t="shared" si="36"/>
        <v>45588</v>
      </c>
      <c r="R147" s="19" t="str">
        <f t="shared" si="37"/>
        <v/>
      </c>
      <c r="S147" s="5">
        <f t="shared" si="38"/>
        <v>45593</v>
      </c>
      <c r="U147" s="19" t="str">
        <f t="shared" si="39"/>
        <v/>
      </c>
      <c r="V147" s="5">
        <f t="shared" si="40"/>
        <v>45632</v>
      </c>
      <c r="X147" s="19" t="str">
        <f t="shared" si="41"/>
        <v/>
      </c>
      <c r="Y147" s="51">
        <f t="shared" si="42"/>
        <v>45657</v>
      </c>
      <c r="AA147" s="49" t="str">
        <f t="shared" si="43"/>
        <v/>
      </c>
      <c r="AB147" s="51">
        <f t="shared" si="44"/>
        <v>45662</v>
      </c>
      <c r="AC147" s="49" t="str">
        <f t="shared" si="45"/>
        <v/>
      </c>
      <c r="AD147" s="43">
        <f t="shared" si="46"/>
        <v>45662</v>
      </c>
      <c r="AF147" s="19" t="str">
        <f t="shared" si="47"/>
        <v/>
      </c>
      <c r="AG147" s="67"/>
      <c r="AH147" s="2"/>
      <c r="AI147" s="2"/>
      <c r="AJ147" s="2"/>
      <c r="AK147" s="2"/>
      <c r="AL147" s="2"/>
    </row>
    <row r="148" spans="1:38" ht="14.45">
      <c r="A148" s="156">
        <v>147</v>
      </c>
      <c r="B148" s="55">
        <v>45663</v>
      </c>
      <c r="C148" s="39" t="s">
        <v>293</v>
      </c>
      <c r="D148" s="14" t="s">
        <v>38</v>
      </c>
      <c r="E148" s="15">
        <v>133.43</v>
      </c>
      <c r="F148" s="14" t="s">
        <v>294</v>
      </c>
      <c r="G148" s="14" t="s">
        <v>190</v>
      </c>
      <c r="H148" s="14" t="s">
        <v>40</v>
      </c>
      <c r="I148" s="14" t="s">
        <v>41</v>
      </c>
      <c r="J148" s="97">
        <f t="shared" si="32"/>
        <v>45563</v>
      </c>
      <c r="L148" s="19" t="str">
        <f t="shared" si="33"/>
        <v/>
      </c>
      <c r="M148" s="5">
        <f t="shared" si="34"/>
        <v>45574</v>
      </c>
      <c r="N148" s="4">
        <v>45652</v>
      </c>
      <c r="O148" s="19">
        <f t="shared" si="35"/>
        <v>-78</v>
      </c>
      <c r="P148" s="5">
        <f t="shared" si="36"/>
        <v>45589</v>
      </c>
      <c r="Q148" s="4">
        <v>46022</v>
      </c>
      <c r="R148" s="19">
        <f t="shared" si="37"/>
        <v>-433</v>
      </c>
      <c r="S148" s="5">
        <f t="shared" si="38"/>
        <v>45594</v>
      </c>
      <c r="T148" s="4">
        <v>45657</v>
      </c>
      <c r="U148" s="19">
        <f t="shared" si="39"/>
        <v>-63</v>
      </c>
      <c r="V148" s="5">
        <f t="shared" si="40"/>
        <v>45633</v>
      </c>
      <c r="W148" s="4">
        <v>45666</v>
      </c>
      <c r="X148" s="19">
        <f t="shared" si="41"/>
        <v>-33</v>
      </c>
      <c r="Y148" s="51">
        <f t="shared" si="42"/>
        <v>45658</v>
      </c>
      <c r="Z148" s="4">
        <v>45666</v>
      </c>
      <c r="AA148" s="49">
        <f t="shared" si="43"/>
        <v>-8</v>
      </c>
      <c r="AB148" s="51">
        <f t="shared" si="44"/>
        <v>45663</v>
      </c>
      <c r="AC148" s="49">
        <f t="shared" si="45"/>
        <v>-3</v>
      </c>
      <c r="AD148" s="43">
        <f t="shared" si="46"/>
        <v>45663</v>
      </c>
      <c r="AE148" s="4">
        <v>45666</v>
      </c>
      <c r="AF148" s="19">
        <f t="shared" si="47"/>
        <v>-3</v>
      </c>
      <c r="AG148" s="67"/>
      <c r="AH148" s="2"/>
      <c r="AI148" s="2"/>
      <c r="AJ148" s="2"/>
      <c r="AK148" s="2"/>
      <c r="AL148" s="2"/>
    </row>
    <row r="149" spans="1:38" ht="14.45">
      <c r="A149" s="156">
        <v>148</v>
      </c>
      <c r="B149" s="55">
        <v>45664</v>
      </c>
      <c r="C149" s="33"/>
      <c r="D149" s="14" t="s">
        <v>295</v>
      </c>
      <c r="E149" s="15">
        <v>21543</v>
      </c>
      <c r="F149" s="14" t="s">
        <v>296</v>
      </c>
      <c r="G149" s="14" t="s">
        <v>297</v>
      </c>
      <c r="H149" s="14" t="s">
        <v>40</v>
      </c>
      <c r="I149" s="14" t="s">
        <v>93</v>
      </c>
      <c r="J149" s="97">
        <f t="shared" si="32"/>
        <v>45564</v>
      </c>
      <c r="L149" s="19" t="str">
        <f t="shared" si="33"/>
        <v/>
      </c>
      <c r="M149" s="5">
        <f t="shared" si="34"/>
        <v>45575</v>
      </c>
      <c r="O149" s="19" t="str">
        <f t="shared" si="35"/>
        <v/>
      </c>
      <c r="P149" s="5">
        <f t="shared" si="36"/>
        <v>45590</v>
      </c>
      <c r="R149" s="19" t="str">
        <f t="shared" si="37"/>
        <v/>
      </c>
      <c r="S149" s="5">
        <f t="shared" si="38"/>
        <v>45595</v>
      </c>
      <c r="T149" s="95">
        <v>45615</v>
      </c>
      <c r="U149" s="19">
        <f t="shared" si="39"/>
        <v>-20</v>
      </c>
      <c r="V149" s="5">
        <f t="shared" si="40"/>
        <v>45634</v>
      </c>
      <c r="W149" s="96">
        <v>45656</v>
      </c>
      <c r="X149" s="19">
        <f t="shared" si="41"/>
        <v>-22</v>
      </c>
      <c r="Y149" s="51">
        <f t="shared" si="42"/>
        <v>45659</v>
      </c>
      <c r="AA149" s="49" t="str">
        <f t="shared" si="43"/>
        <v/>
      </c>
      <c r="AB149" s="51">
        <f t="shared" si="44"/>
        <v>45664</v>
      </c>
      <c r="AC149" s="49" t="str">
        <f t="shared" si="45"/>
        <v/>
      </c>
      <c r="AD149" s="43">
        <f t="shared" si="46"/>
        <v>45664</v>
      </c>
      <c r="AF149" s="19" t="str">
        <f t="shared" si="47"/>
        <v/>
      </c>
      <c r="AG149" s="67"/>
      <c r="AH149" s="2"/>
      <c r="AI149" s="2"/>
      <c r="AJ149" s="2"/>
      <c r="AK149" s="2"/>
      <c r="AL149" s="2"/>
    </row>
    <row r="150" spans="1:38" ht="14.45">
      <c r="A150" s="156">
        <v>149</v>
      </c>
      <c r="B150" s="55">
        <v>45664</v>
      </c>
      <c r="C150" s="33"/>
      <c r="D150" s="14" t="s">
        <v>298</v>
      </c>
      <c r="E150" s="15">
        <v>2886.88</v>
      </c>
      <c r="F150" s="14" t="s">
        <v>299</v>
      </c>
      <c r="G150" s="14" t="s">
        <v>46</v>
      </c>
      <c r="H150" s="14" t="s">
        <v>40</v>
      </c>
      <c r="I150" s="14" t="s">
        <v>229</v>
      </c>
      <c r="J150" s="97">
        <f t="shared" si="32"/>
        <v>45564</v>
      </c>
      <c r="K150" s="4">
        <v>45581</v>
      </c>
      <c r="L150" s="19">
        <f t="shared" si="33"/>
        <v>-17</v>
      </c>
      <c r="M150" s="5">
        <f t="shared" si="34"/>
        <v>45575</v>
      </c>
      <c r="O150" s="19" t="str">
        <f t="shared" si="35"/>
        <v/>
      </c>
      <c r="P150" s="5">
        <f t="shared" si="36"/>
        <v>45590</v>
      </c>
      <c r="R150" s="19" t="str">
        <f t="shared" si="37"/>
        <v/>
      </c>
      <c r="S150" s="5">
        <f t="shared" si="38"/>
        <v>45595</v>
      </c>
      <c r="T150" s="4">
        <v>45643</v>
      </c>
      <c r="U150" s="19">
        <f t="shared" si="39"/>
        <v>-48</v>
      </c>
      <c r="V150" s="5">
        <f t="shared" si="40"/>
        <v>45634</v>
      </c>
      <c r="W150" s="4">
        <v>45652</v>
      </c>
      <c r="X150" s="19">
        <f t="shared" si="41"/>
        <v>-18</v>
      </c>
      <c r="Y150" s="51">
        <f t="shared" si="42"/>
        <v>45659</v>
      </c>
      <c r="Z150" s="4">
        <v>45681</v>
      </c>
      <c r="AA150" s="49">
        <f t="shared" si="43"/>
        <v>-22</v>
      </c>
      <c r="AB150" s="51">
        <f t="shared" si="44"/>
        <v>45664</v>
      </c>
      <c r="AC150" s="49">
        <f t="shared" si="45"/>
        <v>-17</v>
      </c>
      <c r="AD150" s="43">
        <f t="shared" si="46"/>
        <v>45664</v>
      </c>
      <c r="AE150" s="4">
        <v>45681</v>
      </c>
      <c r="AF150" s="19">
        <f t="shared" si="47"/>
        <v>-17</v>
      </c>
      <c r="AG150" s="67"/>
      <c r="AH150" s="2"/>
      <c r="AI150" s="2"/>
      <c r="AJ150" s="2"/>
      <c r="AK150" s="2"/>
      <c r="AL150" s="2"/>
    </row>
    <row r="151" spans="1:38" ht="14.45">
      <c r="A151" s="156">
        <v>150</v>
      </c>
      <c r="B151" s="55">
        <v>45665</v>
      </c>
      <c r="C151" s="33"/>
      <c r="D151" s="14" t="s">
        <v>300</v>
      </c>
      <c r="E151" s="15">
        <v>48711.88</v>
      </c>
      <c r="F151" s="14" t="s">
        <v>37</v>
      </c>
      <c r="G151" s="14" t="s">
        <v>35</v>
      </c>
      <c r="H151" s="14" t="s">
        <v>40</v>
      </c>
      <c r="I151" s="14" t="s">
        <v>37</v>
      </c>
      <c r="J151" s="97">
        <f t="shared" si="32"/>
        <v>45565</v>
      </c>
      <c r="L151" s="19" t="str">
        <f t="shared" si="33"/>
        <v/>
      </c>
      <c r="M151" s="5">
        <f t="shared" si="34"/>
        <v>45576</v>
      </c>
      <c r="O151" s="19" t="str">
        <f t="shared" si="35"/>
        <v/>
      </c>
      <c r="P151" s="5">
        <f t="shared" si="36"/>
        <v>45591</v>
      </c>
      <c r="R151" s="19" t="str">
        <f t="shared" si="37"/>
        <v/>
      </c>
      <c r="S151" s="5">
        <f t="shared" si="38"/>
        <v>45596</v>
      </c>
      <c r="U151" s="19" t="str">
        <f t="shared" si="39"/>
        <v/>
      </c>
      <c r="V151" s="5">
        <f t="shared" si="40"/>
        <v>45635</v>
      </c>
      <c r="W151" s="4">
        <v>45654</v>
      </c>
      <c r="X151" s="19">
        <f t="shared" si="41"/>
        <v>-19</v>
      </c>
      <c r="Y151" s="51">
        <f t="shared" si="42"/>
        <v>45660</v>
      </c>
      <c r="AA151" s="49" t="str">
        <f t="shared" si="43"/>
        <v/>
      </c>
      <c r="AB151" s="51">
        <f t="shared" si="44"/>
        <v>45665</v>
      </c>
      <c r="AC151" s="49" t="str">
        <f t="shared" si="45"/>
        <v/>
      </c>
      <c r="AD151" s="43">
        <f t="shared" si="46"/>
        <v>45665</v>
      </c>
      <c r="AF151" s="19" t="str">
        <f t="shared" si="47"/>
        <v/>
      </c>
      <c r="AG151" s="67"/>
      <c r="AH151" s="2"/>
      <c r="AI151" s="2"/>
      <c r="AJ151" s="2"/>
      <c r="AK151" s="2"/>
      <c r="AL151" s="2"/>
    </row>
    <row r="152" spans="1:38" s="9" customFormat="1" ht="14.45">
      <c r="A152" s="156">
        <v>151</v>
      </c>
      <c r="B152" s="55">
        <v>45665</v>
      </c>
      <c r="C152" s="33"/>
      <c r="D152" s="14" t="s">
        <v>301</v>
      </c>
      <c r="E152" s="15">
        <v>24048.58</v>
      </c>
      <c r="F152" s="14" t="s">
        <v>302</v>
      </c>
      <c r="G152" s="14" t="s">
        <v>297</v>
      </c>
      <c r="H152" s="14" t="s">
        <v>40</v>
      </c>
      <c r="I152" s="14" t="s">
        <v>93</v>
      </c>
      <c r="J152" s="97">
        <f t="shared" si="32"/>
        <v>45565</v>
      </c>
      <c r="K152" s="4"/>
      <c r="L152" s="19" t="str">
        <f t="shared" si="33"/>
        <v/>
      </c>
      <c r="M152" s="5">
        <f t="shared" si="34"/>
        <v>45576</v>
      </c>
      <c r="N152" s="4"/>
      <c r="O152" s="19" t="str">
        <f t="shared" si="35"/>
        <v/>
      </c>
      <c r="P152" s="5">
        <f t="shared" si="36"/>
        <v>45591</v>
      </c>
      <c r="Q152" s="4"/>
      <c r="R152" s="19" t="str">
        <f t="shared" si="37"/>
        <v/>
      </c>
      <c r="S152" s="5">
        <f t="shared" si="38"/>
        <v>45596</v>
      </c>
      <c r="T152" s="4">
        <v>45334</v>
      </c>
      <c r="U152" s="19">
        <f t="shared" si="39"/>
        <v>262</v>
      </c>
      <c r="V152" s="5">
        <f t="shared" si="40"/>
        <v>45635</v>
      </c>
      <c r="W152" s="6">
        <v>45643</v>
      </c>
      <c r="X152" s="19">
        <f t="shared" si="41"/>
        <v>-8</v>
      </c>
      <c r="Y152" s="51">
        <f t="shared" si="42"/>
        <v>45660</v>
      </c>
      <c r="Z152" s="4"/>
      <c r="AA152" s="49" t="str">
        <f t="shared" si="43"/>
        <v/>
      </c>
      <c r="AB152" s="51">
        <f t="shared" si="44"/>
        <v>45665</v>
      </c>
      <c r="AC152" s="49" t="str">
        <f t="shared" si="45"/>
        <v/>
      </c>
      <c r="AD152" s="43">
        <f t="shared" si="46"/>
        <v>45665</v>
      </c>
      <c r="AE152" s="4"/>
      <c r="AF152" s="19" t="str">
        <f t="shared" si="47"/>
        <v/>
      </c>
      <c r="AG152" s="68"/>
      <c r="AH152" s="8"/>
      <c r="AI152" s="8"/>
      <c r="AJ152" s="8"/>
      <c r="AK152" s="8"/>
      <c r="AL152" s="8"/>
    </row>
    <row r="153" spans="1:38" ht="14.45">
      <c r="A153" s="156">
        <v>152</v>
      </c>
      <c r="B153" s="55">
        <v>45666</v>
      </c>
      <c r="C153" s="33" t="s">
        <v>303</v>
      </c>
      <c r="D153" s="14" t="s">
        <v>304</v>
      </c>
      <c r="E153" s="15">
        <v>388.22</v>
      </c>
      <c r="F153" s="14" t="s">
        <v>305</v>
      </c>
      <c r="G153" s="14" t="s">
        <v>51</v>
      </c>
      <c r="H153" s="14" t="s">
        <v>40</v>
      </c>
      <c r="I153" s="14" t="s">
        <v>62</v>
      </c>
      <c r="J153" s="97">
        <f t="shared" si="32"/>
        <v>45566</v>
      </c>
      <c r="L153" s="19" t="str">
        <f t="shared" si="33"/>
        <v/>
      </c>
      <c r="M153" s="5">
        <f t="shared" si="34"/>
        <v>45577</v>
      </c>
      <c r="O153" s="19" t="str">
        <f t="shared" si="35"/>
        <v/>
      </c>
      <c r="P153" s="5">
        <f t="shared" si="36"/>
        <v>45592</v>
      </c>
      <c r="R153" s="19" t="str">
        <f t="shared" si="37"/>
        <v/>
      </c>
      <c r="S153" s="5">
        <f t="shared" si="38"/>
        <v>45597</v>
      </c>
      <c r="T153" s="4">
        <v>45663</v>
      </c>
      <c r="U153" s="19">
        <f t="shared" si="39"/>
        <v>-66</v>
      </c>
      <c r="V153" s="5">
        <f t="shared" si="40"/>
        <v>45636</v>
      </c>
      <c r="X153" s="19" t="str">
        <f t="shared" si="41"/>
        <v/>
      </c>
      <c r="Y153" s="51">
        <f t="shared" si="42"/>
        <v>45661</v>
      </c>
      <c r="AA153" s="49" t="str">
        <f t="shared" si="43"/>
        <v/>
      </c>
      <c r="AB153" s="51">
        <f t="shared" si="44"/>
        <v>45666</v>
      </c>
      <c r="AC153" s="49" t="str">
        <f t="shared" si="45"/>
        <v/>
      </c>
      <c r="AD153" s="43">
        <f t="shared" si="46"/>
        <v>45666</v>
      </c>
      <c r="AF153" s="19" t="str">
        <f t="shared" si="47"/>
        <v/>
      </c>
      <c r="AG153" s="67"/>
      <c r="AH153" s="2"/>
      <c r="AI153" s="2"/>
      <c r="AJ153" s="2"/>
      <c r="AK153" s="2"/>
      <c r="AL153" s="2"/>
    </row>
    <row r="154" spans="1:38" ht="14.45">
      <c r="A154" s="156">
        <v>153</v>
      </c>
      <c r="B154" s="55">
        <v>45667</v>
      </c>
      <c r="C154" s="33"/>
      <c r="D154" s="14" t="s">
        <v>306</v>
      </c>
      <c r="E154" s="15">
        <v>10200.77</v>
      </c>
      <c r="F154" s="14" t="s">
        <v>307</v>
      </c>
      <c r="G154" s="14" t="s">
        <v>110</v>
      </c>
      <c r="H154" s="14" t="s">
        <v>36</v>
      </c>
      <c r="I154" s="14" t="s">
        <v>93</v>
      </c>
      <c r="J154" s="97">
        <f t="shared" si="32"/>
        <v>45567</v>
      </c>
      <c r="L154" s="19" t="str">
        <f t="shared" si="33"/>
        <v/>
      </c>
      <c r="M154" s="5">
        <f t="shared" si="34"/>
        <v>45578</v>
      </c>
      <c r="N154" s="4">
        <v>45656</v>
      </c>
      <c r="O154" s="19">
        <f t="shared" si="35"/>
        <v>-78</v>
      </c>
      <c r="P154" s="5">
        <f t="shared" si="36"/>
        <v>45593</v>
      </c>
      <c r="Q154" s="4">
        <v>45663</v>
      </c>
      <c r="R154" s="19">
        <f t="shared" si="37"/>
        <v>-70</v>
      </c>
      <c r="S154" s="5">
        <f t="shared" si="38"/>
        <v>45598</v>
      </c>
      <c r="T154" s="4">
        <v>45664</v>
      </c>
      <c r="U154" s="19">
        <f t="shared" si="39"/>
        <v>-66</v>
      </c>
      <c r="V154" s="5">
        <f t="shared" si="40"/>
        <v>45637</v>
      </c>
      <c r="W154" s="4">
        <v>45664</v>
      </c>
      <c r="X154" s="19">
        <f t="shared" si="41"/>
        <v>-27</v>
      </c>
      <c r="Y154" s="51">
        <f t="shared" si="42"/>
        <v>45662</v>
      </c>
      <c r="Z154" s="4">
        <v>45664</v>
      </c>
      <c r="AA154" s="49">
        <f t="shared" si="43"/>
        <v>-2</v>
      </c>
      <c r="AB154" s="51">
        <f t="shared" si="44"/>
        <v>45667</v>
      </c>
      <c r="AC154" s="49">
        <f t="shared" si="45"/>
        <v>3</v>
      </c>
      <c r="AD154" s="43">
        <f t="shared" si="46"/>
        <v>45667</v>
      </c>
      <c r="AE154" s="4">
        <v>45664</v>
      </c>
      <c r="AF154" s="19">
        <f t="shared" si="47"/>
        <v>3</v>
      </c>
      <c r="AG154" s="67"/>
      <c r="AH154" s="2"/>
      <c r="AI154" s="2"/>
      <c r="AJ154" s="2"/>
      <c r="AK154" s="2"/>
      <c r="AL154" s="2"/>
    </row>
    <row r="155" spans="1:38" ht="14.45">
      <c r="A155" s="156">
        <v>154</v>
      </c>
      <c r="B155" s="57">
        <v>45667</v>
      </c>
      <c r="C155" s="82"/>
      <c r="D155" s="16" t="s">
        <v>308</v>
      </c>
      <c r="E155" s="17">
        <v>29502.93</v>
      </c>
      <c r="F155" s="16" t="s">
        <v>309</v>
      </c>
      <c r="G155" s="16" t="s">
        <v>46</v>
      </c>
      <c r="H155" s="16" t="s">
        <v>40</v>
      </c>
      <c r="I155" s="16" t="s">
        <v>93</v>
      </c>
      <c r="J155" s="98">
        <f t="shared" si="32"/>
        <v>45567</v>
      </c>
      <c r="K155" s="7"/>
      <c r="L155" s="19" t="str">
        <f t="shared" si="33"/>
        <v/>
      </c>
      <c r="M155" s="20">
        <f t="shared" si="34"/>
        <v>45578</v>
      </c>
      <c r="N155" s="7"/>
      <c r="O155" s="19" t="str">
        <f t="shared" si="35"/>
        <v/>
      </c>
      <c r="P155" s="20">
        <f t="shared" si="36"/>
        <v>45593</v>
      </c>
      <c r="Q155" s="7">
        <v>45653</v>
      </c>
      <c r="R155" s="19">
        <f t="shared" si="37"/>
        <v>-60</v>
      </c>
      <c r="S155" s="20">
        <f t="shared" si="38"/>
        <v>45598</v>
      </c>
      <c r="T155" s="20">
        <v>45623</v>
      </c>
      <c r="U155" s="19">
        <f t="shared" si="39"/>
        <v>-25</v>
      </c>
      <c r="V155" s="5">
        <f t="shared" si="40"/>
        <v>45637</v>
      </c>
      <c r="W155" s="7">
        <v>45649</v>
      </c>
      <c r="X155" s="19">
        <f t="shared" si="41"/>
        <v>-12</v>
      </c>
      <c r="Y155" s="51">
        <f t="shared" si="42"/>
        <v>45662</v>
      </c>
      <c r="Z155" s="7"/>
      <c r="AA155" s="49" t="str">
        <f t="shared" si="43"/>
        <v/>
      </c>
      <c r="AB155" s="51">
        <f t="shared" si="44"/>
        <v>45667</v>
      </c>
      <c r="AC155" s="49" t="str">
        <f t="shared" si="45"/>
        <v/>
      </c>
      <c r="AD155" s="43">
        <f t="shared" si="46"/>
        <v>45667</v>
      </c>
      <c r="AE155" s="7"/>
      <c r="AF155" s="19" t="str">
        <f t="shared" si="47"/>
        <v/>
      </c>
      <c r="AG155" s="67"/>
      <c r="AH155" s="2"/>
      <c r="AI155" s="2"/>
      <c r="AJ155" s="2"/>
      <c r="AK155" s="2"/>
      <c r="AL155" s="2"/>
    </row>
    <row r="156" spans="1:38" ht="14.45">
      <c r="A156" s="156">
        <v>155</v>
      </c>
      <c r="B156" s="55">
        <v>45668</v>
      </c>
      <c r="C156" s="39" t="s">
        <v>310</v>
      </c>
      <c r="D156" s="14" t="s">
        <v>38</v>
      </c>
      <c r="E156" s="15">
        <v>85.99</v>
      </c>
      <c r="F156" s="14" t="s">
        <v>311</v>
      </c>
      <c r="G156" s="14" t="s">
        <v>190</v>
      </c>
      <c r="H156" s="14" t="s">
        <v>40</v>
      </c>
      <c r="I156" s="14" t="s">
        <v>41</v>
      </c>
      <c r="J156" s="97">
        <f t="shared" si="32"/>
        <v>45568</v>
      </c>
      <c r="L156" s="19" t="str">
        <f t="shared" si="33"/>
        <v/>
      </c>
      <c r="M156" s="5">
        <f t="shared" si="34"/>
        <v>45579</v>
      </c>
      <c r="N156" s="4">
        <v>45652</v>
      </c>
      <c r="O156" s="19">
        <f t="shared" si="35"/>
        <v>-73</v>
      </c>
      <c r="P156" s="5">
        <f t="shared" si="36"/>
        <v>45594</v>
      </c>
      <c r="Q156" s="4">
        <v>46022</v>
      </c>
      <c r="R156" s="19">
        <f t="shared" si="37"/>
        <v>-428</v>
      </c>
      <c r="S156" s="5">
        <f t="shared" si="38"/>
        <v>45599</v>
      </c>
      <c r="T156" s="4">
        <v>45657</v>
      </c>
      <c r="U156" s="19">
        <f t="shared" si="39"/>
        <v>-58</v>
      </c>
      <c r="V156" s="5">
        <f t="shared" si="40"/>
        <v>45638</v>
      </c>
      <c r="W156" s="4">
        <v>45666</v>
      </c>
      <c r="X156" s="19">
        <f t="shared" si="41"/>
        <v>-28</v>
      </c>
      <c r="Y156" s="51">
        <f t="shared" si="42"/>
        <v>45663</v>
      </c>
      <c r="Z156" s="4">
        <v>45666</v>
      </c>
      <c r="AA156" s="49">
        <f t="shared" si="43"/>
        <v>-3</v>
      </c>
      <c r="AB156" s="51">
        <f t="shared" si="44"/>
        <v>45668</v>
      </c>
      <c r="AC156" s="49">
        <f t="shared" si="45"/>
        <v>2</v>
      </c>
      <c r="AD156" s="43">
        <f t="shared" si="46"/>
        <v>45668</v>
      </c>
      <c r="AE156" s="4">
        <v>45666</v>
      </c>
      <c r="AF156" s="19">
        <f t="shared" si="47"/>
        <v>2</v>
      </c>
      <c r="AG156" s="67"/>
      <c r="AH156" s="2"/>
      <c r="AI156" s="2"/>
      <c r="AJ156" s="2"/>
      <c r="AK156" s="2"/>
      <c r="AL156" s="2"/>
    </row>
    <row r="157" spans="1:38" ht="14.45">
      <c r="A157" s="156">
        <v>156</v>
      </c>
      <c r="B157" s="55">
        <v>45668</v>
      </c>
      <c r="C157" s="33"/>
      <c r="D157" s="14" t="s">
        <v>312</v>
      </c>
      <c r="E157" s="15">
        <v>950</v>
      </c>
      <c r="F157" s="14" t="s">
        <v>313</v>
      </c>
      <c r="G157" s="10" t="s">
        <v>120</v>
      </c>
      <c r="H157" s="14" t="s">
        <v>36</v>
      </c>
      <c r="I157" s="14" t="s">
        <v>62</v>
      </c>
      <c r="J157" s="97">
        <f t="shared" si="32"/>
        <v>45568</v>
      </c>
      <c r="L157" s="19" t="str">
        <f t="shared" si="33"/>
        <v/>
      </c>
      <c r="M157" s="5">
        <f t="shared" si="34"/>
        <v>45579</v>
      </c>
      <c r="O157" s="19" t="str">
        <f t="shared" si="35"/>
        <v/>
      </c>
      <c r="P157" s="5">
        <f t="shared" si="36"/>
        <v>45594</v>
      </c>
      <c r="R157" s="19" t="str">
        <f t="shared" si="37"/>
        <v/>
      </c>
      <c r="S157" s="5">
        <f t="shared" si="38"/>
        <v>45599</v>
      </c>
      <c r="U157" s="19" t="str">
        <f t="shared" si="39"/>
        <v/>
      </c>
      <c r="V157" s="5">
        <f t="shared" si="40"/>
        <v>45638</v>
      </c>
      <c r="W157" s="4">
        <v>45667</v>
      </c>
      <c r="X157" s="19">
        <f t="shared" si="41"/>
        <v>-29</v>
      </c>
      <c r="Y157" s="51">
        <f t="shared" si="42"/>
        <v>45663</v>
      </c>
      <c r="Z157" s="4">
        <v>45677</v>
      </c>
      <c r="AA157" s="49">
        <f t="shared" si="43"/>
        <v>-14</v>
      </c>
      <c r="AB157" s="51">
        <f t="shared" si="44"/>
        <v>45668</v>
      </c>
      <c r="AC157" s="49">
        <f t="shared" si="45"/>
        <v>-9</v>
      </c>
      <c r="AD157" s="43">
        <f t="shared" si="46"/>
        <v>45668</v>
      </c>
      <c r="AE157" s="4">
        <v>45677</v>
      </c>
      <c r="AF157" s="19">
        <f t="shared" si="47"/>
        <v>-9</v>
      </c>
      <c r="AG157" s="67"/>
      <c r="AH157" s="2"/>
      <c r="AI157" s="2"/>
      <c r="AJ157" s="2"/>
      <c r="AK157" s="2"/>
      <c r="AL157" s="2"/>
    </row>
    <row r="158" spans="1:38" ht="14.45">
      <c r="A158" s="156">
        <v>157</v>
      </c>
      <c r="B158" s="55">
        <v>45668</v>
      </c>
      <c r="C158" s="33"/>
      <c r="D158" s="14" t="s">
        <v>246</v>
      </c>
      <c r="E158" s="15">
        <v>20458.169999999998</v>
      </c>
      <c r="F158" s="14" t="s">
        <v>314</v>
      </c>
      <c r="G158" s="14" t="s">
        <v>35</v>
      </c>
      <c r="H158" s="14" t="s">
        <v>36</v>
      </c>
      <c r="I158" s="14" t="s">
        <v>37</v>
      </c>
      <c r="J158" s="97">
        <f t="shared" si="32"/>
        <v>45568</v>
      </c>
      <c r="L158" s="19" t="str">
        <f t="shared" si="33"/>
        <v/>
      </c>
      <c r="M158" s="5">
        <f t="shared" si="34"/>
        <v>45579</v>
      </c>
      <c r="O158" s="19" t="str">
        <f t="shared" si="35"/>
        <v/>
      </c>
      <c r="P158" s="5">
        <f t="shared" si="36"/>
        <v>45594</v>
      </c>
      <c r="R158" s="19" t="str">
        <f t="shared" si="37"/>
        <v/>
      </c>
      <c r="S158" s="5">
        <f t="shared" si="38"/>
        <v>45599</v>
      </c>
      <c r="U158" s="19" t="str">
        <f t="shared" si="39"/>
        <v/>
      </c>
      <c r="V158" s="5">
        <f t="shared" si="40"/>
        <v>45638</v>
      </c>
      <c r="W158" s="4">
        <v>45631</v>
      </c>
      <c r="X158" s="19">
        <f t="shared" si="41"/>
        <v>7</v>
      </c>
      <c r="Y158" s="51">
        <f t="shared" si="42"/>
        <v>45663</v>
      </c>
      <c r="AA158" s="49" t="str">
        <f t="shared" si="43"/>
        <v/>
      </c>
      <c r="AB158" s="51">
        <f t="shared" si="44"/>
        <v>45668</v>
      </c>
      <c r="AC158" s="49" t="str">
        <f t="shared" si="45"/>
        <v/>
      </c>
      <c r="AD158" s="43">
        <f t="shared" si="46"/>
        <v>45668</v>
      </c>
      <c r="AF158" s="19" t="str">
        <f t="shared" si="47"/>
        <v/>
      </c>
      <c r="AG158" s="67"/>
      <c r="AH158" s="2"/>
      <c r="AI158" s="2"/>
      <c r="AJ158" s="2"/>
      <c r="AK158" s="2"/>
      <c r="AL158" s="2"/>
    </row>
    <row r="159" spans="1:38" ht="14.45">
      <c r="A159" s="156">
        <v>158</v>
      </c>
      <c r="B159" s="55">
        <v>45668</v>
      </c>
      <c r="C159" s="33"/>
      <c r="D159" s="14" t="s">
        <v>315</v>
      </c>
      <c r="E159" s="15">
        <v>2167.42</v>
      </c>
      <c r="F159" s="14" t="s">
        <v>316</v>
      </c>
      <c r="G159" s="10" t="s">
        <v>120</v>
      </c>
      <c r="H159" s="14" t="s">
        <v>40</v>
      </c>
      <c r="I159" s="14" t="s">
        <v>93</v>
      </c>
      <c r="J159" s="97">
        <f t="shared" si="32"/>
        <v>45568</v>
      </c>
      <c r="K159" s="4">
        <v>45625</v>
      </c>
      <c r="L159" s="19">
        <f t="shared" si="33"/>
        <v>-57</v>
      </c>
      <c r="M159" s="5">
        <f t="shared" si="34"/>
        <v>45579</v>
      </c>
      <c r="O159" s="19" t="str">
        <f t="shared" si="35"/>
        <v/>
      </c>
      <c r="P159" s="5">
        <f t="shared" si="36"/>
        <v>45594</v>
      </c>
      <c r="R159" s="19" t="str">
        <f t="shared" si="37"/>
        <v/>
      </c>
      <c r="S159" s="5">
        <f t="shared" si="38"/>
        <v>45599</v>
      </c>
      <c r="T159" s="95">
        <v>45643</v>
      </c>
      <c r="U159" s="19">
        <f t="shared" si="39"/>
        <v>-44</v>
      </c>
      <c r="V159" s="5">
        <f t="shared" si="40"/>
        <v>45638</v>
      </c>
      <c r="W159" s="6">
        <v>45650</v>
      </c>
      <c r="X159" s="19">
        <f t="shared" si="41"/>
        <v>-12</v>
      </c>
      <c r="Y159" s="51">
        <f t="shared" si="42"/>
        <v>45663</v>
      </c>
      <c r="AA159" s="49" t="str">
        <f t="shared" si="43"/>
        <v/>
      </c>
      <c r="AB159" s="51">
        <f t="shared" si="44"/>
        <v>45668</v>
      </c>
      <c r="AC159" s="49" t="str">
        <f t="shared" si="45"/>
        <v/>
      </c>
      <c r="AD159" s="43">
        <f t="shared" si="46"/>
        <v>45668</v>
      </c>
      <c r="AF159" s="19" t="str">
        <f t="shared" si="47"/>
        <v/>
      </c>
      <c r="AG159" s="67"/>
      <c r="AH159" s="2"/>
      <c r="AI159" s="2"/>
      <c r="AJ159" s="2"/>
      <c r="AK159" s="2"/>
      <c r="AL159" s="2"/>
    </row>
    <row r="160" spans="1:38" ht="14.45">
      <c r="A160" s="156">
        <v>159</v>
      </c>
      <c r="B160" s="55">
        <v>45669</v>
      </c>
      <c r="C160" s="33"/>
      <c r="D160" s="14" t="s">
        <v>315</v>
      </c>
      <c r="E160" s="15">
        <v>931.08</v>
      </c>
      <c r="F160" s="14" t="s">
        <v>317</v>
      </c>
      <c r="G160" s="10" t="s">
        <v>120</v>
      </c>
      <c r="H160" s="14" t="s">
        <v>40</v>
      </c>
      <c r="I160" s="14" t="s">
        <v>41</v>
      </c>
      <c r="J160" s="97">
        <f t="shared" si="32"/>
        <v>45569</v>
      </c>
      <c r="K160" s="4">
        <v>45625</v>
      </c>
      <c r="L160" s="19">
        <f t="shared" si="33"/>
        <v>-56</v>
      </c>
      <c r="M160" s="5">
        <f t="shared" si="34"/>
        <v>45580</v>
      </c>
      <c r="O160" s="19" t="str">
        <f t="shared" si="35"/>
        <v/>
      </c>
      <c r="P160" s="5">
        <f t="shared" si="36"/>
        <v>45595</v>
      </c>
      <c r="R160" s="19" t="str">
        <f t="shared" si="37"/>
        <v/>
      </c>
      <c r="S160" s="5">
        <f t="shared" si="38"/>
        <v>45600</v>
      </c>
      <c r="U160" s="19" t="str">
        <f t="shared" si="39"/>
        <v/>
      </c>
      <c r="V160" s="5">
        <f t="shared" si="40"/>
        <v>45639</v>
      </c>
      <c r="W160" s="6">
        <v>45643</v>
      </c>
      <c r="X160" s="19">
        <f t="shared" si="41"/>
        <v>-4</v>
      </c>
      <c r="Y160" s="51">
        <f t="shared" si="42"/>
        <v>45664</v>
      </c>
      <c r="Z160" s="95">
        <v>45660</v>
      </c>
      <c r="AA160" s="49">
        <f t="shared" si="43"/>
        <v>4</v>
      </c>
      <c r="AB160" s="51">
        <f t="shared" si="44"/>
        <v>45669</v>
      </c>
      <c r="AC160" s="49">
        <f t="shared" si="45"/>
        <v>9</v>
      </c>
      <c r="AD160" s="43">
        <f t="shared" si="46"/>
        <v>45669</v>
      </c>
      <c r="AE160" s="95">
        <v>45660</v>
      </c>
      <c r="AF160" s="19">
        <f t="shared" si="47"/>
        <v>9</v>
      </c>
      <c r="AG160" s="67"/>
      <c r="AH160" s="2"/>
      <c r="AI160" s="2"/>
      <c r="AJ160" s="2"/>
      <c r="AK160" s="2"/>
      <c r="AL160" s="2"/>
    </row>
    <row r="161" spans="1:38" ht="14.45">
      <c r="A161" s="156">
        <v>160</v>
      </c>
      <c r="B161" s="55">
        <v>45671</v>
      </c>
      <c r="C161" s="33" t="s">
        <v>318</v>
      </c>
      <c r="D161" s="14" t="s">
        <v>200</v>
      </c>
      <c r="E161" s="15">
        <v>357.29</v>
      </c>
      <c r="F161" s="14" t="s">
        <v>319</v>
      </c>
      <c r="G161" s="14" t="s">
        <v>51</v>
      </c>
      <c r="H161" s="14" t="s">
        <v>40</v>
      </c>
      <c r="I161" s="14" t="s">
        <v>62</v>
      </c>
      <c r="J161" s="97">
        <f t="shared" si="32"/>
        <v>45571</v>
      </c>
      <c r="L161" s="19" t="str">
        <f t="shared" si="33"/>
        <v/>
      </c>
      <c r="M161" s="5">
        <f t="shared" si="34"/>
        <v>45582</v>
      </c>
      <c r="O161" s="19" t="str">
        <f t="shared" si="35"/>
        <v/>
      </c>
      <c r="P161" s="5">
        <f t="shared" si="36"/>
        <v>45597</v>
      </c>
      <c r="R161" s="19" t="str">
        <f t="shared" si="37"/>
        <v/>
      </c>
      <c r="S161" s="5">
        <f t="shared" si="38"/>
        <v>45602</v>
      </c>
      <c r="U161" s="19" t="str">
        <f t="shared" si="39"/>
        <v/>
      </c>
      <c r="V161" s="5">
        <f t="shared" si="40"/>
        <v>45641</v>
      </c>
      <c r="X161" s="19" t="str">
        <f t="shared" si="41"/>
        <v/>
      </c>
      <c r="Y161" s="51">
        <f t="shared" si="42"/>
        <v>45666</v>
      </c>
      <c r="AA161" s="49" t="str">
        <f t="shared" si="43"/>
        <v/>
      </c>
      <c r="AB161" s="51">
        <f t="shared" si="44"/>
        <v>45671</v>
      </c>
      <c r="AC161" s="49" t="str">
        <f t="shared" si="45"/>
        <v/>
      </c>
      <c r="AD161" s="43">
        <f t="shared" si="46"/>
        <v>45671</v>
      </c>
      <c r="AF161" s="19" t="str">
        <f t="shared" si="47"/>
        <v/>
      </c>
      <c r="AG161" s="67"/>
      <c r="AH161" s="2"/>
      <c r="AI161" s="2"/>
      <c r="AJ161" s="2"/>
      <c r="AK161" s="2"/>
      <c r="AL161" s="2"/>
    </row>
    <row r="162" spans="1:38" ht="14.45">
      <c r="A162" s="156">
        <v>161</v>
      </c>
      <c r="B162" s="57">
        <v>45672</v>
      </c>
      <c r="C162" s="82"/>
      <c r="D162" s="16" t="s">
        <v>153</v>
      </c>
      <c r="E162" s="17">
        <v>3848</v>
      </c>
      <c r="F162" s="16" t="s">
        <v>320</v>
      </c>
      <c r="G162" s="16" t="s">
        <v>46</v>
      </c>
      <c r="H162" s="16" t="s">
        <v>40</v>
      </c>
      <c r="I162" s="16" t="s">
        <v>47</v>
      </c>
      <c r="J162" s="98">
        <f t="shared" si="32"/>
        <v>45572</v>
      </c>
      <c r="K162" s="7">
        <v>45581</v>
      </c>
      <c r="L162" s="19">
        <f t="shared" si="33"/>
        <v>-9</v>
      </c>
      <c r="M162" s="20">
        <f t="shared" si="34"/>
        <v>45583</v>
      </c>
      <c r="N162" s="7"/>
      <c r="O162" s="19" t="str">
        <f t="shared" si="35"/>
        <v/>
      </c>
      <c r="P162" s="20">
        <f t="shared" si="36"/>
        <v>45598</v>
      </c>
      <c r="Q162" s="7">
        <v>45672</v>
      </c>
      <c r="R162" s="19">
        <f t="shared" si="37"/>
        <v>-74</v>
      </c>
      <c r="S162" s="20">
        <f t="shared" si="38"/>
        <v>45603</v>
      </c>
      <c r="T162" s="7"/>
      <c r="U162" s="19" t="str">
        <f t="shared" si="39"/>
        <v/>
      </c>
      <c r="V162" s="5">
        <f t="shared" si="40"/>
        <v>45642</v>
      </c>
      <c r="W162" s="7"/>
      <c r="X162" s="19" t="str">
        <f t="shared" si="41"/>
        <v/>
      </c>
      <c r="Y162" s="51">
        <f t="shared" si="42"/>
        <v>45667</v>
      </c>
      <c r="Z162" s="123"/>
      <c r="AA162" s="49" t="str">
        <f t="shared" si="43"/>
        <v/>
      </c>
      <c r="AB162" s="51">
        <f t="shared" si="44"/>
        <v>45672</v>
      </c>
      <c r="AC162" s="49" t="str">
        <f t="shared" si="45"/>
        <v/>
      </c>
      <c r="AD162" s="43">
        <f t="shared" si="46"/>
        <v>45672</v>
      </c>
      <c r="AE162" s="43"/>
      <c r="AF162" s="19" t="str">
        <f t="shared" si="47"/>
        <v/>
      </c>
      <c r="AG162" s="67"/>
      <c r="AH162" s="2"/>
      <c r="AI162" s="2"/>
      <c r="AJ162" s="2"/>
      <c r="AK162" s="2"/>
      <c r="AL162" s="2"/>
    </row>
    <row r="163" spans="1:38" s="9" customFormat="1" ht="14.45">
      <c r="A163" s="156">
        <v>162</v>
      </c>
      <c r="B163" s="55">
        <v>45672</v>
      </c>
      <c r="C163" s="33"/>
      <c r="D163" s="14" t="s">
        <v>321</v>
      </c>
      <c r="E163" s="15">
        <v>17400</v>
      </c>
      <c r="F163" s="14" t="s">
        <v>322</v>
      </c>
      <c r="G163" s="14" t="s">
        <v>46</v>
      </c>
      <c r="H163" s="14" t="s">
        <v>36</v>
      </c>
      <c r="I163" s="14" t="s">
        <v>323</v>
      </c>
      <c r="J163" s="97">
        <f t="shared" si="32"/>
        <v>45572</v>
      </c>
      <c r="K163" s="4">
        <v>45581</v>
      </c>
      <c r="L163" s="19">
        <f t="shared" si="33"/>
        <v>-9</v>
      </c>
      <c r="M163" s="5">
        <f t="shared" si="34"/>
        <v>45583</v>
      </c>
      <c r="N163" s="4"/>
      <c r="O163" s="19" t="str">
        <f t="shared" si="35"/>
        <v/>
      </c>
      <c r="P163" s="5">
        <f t="shared" si="36"/>
        <v>45598</v>
      </c>
      <c r="Q163" s="4"/>
      <c r="R163" s="19" t="str">
        <f t="shared" si="37"/>
        <v/>
      </c>
      <c r="S163" s="5">
        <f t="shared" si="38"/>
        <v>45603</v>
      </c>
      <c r="T163" s="4">
        <v>45649</v>
      </c>
      <c r="U163" s="19">
        <f t="shared" si="39"/>
        <v>-46</v>
      </c>
      <c r="V163" s="5">
        <f t="shared" si="40"/>
        <v>45642</v>
      </c>
      <c r="W163" s="4">
        <v>45650</v>
      </c>
      <c r="X163" s="19">
        <f t="shared" si="41"/>
        <v>-8</v>
      </c>
      <c r="Y163" s="51">
        <f t="shared" si="42"/>
        <v>45667</v>
      </c>
      <c r="Z163" s="6">
        <v>45671</v>
      </c>
      <c r="AA163" s="49">
        <f t="shared" si="43"/>
        <v>-4</v>
      </c>
      <c r="AB163" s="51">
        <f t="shared" si="44"/>
        <v>45672</v>
      </c>
      <c r="AC163" s="49">
        <f t="shared" si="45"/>
        <v>1</v>
      </c>
      <c r="AD163" s="43">
        <f t="shared" si="46"/>
        <v>45672</v>
      </c>
      <c r="AE163" s="6">
        <v>45671</v>
      </c>
      <c r="AF163" s="19">
        <f t="shared" si="47"/>
        <v>1</v>
      </c>
      <c r="AG163" s="68"/>
      <c r="AH163" s="8"/>
      <c r="AI163" s="8"/>
      <c r="AJ163" s="8"/>
      <c r="AK163" s="8"/>
      <c r="AL163" s="8"/>
    </row>
    <row r="164" spans="1:38" ht="14.45">
      <c r="A164" s="156">
        <v>163</v>
      </c>
      <c r="B164" s="55">
        <v>45672</v>
      </c>
      <c r="C164" s="33"/>
      <c r="D164" s="14" t="s">
        <v>324</v>
      </c>
      <c r="E164" s="15">
        <v>17851.29</v>
      </c>
      <c r="F164" s="14" t="s">
        <v>325</v>
      </c>
      <c r="G164" s="14" t="s">
        <v>46</v>
      </c>
      <c r="H164" s="14" t="s">
        <v>40</v>
      </c>
      <c r="I164" s="14" t="s">
        <v>93</v>
      </c>
      <c r="J164" s="97">
        <f t="shared" si="32"/>
        <v>45572</v>
      </c>
      <c r="K164" s="4">
        <v>45581</v>
      </c>
      <c r="L164" s="19">
        <f t="shared" si="33"/>
        <v>-9</v>
      </c>
      <c r="M164" s="5">
        <f t="shared" si="34"/>
        <v>45583</v>
      </c>
      <c r="O164" s="19" t="str">
        <f t="shared" si="35"/>
        <v/>
      </c>
      <c r="P164" s="5">
        <f t="shared" si="36"/>
        <v>45598</v>
      </c>
      <c r="R164" s="19" t="str">
        <f t="shared" si="37"/>
        <v/>
      </c>
      <c r="S164" s="5">
        <f t="shared" si="38"/>
        <v>45603</v>
      </c>
      <c r="T164" s="4">
        <v>45630</v>
      </c>
      <c r="U164" s="19">
        <f t="shared" si="39"/>
        <v>-27</v>
      </c>
      <c r="V164" s="5">
        <f t="shared" si="40"/>
        <v>45642</v>
      </c>
      <c r="W164" s="4">
        <v>45643</v>
      </c>
      <c r="X164" s="19">
        <f t="shared" si="41"/>
        <v>-1</v>
      </c>
      <c r="Y164" s="51">
        <f t="shared" si="42"/>
        <v>45667</v>
      </c>
      <c r="Z164" s="4">
        <v>45677</v>
      </c>
      <c r="AA164" s="49">
        <f t="shared" si="43"/>
        <v>-10</v>
      </c>
      <c r="AB164" s="51">
        <f t="shared" si="44"/>
        <v>45672</v>
      </c>
      <c r="AC164" s="49">
        <f t="shared" si="45"/>
        <v>-5</v>
      </c>
      <c r="AD164" s="43">
        <f t="shared" si="46"/>
        <v>45672</v>
      </c>
      <c r="AE164" s="4">
        <v>45677</v>
      </c>
      <c r="AF164" s="19">
        <f t="shared" si="47"/>
        <v>-5</v>
      </c>
      <c r="AG164" s="67"/>
      <c r="AH164" s="2"/>
      <c r="AI164" s="2"/>
      <c r="AJ164" s="2"/>
      <c r="AK164" s="2"/>
      <c r="AL164" s="2"/>
    </row>
    <row r="165" spans="1:38" ht="14.45">
      <c r="A165" s="156">
        <v>164</v>
      </c>
      <c r="B165" s="55">
        <v>45672</v>
      </c>
      <c r="C165" s="33"/>
      <c r="D165" s="14" t="s">
        <v>326</v>
      </c>
      <c r="E165" s="15">
        <v>17200.02</v>
      </c>
      <c r="F165" s="14" t="s">
        <v>327</v>
      </c>
      <c r="G165" s="14" t="s">
        <v>46</v>
      </c>
      <c r="H165" s="14" t="s">
        <v>40</v>
      </c>
      <c r="I165" s="14" t="s">
        <v>52</v>
      </c>
      <c r="J165" s="97">
        <f t="shared" si="32"/>
        <v>45572</v>
      </c>
      <c r="K165" s="4">
        <v>45581</v>
      </c>
      <c r="L165" s="19">
        <f t="shared" si="33"/>
        <v>-9</v>
      </c>
      <c r="M165" s="5">
        <f t="shared" si="34"/>
        <v>45583</v>
      </c>
      <c r="O165" s="19" t="str">
        <f t="shared" si="35"/>
        <v/>
      </c>
      <c r="P165" s="5">
        <f t="shared" si="36"/>
        <v>45598</v>
      </c>
      <c r="R165" s="19" t="str">
        <f t="shared" si="37"/>
        <v/>
      </c>
      <c r="S165" s="5">
        <f t="shared" si="38"/>
        <v>45603</v>
      </c>
      <c r="T165" s="4">
        <v>45637</v>
      </c>
      <c r="U165" s="19">
        <f t="shared" si="39"/>
        <v>-34</v>
      </c>
      <c r="V165" s="5">
        <f t="shared" si="40"/>
        <v>45642</v>
      </c>
      <c r="W165" s="4">
        <v>45653</v>
      </c>
      <c r="X165" s="19">
        <f t="shared" si="41"/>
        <v>-11</v>
      </c>
      <c r="Y165" s="51">
        <f t="shared" si="42"/>
        <v>45667</v>
      </c>
      <c r="Z165" s="4">
        <v>45681</v>
      </c>
      <c r="AA165" s="49">
        <f t="shared" si="43"/>
        <v>-14</v>
      </c>
      <c r="AB165" s="51">
        <f t="shared" si="44"/>
        <v>45672</v>
      </c>
      <c r="AC165" s="49">
        <f t="shared" si="45"/>
        <v>-9</v>
      </c>
      <c r="AD165" s="43">
        <f t="shared" si="46"/>
        <v>45672</v>
      </c>
      <c r="AE165" s="4">
        <v>45681</v>
      </c>
      <c r="AF165" s="19">
        <f t="shared" si="47"/>
        <v>-9</v>
      </c>
      <c r="AG165" s="67"/>
      <c r="AH165" s="2"/>
      <c r="AI165" s="2"/>
      <c r="AJ165" s="2"/>
      <c r="AK165" s="2"/>
      <c r="AL165" s="2"/>
    </row>
    <row r="166" spans="1:38" ht="14.45">
      <c r="A166" s="156">
        <v>165</v>
      </c>
      <c r="B166" s="55">
        <v>45672</v>
      </c>
      <c r="C166" s="33"/>
      <c r="D166" s="14" t="s">
        <v>328</v>
      </c>
      <c r="E166" s="15">
        <v>266575.55</v>
      </c>
      <c r="F166" s="14" t="s">
        <v>329</v>
      </c>
      <c r="G166" s="14" t="s">
        <v>35</v>
      </c>
      <c r="H166" s="14" t="s">
        <v>40</v>
      </c>
      <c r="I166" s="14" t="s">
        <v>52</v>
      </c>
      <c r="J166" s="97">
        <f t="shared" si="32"/>
        <v>45572</v>
      </c>
      <c r="L166" s="19" t="str">
        <f t="shared" si="33"/>
        <v/>
      </c>
      <c r="M166" s="5">
        <f t="shared" si="34"/>
        <v>45583</v>
      </c>
      <c r="N166" s="4">
        <v>45610</v>
      </c>
      <c r="O166" s="19">
        <f t="shared" si="35"/>
        <v>-27</v>
      </c>
      <c r="P166" s="5">
        <f t="shared" si="36"/>
        <v>45598</v>
      </c>
      <c r="Q166" s="4">
        <v>45621</v>
      </c>
      <c r="R166" s="19">
        <f t="shared" si="37"/>
        <v>-23</v>
      </c>
      <c r="S166" s="5">
        <f t="shared" si="38"/>
        <v>45603</v>
      </c>
      <c r="T166" s="4">
        <v>45624</v>
      </c>
      <c r="U166" s="19">
        <f t="shared" si="39"/>
        <v>-21</v>
      </c>
      <c r="V166" s="5">
        <f t="shared" si="40"/>
        <v>45642</v>
      </c>
      <c r="W166" s="4">
        <v>45624</v>
      </c>
      <c r="X166" s="19">
        <f t="shared" si="41"/>
        <v>18</v>
      </c>
      <c r="Y166" s="51">
        <f t="shared" si="42"/>
        <v>45667</v>
      </c>
      <c r="AA166" s="49" t="str">
        <f t="shared" si="43"/>
        <v/>
      </c>
      <c r="AB166" s="51">
        <f t="shared" si="44"/>
        <v>45672</v>
      </c>
      <c r="AC166" s="49" t="str">
        <f t="shared" si="45"/>
        <v/>
      </c>
      <c r="AD166" s="43">
        <f t="shared" si="46"/>
        <v>45672</v>
      </c>
      <c r="AF166" s="19" t="str">
        <f t="shared" si="47"/>
        <v/>
      </c>
      <c r="AG166" s="67"/>
      <c r="AH166" s="2"/>
      <c r="AI166" s="2"/>
      <c r="AJ166" s="2"/>
      <c r="AK166" s="2"/>
      <c r="AL166" s="2"/>
    </row>
    <row r="167" spans="1:38" ht="14.45">
      <c r="A167" s="156">
        <v>166</v>
      </c>
      <c r="B167" s="55">
        <v>45673</v>
      </c>
      <c r="C167" s="33"/>
      <c r="D167" s="14" t="s">
        <v>330</v>
      </c>
      <c r="E167" s="15">
        <v>5533.66</v>
      </c>
      <c r="F167" s="14" t="s">
        <v>331</v>
      </c>
      <c r="G167" s="14" t="s">
        <v>46</v>
      </c>
      <c r="H167" s="14" t="s">
        <v>36</v>
      </c>
      <c r="I167" s="14" t="s">
        <v>37</v>
      </c>
      <c r="J167" s="97">
        <f t="shared" si="32"/>
        <v>45573</v>
      </c>
      <c r="K167" s="4">
        <v>45581</v>
      </c>
      <c r="L167" s="19">
        <f t="shared" si="33"/>
        <v>-8</v>
      </c>
      <c r="M167" s="5">
        <f t="shared" si="34"/>
        <v>45584</v>
      </c>
      <c r="O167" s="19" t="str">
        <f t="shared" si="35"/>
        <v/>
      </c>
      <c r="P167" s="5">
        <f t="shared" si="36"/>
        <v>45599</v>
      </c>
      <c r="R167" s="19" t="str">
        <f t="shared" si="37"/>
        <v/>
      </c>
      <c r="S167" s="5">
        <f t="shared" si="38"/>
        <v>45604</v>
      </c>
      <c r="T167" s="4">
        <v>45630</v>
      </c>
      <c r="U167" s="19">
        <f t="shared" si="39"/>
        <v>-26</v>
      </c>
      <c r="V167" s="5">
        <f t="shared" si="40"/>
        <v>45643</v>
      </c>
      <c r="W167" s="4">
        <v>45643</v>
      </c>
      <c r="X167" s="19">
        <f t="shared" si="41"/>
        <v>0</v>
      </c>
      <c r="Y167" s="51">
        <f t="shared" si="42"/>
        <v>45668</v>
      </c>
      <c r="Z167" s="4">
        <v>45671</v>
      </c>
      <c r="AA167" s="49">
        <f t="shared" si="43"/>
        <v>-3</v>
      </c>
      <c r="AB167" s="51">
        <f t="shared" si="44"/>
        <v>45673</v>
      </c>
      <c r="AC167" s="49">
        <f t="shared" si="45"/>
        <v>2</v>
      </c>
      <c r="AD167" s="43">
        <f t="shared" si="46"/>
        <v>45673</v>
      </c>
      <c r="AE167" s="4">
        <v>45671</v>
      </c>
      <c r="AF167" s="19">
        <f t="shared" si="47"/>
        <v>2</v>
      </c>
      <c r="AG167" s="67"/>
      <c r="AH167" s="2"/>
      <c r="AI167" s="2"/>
      <c r="AJ167" s="2"/>
      <c r="AK167" s="2"/>
      <c r="AL167" s="2"/>
    </row>
    <row r="168" spans="1:38" ht="14.45">
      <c r="A168" s="156">
        <v>167</v>
      </c>
      <c r="B168" s="55">
        <v>45674</v>
      </c>
      <c r="C168" s="33"/>
      <c r="D168" s="14" t="s">
        <v>332</v>
      </c>
      <c r="E168" s="15">
        <v>2909.71</v>
      </c>
      <c r="F168" s="14" t="s">
        <v>333</v>
      </c>
      <c r="G168" s="10" t="s">
        <v>120</v>
      </c>
      <c r="H168" s="14" t="s">
        <v>40</v>
      </c>
      <c r="I168" s="14" t="s">
        <v>93</v>
      </c>
      <c r="J168" s="97">
        <f t="shared" si="32"/>
        <v>45574</v>
      </c>
      <c r="L168" s="19" t="str">
        <f t="shared" si="33"/>
        <v/>
      </c>
      <c r="M168" s="5">
        <f t="shared" si="34"/>
        <v>45585</v>
      </c>
      <c r="O168" s="19" t="str">
        <f t="shared" si="35"/>
        <v/>
      </c>
      <c r="P168" s="5">
        <f t="shared" si="36"/>
        <v>45600</v>
      </c>
      <c r="R168" s="19" t="str">
        <f t="shared" si="37"/>
        <v/>
      </c>
      <c r="S168" s="5">
        <f t="shared" si="38"/>
        <v>45605</v>
      </c>
      <c r="T168" s="95">
        <v>45652</v>
      </c>
      <c r="U168" s="19">
        <f t="shared" si="39"/>
        <v>-47</v>
      </c>
      <c r="V168" s="5">
        <f t="shared" si="40"/>
        <v>45644</v>
      </c>
      <c r="W168" s="6">
        <v>45656</v>
      </c>
      <c r="X168" s="19">
        <f t="shared" si="41"/>
        <v>-12</v>
      </c>
      <c r="Y168" s="51">
        <f t="shared" si="42"/>
        <v>45669</v>
      </c>
      <c r="Z168" s="95">
        <v>45666</v>
      </c>
      <c r="AA168" s="49">
        <f t="shared" si="43"/>
        <v>3</v>
      </c>
      <c r="AB168" s="51">
        <f t="shared" si="44"/>
        <v>45674</v>
      </c>
      <c r="AC168" s="49">
        <f t="shared" si="45"/>
        <v>8</v>
      </c>
      <c r="AD168" s="43">
        <f t="shared" si="46"/>
        <v>45674</v>
      </c>
      <c r="AE168" s="95">
        <v>45666</v>
      </c>
      <c r="AF168" s="19">
        <f t="shared" si="47"/>
        <v>8</v>
      </c>
      <c r="AG168" s="67"/>
      <c r="AH168" s="2"/>
      <c r="AI168" s="2"/>
      <c r="AJ168" s="2"/>
      <c r="AK168" s="2"/>
      <c r="AL168" s="2"/>
    </row>
    <row r="169" spans="1:38" ht="14.45">
      <c r="A169" s="156">
        <v>168</v>
      </c>
      <c r="B169" s="55">
        <v>45675</v>
      </c>
      <c r="C169" s="33"/>
      <c r="D169" s="14" t="s">
        <v>334</v>
      </c>
      <c r="E169" s="15">
        <v>7700</v>
      </c>
      <c r="F169" s="14" t="s">
        <v>335</v>
      </c>
      <c r="G169" s="14" t="s">
        <v>46</v>
      </c>
      <c r="H169" s="14" t="s">
        <v>40</v>
      </c>
      <c r="I169" s="14" t="s">
        <v>229</v>
      </c>
      <c r="J169" s="97">
        <f t="shared" si="32"/>
        <v>45575</v>
      </c>
      <c r="K169" s="4">
        <v>45581</v>
      </c>
      <c r="L169" s="19">
        <f t="shared" si="33"/>
        <v>-6</v>
      </c>
      <c r="M169" s="5">
        <f t="shared" si="34"/>
        <v>45586</v>
      </c>
      <c r="N169" s="4">
        <v>45637</v>
      </c>
      <c r="O169" s="19">
        <f t="shared" si="35"/>
        <v>-51</v>
      </c>
      <c r="P169" s="5">
        <f t="shared" si="36"/>
        <v>45601</v>
      </c>
      <c r="Q169" s="4">
        <v>45652</v>
      </c>
      <c r="R169" s="19">
        <f t="shared" si="37"/>
        <v>-51</v>
      </c>
      <c r="S169" s="5">
        <f t="shared" si="38"/>
        <v>45606</v>
      </c>
      <c r="T169" s="4">
        <v>45637</v>
      </c>
      <c r="U169" s="19">
        <f t="shared" si="39"/>
        <v>-31</v>
      </c>
      <c r="V169" s="5">
        <f t="shared" si="40"/>
        <v>45645</v>
      </c>
      <c r="W169" s="4">
        <v>45650</v>
      </c>
      <c r="X169" s="19">
        <f t="shared" si="41"/>
        <v>-5</v>
      </c>
      <c r="Y169" s="51">
        <f t="shared" si="42"/>
        <v>45670</v>
      </c>
      <c r="Z169" s="4">
        <v>45672</v>
      </c>
      <c r="AA169" s="49">
        <f t="shared" si="43"/>
        <v>-2</v>
      </c>
      <c r="AB169" s="51">
        <f t="shared" si="44"/>
        <v>45675</v>
      </c>
      <c r="AC169" s="49">
        <f t="shared" si="45"/>
        <v>3</v>
      </c>
      <c r="AD169" s="43">
        <f t="shared" si="46"/>
        <v>45675</v>
      </c>
      <c r="AE169" s="4">
        <v>45672</v>
      </c>
      <c r="AF169" s="19">
        <f t="shared" si="47"/>
        <v>3</v>
      </c>
      <c r="AG169" s="67"/>
      <c r="AH169" s="2"/>
      <c r="AI169" s="2"/>
      <c r="AJ169" s="2"/>
      <c r="AK169" s="2"/>
      <c r="AL169" s="2"/>
    </row>
    <row r="170" spans="1:38" ht="14.45">
      <c r="A170" s="156">
        <v>169</v>
      </c>
      <c r="B170" s="55">
        <v>45675</v>
      </c>
      <c r="C170" s="33"/>
      <c r="D170" s="14" t="s">
        <v>336</v>
      </c>
      <c r="E170" s="15">
        <v>48081.07</v>
      </c>
      <c r="F170" s="14" t="s">
        <v>337</v>
      </c>
      <c r="G170" s="10" t="s">
        <v>120</v>
      </c>
      <c r="H170" s="14" t="s">
        <v>40</v>
      </c>
      <c r="I170" s="14" t="s">
        <v>52</v>
      </c>
      <c r="J170" s="97">
        <f t="shared" si="32"/>
        <v>45575</v>
      </c>
      <c r="L170" s="19" t="str">
        <f t="shared" si="33"/>
        <v/>
      </c>
      <c r="M170" s="5">
        <f t="shared" si="34"/>
        <v>45586</v>
      </c>
      <c r="O170" s="19" t="str">
        <f t="shared" si="35"/>
        <v/>
      </c>
      <c r="P170" s="5">
        <f t="shared" si="36"/>
        <v>45601</v>
      </c>
      <c r="R170" s="19" t="str">
        <f t="shared" si="37"/>
        <v/>
      </c>
      <c r="S170" s="5">
        <f t="shared" si="38"/>
        <v>45606</v>
      </c>
      <c r="T170" s="6">
        <v>45652</v>
      </c>
      <c r="U170" s="19">
        <f t="shared" si="39"/>
        <v>-46</v>
      </c>
      <c r="V170" s="5">
        <f t="shared" si="40"/>
        <v>45645</v>
      </c>
      <c r="W170" s="4">
        <v>45679</v>
      </c>
      <c r="X170" s="19">
        <f t="shared" si="41"/>
        <v>-34</v>
      </c>
      <c r="Y170" s="51">
        <f t="shared" si="42"/>
        <v>45670</v>
      </c>
      <c r="Z170" s="4">
        <v>45761</v>
      </c>
      <c r="AA170" s="49">
        <f t="shared" si="43"/>
        <v>-91</v>
      </c>
      <c r="AB170" s="51">
        <f t="shared" si="44"/>
        <v>45675</v>
      </c>
      <c r="AC170" s="49">
        <f t="shared" si="45"/>
        <v>-86</v>
      </c>
      <c r="AD170" s="43">
        <f t="shared" si="46"/>
        <v>45675</v>
      </c>
      <c r="AE170" s="4">
        <v>45761</v>
      </c>
      <c r="AF170" s="19">
        <f t="shared" si="47"/>
        <v>-86</v>
      </c>
      <c r="AG170" s="67"/>
      <c r="AH170" s="2"/>
      <c r="AI170" s="2"/>
      <c r="AJ170" s="2"/>
      <c r="AK170" s="2"/>
      <c r="AL170" s="2"/>
    </row>
    <row r="171" spans="1:38" ht="14.45">
      <c r="A171" s="156">
        <v>170</v>
      </c>
      <c r="B171" s="55">
        <v>45675</v>
      </c>
      <c r="C171" s="33"/>
      <c r="D171" s="14" t="s">
        <v>334</v>
      </c>
      <c r="E171" s="15">
        <v>37823.160000000003</v>
      </c>
      <c r="F171" s="14" t="s">
        <v>338</v>
      </c>
      <c r="G171" s="14" t="s">
        <v>46</v>
      </c>
      <c r="H171" s="14" t="s">
        <v>36</v>
      </c>
      <c r="I171" s="14" t="s">
        <v>229</v>
      </c>
      <c r="J171" s="97">
        <f t="shared" si="32"/>
        <v>45575</v>
      </c>
      <c r="K171" s="4">
        <v>45581</v>
      </c>
      <c r="L171" s="19">
        <f t="shared" si="33"/>
        <v>-6</v>
      </c>
      <c r="M171" s="5">
        <f t="shared" si="34"/>
        <v>45586</v>
      </c>
      <c r="N171" s="4">
        <v>45637</v>
      </c>
      <c r="O171" s="19">
        <f t="shared" si="35"/>
        <v>-51</v>
      </c>
      <c r="P171" s="5">
        <f t="shared" si="36"/>
        <v>45601</v>
      </c>
      <c r="Q171" s="4">
        <v>45652</v>
      </c>
      <c r="R171" s="19">
        <f t="shared" si="37"/>
        <v>-51</v>
      </c>
      <c r="S171" s="5">
        <f t="shared" si="38"/>
        <v>45606</v>
      </c>
      <c r="T171" s="4">
        <v>45637</v>
      </c>
      <c r="U171" s="19">
        <f t="shared" si="39"/>
        <v>-31</v>
      </c>
      <c r="V171" s="5">
        <f t="shared" si="40"/>
        <v>45645</v>
      </c>
      <c r="W171" s="4">
        <v>45650</v>
      </c>
      <c r="X171" s="19">
        <f t="shared" si="41"/>
        <v>-5</v>
      </c>
      <c r="Y171" s="51">
        <f t="shared" si="42"/>
        <v>45670</v>
      </c>
      <c r="Z171" s="4">
        <v>45679</v>
      </c>
      <c r="AA171" s="49">
        <f t="shared" si="43"/>
        <v>-9</v>
      </c>
      <c r="AB171" s="51">
        <f t="shared" si="44"/>
        <v>45675</v>
      </c>
      <c r="AC171" s="49">
        <f t="shared" si="45"/>
        <v>-4</v>
      </c>
      <c r="AD171" s="43">
        <f t="shared" si="46"/>
        <v>45675</v>
      </c>
      <c r="AE171" s="4">
        <v>45679</v>
      </c>
      <c r="AF171" s="19">
        <f t="shared" si="47"/>
        <v>-4</v>
      </c>
      <c r="AG171" s="67"/>
      <c r="AH171" s="2"/>
      <c r="AI171" s="2"/>
      <c r="AJ171" s="2"/>
      <c r="AK171" s="2"/>
      <c r="AL171" s="2"/>
    </row>
    <row r="172" spans="1:38" ht="14.45">
      <c r="A172" s="156">
        <v>171</v>
      </c>
      <c r="B172" s="55">
        <v>45676</v>
      </c>
      <c r="C172" s="33"/>
      <c r="D172" s="14" t="s">
        <v>339</v>
      </c>
      <c r="E172" s="15">
        <v>165281.60000000001</v>
      </c>
      <c r="F172" s="14" t="s">
        <v>340</v>
      </c>
      <c r="G172" s="14" t="s">
        <v>35</v>
      </c>
      <c r="H172" s="14" t="s">
        <v>36</v>
      </c>
      <c r="I172" s="14" t="s">
        <v>37</v>
      </c>
      <c r="J172" s="97">
        <f t="shared" si="32"/>
        <v>45576</v>
      </c>
      <c r="L172" s="19" t="str">
        <f t="shared" si="33"/>
        <v/>
      </c>
      <c r="M172" s="5">
        <f t="shared" si="34"/>
        <v>45587</v>
      </c>
      <c r="O172" s="19" t="str">
        <f t="shared" si="35"/>
        <v/>
      </c>
      <c r="P172" s="5">
        <f t="shared" si="36"/>
        <v>45602</v>
      </c>
      <c r="R172" s="19" t="str">
        <f t="shared" si="37"/>
        <v/>
      </c>
      <c r="S172" s="5">
        <f t="shared" si="38"/>
        <v>45607</v>
      </c>
      <c r="U172" s="19" t="str">
        <f t="shared" si="39"/>
        <v/>
      </c>
      <c r="V172" s="5">
        <f t="shared" si="40"/>
        <v>45646</v>
      </c>
      <c r="W172" s="4">
        <v>45700</v>
      </c>
      <c r="X172" s="19">
        <f t="shared" si="41"/>
        <v>-54</v>
      </c>
      <c r="Y172" s="51">
        <f t="shared" si="42"/>
        <v>45671</v>
      </c>
      <c r="AA172" s="49" t="str">
        <f t="shared" si="43"/>
        <v/>
      </c>
      <c r="AB172" s="51">
        <f t="shared" si="44"/>
        <v>45676</v>
      </c>
      <c r="AC172" s="49" t="str">
        <f t="shared" si="45"/>
        <v/>
      </c>
      <c r="AD172" s="43">
        <f t="shared" si="46"/>
        <v>45676</v>
      </c>
      <c r="AF172" s="19" t="str">
        <f t="shared" si="47"/>
        <v/>
      </c>
      <c r="AG172" s="67"/>
      <c r="AH172" s="2"/>
      <c r="AI172" s="2"/>
      <c r="AJ172" s="2"/>
      <c r="AK172" s="2"/>
      <c r="AL172" s="2"/>
    </row>
    <row r="173" spans="1:38" ht="14.45">
      <c r="A173" s="156">
        <v>172</v>
      </c>
      <c r="B173" s="55">
        <v>45678</v>
      </c>
      <c r="C173" s="33"/>
      <c r="D173" s="14" t="s">
        <v>341</v>
      </c>
      <c r="E173" s="15">
        <v>43331.519999999997</v>
      </c>
      <c r="F173" s="14" t="s">
        <v>342</v>
      </c>
      <c r="G173" s="14" t="s">
        <v>46</v>
      </c>
      <c r="H173" s="14" t="s">
        <v>36</v>
      </c>
      <c r="I173" s="14" t="s">
        <v>37</v>
      </c>
      <c r="J173" s="97">
        <f t="shared" si="32"/>
        <v>45578</v>
      </c>
      <c r="K173" s="4">
        <v>45581</v>
      </c>
      <c r="L173" s="19">
        <f t="shared" si="33"/>
        <v>-3</v>
      </c>
      <c r="M173" s="5">
        <f t="shared" si="34"/>
        <v>45589</v>
      </c>
      <c r="O173" s="19" t="str">
        <f t="shared" si="35"/>
        <v/>
      </c>
      <c r="P173" s="5">
        <f t="shared" si="36"/>
        <v>45604</v>
      </c>
      <c r="R173" s="19" t="str">
        <f t="shared" si="37"/>
        <v/>
      </c>
      <c r="S173" s="5">
        <f t="shared" si="38"/>
        <v>45609</v>
      </c>
      <c r="T173" s="4">
        <v>45637</v>
      </c>
      <c r="U173" s="19">
        <f t="shared" si="39"/>
        <v>-28</v>
      </c>
      <c r="V173" s="5">
        <f t="shared" si="40"/>
        <v>45648</v>
      </c>
      <c r="W173" s="4">
        <v>45653</v>
      </c>
      <c r="X173" s="19">
        <f t="shared" si="41"/>
        <v>-5</v>
      </c>
      <c r="Y173" s="51">
        <f t="shared" si="42"/>
        <v>45673</v>
      </c>
      <c r="Z173" s="4">
        <v>45677</v>
      </c>
      <c r="AA173" s="49">
        <f t="shared" si="43"/>
        <v>-4</v>
      </c>
      <c r="AB173" s="51">
        <f t="shared" si="44"/>
        <v>45678</v>
      </c>
      <c r="AC173" s="49">
        <f t="shared" si="45"/>
        <v>1</v>
      </c>
      <c r="AD173" s="43">
        <f t="shared" si="46"/>
        <v>45678</v>
      </c>
      <c r="AE173" s="4">
        <v>45677</v>
      </c>
      <c r="AF173" s="19">
        <f t="shared" si="47"/>
        <v>1</v>
      </c>
      <c r="AG173" s="67"/>
      <c r="AH173" s="2"/>
      <c r="AI173" s="2"/>
      <c r="AJ173" s="2"/>
      <c r="AK173" s="2"/>
      <c r="AL173" s="2"/>
    </row>
    <row r="174" spans="1:38" ht="14.45">
      <c r="A174" s="156">
        <v>173</v>
      </c>
      <c r="B174" s="55">
        <v>45679</v>
      </c>
      <c r="C174" s="33"/>
      <c r="D174" s="14" t="s">
        <v>343</v>
      </c>
      <c r="E174" s="15">
        <v>4357.58</v>
      </c>
      <c r="F174" s="14" t="s">
        <v>344</v>
      </c>
      <c r="G174" s="14" t="s">
        <v>35</v>
      </c>
      <c r="H174" s="14" t="s">
        <v>36</v>
      </c>
      <c r="I174" s="14" t="s">
        <v>93</v>
      </c>
      <c r="J174" s="97">
        <f t="shared" si="32"/>
        <v>45579</v>
      </c>
      <c r="L174" s="19" t="str">
        <f t="shared" si="33"/>
        <v/>
      </c>
      <c r="M174" s="5">
        <f t="shared" si="34"/>
        <v>45590</v>
      </c>
      <c r="O174" s="19" t="str">
        <f t="shared" si="35"/>
        <v/>
      </c>
      <c r="P174" s="5">
        <f t="shared" si="36"/>
        <v>45605</v>
      </c>
      <c r="R174" s="19" t="str">
        <f t="shared" si="37"/>
        <v/>
      </c>
      <c r="S174" s="5">
        <f t="shared" si="38"/>
        <v>45610</v>
      </c>
      <c r="U174" s="19" t="str">
        <f t="shared" si="39"/>
        <v/>
      </c>
      <c r="V174" s="5">
        <f t="shared" si="40"/>
        <v>45649</v>
      </c>
      <c r="X174" s="19" t="str">
        <f t="shared" si="41"/>
        <v/>
      </c>
      <c r="Y174" s="51">
        <f t="shared" si="42"/>
        <v>45674</v>
      </c>
      <c r="AA174" s="49" t="str">
        <f t="shared" si="43"/>
        <v/>
      </c>
      <c r="AB174" s="51">
        <f t="shared" si="44"/>
        <v>45679</v>
      </c>
      <c r="AC174" s="49" t="str">
        <f t="shared" si="45"/>
        <v/>
      </c>
      <c r="AD174" s="43">
        <f t="shared" si="46"/>
        <v>45679</v>
      </c>
      <c r="AF174" s="19" t="str">
        <f t="shared" si="47"/>
        <v/>
      </c>
      <c r="AG174" s="67"/>
      <c r="AH174" s="2"/>
      <c r="AI174" s="2"/>
      <c r="AJ174" s="2"/>
      <c r="AK174" s="2"/>
      <c r="AL174" s="2"/>
    </row>
    <row r="175" spans="1:38" ht="14.45">
      <c r="A175" s="156">
        <v>174</v>
      </c>
      <c r="B175" s="55">
        <v>45679</v>
      </c>
      <c r="C175" s="33" t="s">
        <v>318</v>
      </c>
      <c r="D175" s="14" t="s">
        <v>213</v>
      </c>
      <c r="E175" s="15">
        <v>674.6</v>
      </c>
      <c r="F175" s="14" t="s">
        <v>345</v>
      </c>
      <c r="G175" s="14" t="s">
        <v>51</v>
      </c>
      <c r="H175" s="14" t="s">
        <v>40</v>
      </c>
      <c r="I175" s="14" t="s">
        <v>62</v>
      </c>
      <c r="J175" s="97">
        <f t="shared" si="32"/>
        <v>45579</v>
      </c>
      <c r="L175" s="19" t="str">
        <f t="shared" si="33"/>
        <v/>
      </c>
      <c r="M175" s="5">
        <f t="shared" si="34"/>
        <v>45590</v>
      </c>
      <c r="O175" s="19" t="str">
        <f t="shared" si="35"/>
        <v/>
      </c>
      <c r="P175" s="5">
        <f t="shared" si="36"/>
        <v>45605</v>
      </c>
      <c r="R175" s="19" t="str">
        <f t="shared" si="37"/>
        <v/>
      </c>
      <c r="S175" s="5">
        <f t="shared" si="38"/>
        <v>45610</v>
      </c>
      <c r="U175" s="19" t="str">
        <f t="shared" si="39"/>
        <v/>
      </c>
      <c r="V175" s="5">
        <f t="shared" si="40"/>
        <v>45649</v>
      </c>
      <c r="X175" s="19" t="str">
        <f t="shared" si="41"/>
        <v/>
      </c>
      <c r="Y175" s="51">
        <f t="shared" si="42"/>
        <v>45674</v>
      </c>
      <c r="AA175" s="49" t="str">
        <f t="shared" si="43"/>
        <v/>
      </c>
      <c r="AB175" s="51">
        <f t="shared" si="44"/>
        <v>45679</v>
      </c>
      <c r="AC175" s="49" t="str">
        <f t="shared" si="45"/>
        <v/>
      </c>
      <c r="AD175" s="43">
        <f t="shared" si="46"/>
        <v>45679</v>
      </c>
      <c r="AF175" s="19" t="str">
        <f t="shared" si="47"/>
        <v/>
      </c>
      <c r="AG175" s="67"/>
      <c r="AH175" s="2"/>
      <c r="AI175" s="2"/>
      <c r="AJ175" s="2"/>
      <c r="AK175" s="2"/>
      <c r="AL175" s="2"/>
    </row>
    <row r="176" spans="1:38" ht="14.45">
      <c r="A176" s="156">
        <v>175</v>
      </c>
      <c r="B176" s="55">
        <v>45679</v>
      </c>
      <c r="C176" s="33"/>
      <c r="D176" s="14" t="s">
        <v>334</v>
      </c>
      <c r="E176" s="15">
        <v>21300.46</v>
      </c>
      <c r="F176" s="14" t="s">
        <v>346</v>
      </c>
      <c r="G176" s="14" t="s">
        <v>46</v>
      </c>
      <c r="H176" s="14" t="s">
        <v>36</v>
      </c>
      <c r="I176" s="14" t="s">
        <v>229</v>
      </c>
      <c r="J176" s="97">
        <f t="shared" si="32"/>
        <v>45579</v>
      </c>
      <c r="K176" s="4">
        <v>45581</v>
      </c>
      <c r="L176" s="19">
        <f t="shared" si="33"/>
        <v>-2</v>
      </c>
      <c r="M176" s="5">
        <f t="shared" si="34"/>
        <v>45590</v>
      </c>
      <c r="N176" s="4">
        <v>45637</v>
      </c>
      <c r="O176" s="19">
        <f t="shared" si="35"/>
        <v>-47</v>
      </c>
      <c r="P176" s="5">
        <f t="shared" si="36"/>
        <v>45605</v>
      </c>
      <c r="Q176" s="4">
        <v>45652</v>
      </c>
      <c r="R176" s="19">
        <f t="shared" si="37"/>
        <v>-47</v>
      </c>
      <c r="S176" s="5">
        <f t="shared" si="38"/>
        <v>45610</v>
      </c>
      <c r="T176" s="4">
        <v>45637</v>
      </c>
      <c r="U176" s="19">
        <f t="shared" si="39"/>
        <v>-27</v>
      </c>
      <c r="V176" s="5">
        <f t="shared" si="40"/>
        <v>45649</v>
      </c>
      <c r="W176" s="4">
        <v>45650</v>
      </c>
      <c r="X176" s="19">
        <f t="shared" si="41"/>
        <v>-1</v>
      </c>
      <c r="Y176" s="51">
        <f t="shared" si="42"/>
        <v>45674</v>
      </c>
      <c r="Z176" s="4">
        <v>45677</v>
      </c>
      <c r="AA176" s="49">
        <f t="shared" si="43"/>
        <v>-3</v>
      </c>
      <c r="AB176" s="51">
        <f t="shared" si="44"/>
        <v>45679</v>
      </c>
      <c r="AC176" s="49">
        <f t="shared" si="45"/>
        <v>2</v>
      </c>
      <c r="AD176" s="43">
        <f t="shared" si="46"/>
        <v>45679</v>
      </c>
      <c r="AE176" s="4">
        <v>45677</v>
      </c>
      <c r="AF176" s="19">
        <f t="shared" si="47"/>
        <v>2</v>
      </c>
      <c r="AG176" s="67"/>
      <c r="AH176" s="2"/>
      <c r="AI176" s="2"/>
      <c r="AJ176" s="2"/>
      <c r="AK176" s="2"/>
      <c r="AL176" s="2"/>
    </row>
    <row r="177" spans="1:38" ht="14.45">
      <c r="A177" s="156">
        <v>176</v>
      </c>
      <c r="B177" s="55">
        <v>45680</v>
      </c>
      <c r="C177" s="33"/>
      <c r="D177" s="14" t="s">
        <v>347</v>
      </c>
      <c r="E177" s="15">
        <v>25097.95</v>
      </c>
      <c r="F177" s="14" t="s">
        <v>348</v>
      </c>
      <c r="G177" s="14" t="s">
        <v>35</v>
      </c>
      <c r="H177" s="14" t="s">
        <v>36</v>
      </c>
      <c r="I177" s="14" t="s">
        <v>37</v>
      </c>
      <c r="J177" s="97">
        <f t="shared" si="32"/>
        <v>45580</v>
      </c>
      <c r="L177" s="19" t="str">
        <f t="shared" si="33"/>
        <v/>
      </c>
      <c r="M177" s="5">
        <f t="shared" si="34"/>
        <v>45591</v>
      </c>
      <c r="O177" s="19" t="str">
        <f t="shared" si="35"/>
        <v/>
      </c>
      <c r="P177" s="5">
        <f t="shared" si="36"/>
        <v>45606</v>
      </c>
      <c r="R177" s="19" t="str">
        <f t="shared" si="37"/>
        <v/>
      </c>
      <c r="S177" s="5">
        <f t="shared" si="38"/>
        <v>45611</v>
      </c>
      <c r="U177" s="19" t="str">
        <f t="shared" si="39"/>
        <v/>
      </c>
      <c r="V177" s="5">
        <f t="shared" si="40"/>
        <v>45650</v>
      </c>
      <c r="W177" s="4">
        <v>45656</v>
      </c>
      <c r="X177" s="19">
        <f t="shared" si="41"/>
        <v>-6</v>
      </c>
      <c r="Y177" s="51">
        <f t="shared" si="42"/>
        <v>45675</v>
      </c>
      <c r="AA177" s="49" t="str">
        <f t="shared" si="43"/>
        <v/>
      </c>
      <c r="AB177" s="51">
        <f t="shared" si="44"/>
        <v>45680</v>
      </c>
      <c r="AC177" s="49" t="str">
        <f t="shared" si="45"/>
        <v/>
      </c>
      <c r="AD177" s="43">
        <f t="shared" si="46"/>
        <v>45680</v>
      </c>
      <c r="AF177" s="19" t="str">
        <f t="shared" si="47"/>
        <v/>
      </c>
      <c r="AG177" s="67"/>
      <c r="AH177" s="2"/>
      <c r="AI177" s="2"/>
      <c r="AJ177" s="2"/>
      <c r="AK177" s="2"/>
      <c r="AL177" s="2"/>
    </row>
    <row r="178" spans="1:38" ht="16.149999999999999" customHeight="1">
      <c r="A178" s="156">
        <v>177</v>
      </c>
      <c r="B178" s="55">
        <v>45681</v>
      </c>
      <c r="C178" s="33"/>
      <c r="D178" s="14" t="s">
        <v>141</v>
      </c>
      <c r="E178" s="15">
        <v>44461.760000000002</v>
      </c>
      <c r="F178" s="18" t="s">
        <v>349</v>
      </c>
      <c r="G178" s="10" t="s">
        <v>120</v>
      </c>
      <c r="H178" s="14" t="s">
        <v>40</v>
      </c>
      <c r="I178" s="14" t="s">
        <v>52</v>
      </c>
      <c r="J178" s="97">
        <f t="shared" si="32"/>
        <v>45581</v>
      </c>
      <c r="L178" s="19" t="str">
        <f t="shared" si="33"/>
        <v/>
      </c>
      <c r="M178" s="5">
        <f t="shared" si="34"/>
        <v>45592</v>
      </c>
      <c r="O178" s="19" t="str">
        <f t="shared" si="35"/>
        <v/>
      </c>
      <c r="P178" s="5">
        <f t="shared" si="36"/>
        <v>45607</v>
      </c>
      <c r="R178" s="19" t="str">
        <f t="shared" si="37"/>
        <v/>
      </c>
      <c r="S178" s="5">
        <f t="shared" si="38"/>
        <v>45612</v>
      </c>
      <c r="T178" s="6">
        <v>45652</v>
      </c>
      <c r="U178" s="19">
        <f t="shared" si="39"/>
        <v>-40</v>
      </c>
      <c r="V178" s="5">
        <f t="shared" si="40"/>
        <v>45651</v>
      </c>
      <c r="X178" s="19" t="str">
        <f t="shared" si="41"/>
        <v/>
      </c>
      <c r="Y178" s="51">
        <f t="shared" si="42"/>
        <v>45676</v>
      </c>
      <c r="AA178" s="49" t="str">
        <f t="shared" si="43"/>
        <v/>
      </c>
      <c r="AB178" s="51">
        <f t="shared" si="44"/>
        <v>45681</v>
      </c>
      <c r="AC178" s="49" t="str">
        <f t="shared" si="45"/>
        <v/>
      </c>
      <c r="AD178" s="43">
        <f t="shared" si="46"/>
        <v>45681</v>
      </c>
      <c r="AF178" s="19" t="str">
        <f t="shared" si="47"/>
        <v/>
      </c>
      <c r="AG178" s="67"/>
      <c r="AH178" s="2"/>
      <c r="AI178" s="2"/>
      <c r="AJ178" s="2"/>
      <c r="AK178" s="2"/>
      <c r="AL178" s="2"/>
    </row>
    <row r="179" spans="1:38" ht="14.45">
      <c r="A179" s="156">
        <v>178</v>
      </c>
      <c r="B179" s="55">
        <v>45681</v>
      </c>
      <c r="C179" s="33"/>
      <c r="D179" s="14" t="s">
        <v>350</v>
      </c>
      <c r="E179" s="15">
        <v>40590</v>
      </c>
      <c r="F179" s="14" t="s">
        <v>351</v>
      </c>
      <c r="G179" s="14" t="s">
        <v>46</v>
      </c>
      <c r="H179" s="14" t="s">
        <v>40</v>
      </c>
      <c r="I179" s="14" t="s">
        <v>62</v>
      </c>
      <c r="J179" s="97">
        <f t="shared" si="32"/>
        <v>45581</v>
      </c>
      <c r="K179" s="4">
        <v>45611</v>
      </c>
      <c r="L179" s="19">
        <f t="shared" si="33"/>
        <v>-30</v>
      </c>
      <c r="M179" s="5">
        <f t="shared" si="34"/>
        <v>45592</v>
      </c>
      <c r="N179" s="4">
        <v>45652</v>
      </c>
      <c r="O179" s="19">
        <f t="shared" si="35"/>
        <v>-60</v>
      </c>
      <c r="P179" s="5">
        <f t="shared" si="36"/>
        <v>45607</v>
      </c>
      <c r="Q179" s="4">
        <v>45652</v>
      </c>
      <c r="R179" s="19">
        <f t="shared" si="37"/>
        <v>-45</v>
      </c>
      <c r="S179" s="5">
        <f t="shared" si="38"/>
        <v>45612</v>
      </c>
      <c r="T179" s="4">
        <v>45637</v>
      </c>
      <c r="U179" s="19">
        <f t="shared" si="39"/>
        <v>-25</v>
      </c>
      <c r="V179" s="5">
        <f t="shared" si="40"/>
        <v>45651</v>
      </c>
      <c r="W179" s="4">
        <v>45660</v>
      </c>
      <c r="X179" s="19">
        <f t="shared" si="41"/>
        <v>-9</v>
      </c>
      <c r="Y179" s="51">
        <f t="shared" si="42"/>
        <v>45676</v>
      </c>
      <c r="Z179" s="4">
        <v>45681</v>
      </c>
      <c r="AA179" s="49">
        <f t="shared" si="43"/>
        <v>-5</v>
      </c>
      <c r="AB179" s="51">
        <f t="shared" si="44"/>
        <v>45681</v>
      </c>
      <c r="AC179" s="49">
        <f t="shared" si="45"/>
        <v>0</v>
      </c>
      <c r="AD179" s="43">
        <f t="shared" si="46"/>
        <v>45681</v>
      </c>
      <c r="AE179" s="4">
        <v>45681</v>
      </c>
      <c r="AF179" s="19">
        <f t="shared" si="47"/>
        <v>0</v>
      </c>
      <c r="AG179" s="67"/>
      <c r="AH179" s="2"/>
      <c r="AI179" s="2"/>
      <c r="AJ179" s="2"/>
      <c r="AK179" s="2"/>
      <c r="AL179" s="2"/>
    </row>
    <row r="180" spans="1:38" ht="14.45">
      <c r="A180" s="156">
        <v>179</v>
      </c>
      <c r="B180" s="55">
        <v>45681</v>
      </c>
      <c r="C180" s="33"/>
      <c r="D180" s="14" t="s">
        <v>350</v>
      </c>
      <c r="E180" s="15">
        <v>56940</v>
      </c>
      <c r="F180" s="14" t="s">
        <v>352</v>
      </c>
      <c r="G180" s="14" t="s">
        <v>46</v>
      </c>
      <c r="H180" s="14" t="s">
        <v>40</v>
      </c>
      <c r="I180" s="14" t="s">
        <v>62</v>
      </c>
      <c r="J180" s="97">
        <f t="shared" si="32"/>
        <v>45581</v>
      </c>
      <c r="K180" s="4">
        <v>45611</v>
      </c>
      <c r="L180" s="19">
        <f t="shared" si="33"/>
        <v>-30</v>
      </c>
      <c r="M180" s="5">
        <f t="shared" si="34"/>
        <v>45592</v>
      </c>
      <c r="N180" s="4">
        <v>45652</v>
      </c>
      <c r="O180" s="19">
        <f t="shared" si="35"/>
        <v>-60</v>
      </c>
      <c r="P180" s="5">
        <f t="shared" si="36"/>
        <v>45607</v>
      </c>
      <c r="Q180" s="4">
        <v>45652</v>
      </c>
      <c r="R180" s="19">
        <f t="shared" si="37"/>
        <v>-45</v>
      </c>
      <c r="S180" s="5">
        <f t="shared" si="38"/>
        <v>45612</v>
      </c>
      <c r="T180" s="4">
        <v>45637</v>
      </c>
      <c r="U180" s="19">
        <f t="shared" si="39"/>
        <v>-25</v>
      </c>
      <c r="V180" s="5">
        <f t="shared" si="40"/>
        <v>45651</v>
      </c>
      <c r="W180" s="4">
        <v>45660</v>
      </c>
      <c r="X180" s="19">
        <f t="shared" si="41"/>
        <v>-9</v>
      </c>
      <c r="Y180" s="51">
        <f t="shared" si="42"/>
        <v>45676</v>
      </c>
      <c r="Z180" s="4">
        <v>45681</v>
      </c>
      <c r="AA180" s="49">
        <f t="shared" si="43"/>
        <v>-5</v>
      </c>
      <c r="AB180" s="51">
        <f t="shared" si="44"/>
        <v>45681</v>
      </c>
      <c r="AC180" s="49">
        <f t="shared" si="45"/>
        <v>0</v>
      </c>
      <c r="AD180" s="43">
        <f t="shared" si="46"/>
        <v>45681</v>
      </c>
      <c r="AE180" s="4">
        <v>45681</v>
      </c>
      <c r="AF180" s="19">
        <f t="shared" si="47"/>
        <v>0</v>
      </c>
      <c r="AG180" s="67"/>
      <c r="AH180" s="2"/>
      <c r="AI180" s="2"/>
      <c r="AJ180" s="2"/>
      <c r="AK180" s="2"/>
      <c r="AL180" s="2"/>
    </row>
    <row r="181" spans="1:38" ht="14.45">
      <c r="A181" s="156">
        <v>180</v>
      </c>
      <c r="B181" s="55">
        <v>45682</v>
      </c>
      <c r="C181" s="33"/>
      <c r="D181" s="14" t="s">
        <v>353</v>
      </c>
      <c r="E181" s="15">
        <v>31119.360000000001</v>
      </c>
      <c r="F181" s="14" t="s">
        <v>354</v>
      </c>
      <c r="G181" s="14" t="s">
        <v>51</v>
      </c>
      <c r="H181" s="14" t="s">
        <v>40</v>
      </c>
      <c r="I181" s="14" t="s">
        <v>93</v>
      </c>
      <c r="J181" s="97">
        <f t="shared" si="32"/>
        <v>45582</v>
      </c>
      <c r="L181" s="19" t="str">
        <f t="shared" si="33"/>
        <v/>
      </c>
      <c r="M181" s="5">
        <f t="shared" si="34"/>
        <v>45593</v>
      </c>
      <c r="O181" s="19" t="str">
        <f t="shared" si="35"/>
        <v/>
      </c>
      <c r="P181" s="5">
        <f t="shared" si="36"/>
        <v>45608</v>
      </c>
      <c r="R181" s="19" t="str">
        <f t="shared" si="37"/>
        <v/>
      </c>
      <c r="S181" s="5">
        <f t="shared" si="38"/>
        <v>45613</v>
      </c>
      <c r="T181" s="95">
        <v>45615</v>
      </c>
      <c r="U181" s="19">
        <f t="shared" si="39"/>
        <v>-2</v>
      </c>
      <c r="V181" s="5">
        <f t="shared" si="40"/>
        <v>45652</v>
      </c>
      <c r="W181" s="96">
        <v>45656</v>
      </c>
      <c r="X181" s="19">
        <f t="shared" si="41"/>
        <v>-4</v>
      </c>
      <c r="Y181" s="51">
        <f t="shared" si="42"/>
        <v>45677</v>
      </c>
      <c r="AA181" s="49" t="str">
        <f t="shared" si="43"/>
        <v/>
      </c>
      <c r="AB181" s="51">
        <f t="shared" si="44"/>
        <v>45682</v>
      </c>
      <c r="AC181" s="49" t="str">
        <f t="shared" si="45"/>
        <v/>
      </c>
      <c r="AD181" s="43">
        <f t="shared" si="46"/>
        <v>45682</v>
      </c>
      <c r="AF181" s="19" t="str">
        <f t="shared" si="47"/>
        <v/>
      </c>
      <c r="AG181" s="67"/>
      <c r="AH181" s="2"/>
      <c r="AI181" s="2"/>
      <c r="AJ181" s="2"/>
      <c r="AK181" s="2"/>
      <c r="AL181" s="2"/>
    </row>
    <row r="182" spans="1:38" ht="14.45">
      <c r="A182" s="156">
        <v>181</v>
      </c>
      <c r="B182" s="55">
        <v>45682</v>
      </c>
      <c r="C182" s="33"/>
      <c r="D182" s="14" t="s">
        <v>227</v>
      </c>
      <c r="E182" s="15">
        <v>4068.88</v>
      </c>
      <c r="F182" s="14" t="s">
        <v>355</v>
      </c>
      <c r="G182" s="10" t="s">
        <v>120</v>
      </c>
      <c r="H182" s="14" t="s">
        <v>40</v>
      </c>
      <c r="I182" s="14" t="s">
        <v>41</v>
      </c>
      <c r="J182" s="97">
        <f t="shared" si="32"/>
        <v>45582</v>
      </c>
      <c r="L182" s="19" t="str">
        <f t="shared" si="33"/>
        <v/>
      </c>
      <c r="M182" s="5">
        <f t="shared" si="34"/>
        <v>45593</v>
      </c>
      <c r="O182" s="19" t="str">
        <f t="shared" si="35"/>
        <v/>
      </c>
      <c r="P182" s="5">
        <f t="shared" si="36"/>
        <v>45608</v>
      </c>
      <c r="R182" s="19" t="str">
        <f t="shared" si="37"/>
        <v/>
      </c>
      <c r="S182" s="5">
        <f t="shared" si="38"/>
        <v>45613</v>
      </c>
      <c r="T182" s="4">
        <v>45663</v>
      </c>
      <c r="U182" s="19">
        <f t="shared" si="39"/>
        <v>-50</v>
      </c>
      <c r="V182" s="5">
        <f t="shared" si="40"/>
        <v>45652</v>
      </c>
      <c r="W182" s="4">
        <v>45664</v>
      </c>
      <c r="X182" s="19">
        <f t="shared" si="41"/>
        <v>-12</v>
      </c>
      <c r="Y182" s="51">
        <f t="shared" si="42"/>
        <v>45677</v>
      </c>
      <c r="AA182" s="49" t="str">
        <f t="shared" si="43"/>
        <v/>
      </c>
      <c r="AB182" s="51">
        <f t="shared" si="44"/>
        <v>45682</v>
      </c>
      <c r="AC182" s="49" t="str">
        <f t="shared" si="45"/>
        <v/>
      </c>
      <c r="AD182" s="43">
        <f t="shared" si="46"/>
        <v>45682</v>
      </c>
      <c r="AF182" s="19" t="str">
        <f t="shared" si="47"/>
        <v/>
      </c>
      <c r="AG182" s="67"/>
      <c r="AH182" s="2"/>
      <c r="AI182" s="2"/>
      <c r="AJ182" s="2"/>
      <c r="AK182" s="2"/>
      <c r="AL182" s="2"/>
    </row>
    <row r="183" spans="1:38" ht="14.45">
      <c r="A183" s="156">
        <v>182</v>
      </c>
      <c r="B183" s="55">
        <v>45683</v>
      </c>
      <c r="C183" s="33"/>
      <c r="D183" s="14" t="s">
        <v>356</v>
      </c>
      <c r="E183" s="15">
        <v>11557.4</v>
      </c>
      <c r="F183" s="14" t="s">
        <v>357</v>
      </c>
      <c r="G183" s="14" t="s">
        <v>35</v>
      </c>
      <c r="H183" s="14" t="s">
        <v>40</v>
      </c>
      <c r="I183" s="14" t="s">
        <v>37</v>
      </c>
      <c r="J183" s="97">
        <f t="shared" si="32"/>
        <v>45583</v>
      </c>
      <c r="L183" s="19" t="str">
        <f t="shared" si="33"/>
        <v/>
      </c>
      <c r="M183" s="5">
        <f t="shared" si="34"/>
        <v>45594</v>
      </c>
      <c r="O183" s="19" t="str">
        <f t="shared" si="35"/>
        <v/>
      </c>
      <c r="P183" s="5">
        <f t="shared" si="36"/>
        <v>45609</v>
      </c>
      <c r="R183" s="19" t="str">
        <f t="shared" si="37"/>
        <v/>
      </c>
      <c r="S183" s="5">
        <f t="shared" si="38"/>
        <v>45614</v>
      </c>
      <c r="U183" s="19" t="str">
        <f t="shared" si="39"/>
        <v/>
      </c>
      <c r="V183" s="5">
        <f t="shared" si="40"/>
        <v>45653</v>
      </c>
      <c r="W183" s="4">
        <v>45657</v>
      </c>
      <c r="X183" s="19">
        <f t="shared" si="41"/>
        <v>-4</v>
      </c>
      <c r="Y183" s="51">
        <f t="shared" si="42"/>
        <v>45678</v>
      </c>
      <c r="AA183" s="49" t="str">
        <f t="shared" si="43"/>
        <v/>
      </c>
      <c r="AB183" s="51">
        <f t="shared" si="44"/>
        <v>45683</v>
      </c>
      <c r="AC183" s="49" t="str">
        <f t="shared" si="45"/>
        <v/>
      </c>
      <c r="AD183" s="43">
        <f t="shared" si="46"/>
        <v>45683</v>
      </c>
      <c r="AF183" s="19" t="str">
        <f t="shared" si="47"/>
        <v/>
      </c>
      <c r="AG183" s="67"/>
      <c r="AH183" s="2"/>
      <c r="AI183" s="2"/>
      <c r="AJ183" s="2"/>
      <c r="AK183" s="2"/>
      <c r="AL183" s="2"/>
    </row>
    <row r="184" spans="1:38" ht="14.45">
      <c r="A184" s="156">
        <v>183</v>
      </c>
      <c r="B184" s="55">
        <v>45683</v>
      </c>
      <c r="C184" s="33"/>
      <c r="D184" s="14" t="s">
        <v>358</v>
      </c>
      <c r="E184" s="15">
        <v>24787.02</v>
      </c>
      <c r="F184" s="14" t="s">
        <v>359</v>
      </c>
      <c r="G184" s="14" t="s">
        <v>35</v>
      </c>
      <c r="H184" s="14" t="s">
        <v>40</v>
      </c>
      <c r="I184" s="14" t="s">
        <v>93</v>
      </c>
      <c r="J184" s="97">
        <f t="shared" si="32"/>
        <v>45583</v>
      </c>
      <c r="L184" s="19" t="str">
        <f t="shared" si="33"/>
        <v/>
      </c>
      <c r="M184" s="5">
        <f t="shared" si="34"/>
        <v>45594</v>
      </c>
      <c r="O184" s="19" t="str">
        <f t="shared" si="35"/>
        <v/>
      </c>
      <c r="P184" s="5">
        <f t="shared" si="36"/>
        <v>45609</v>
      </c>
      <c r="R184" s="19" t="str">
        <f t="shared" si="37"/>
        <v/>
      </c>
      <c r="S184" s="5">
        <f t="shared" si="38"/>
        <v>45614</v>
      </c>
      <c r="U184" s="19" t="str">
        <f t="shared" si="39"/>
        <v/>
      </c>
      <c r="V184" s="5">
        <f t="shared" si="40"/>
        <v>45653</v>
      </c>
      <c r="W184" s="4">
        <v>45660</v>
      </c>
      <c r="X184" s="19">
        <f t="shared" si="41"/>
        <v>-7</v>
      </c>
      <c r="Y184" s="51">
        <f t="shared" si="42"/>
        <v>45678</v>
      </c>
      <c r="AA184" s="49" t="str">
        <f t="shared" si="43"/>
        <v/>
      </c>
      <c r="AB184" s="51">
        <f t="shared" si="44"/>
        <v>45683</v>
      </c>
      <c r="AC184" s="49" t="str">
        <f t="shared" si="45"/>
        <v/>
      </c>
      <c r="AD184" s="43">
        <f t="shared" si="46"/>
        <v>45683</v>
      </c>
      <c r="AF184" s="19" t="str">
        <f t="shared" si="47"/>
        <v/>
      </c>
      <c r="AG184" s="67"/>
      <c r="AH184" s="2"/>
      <c r="AI184" s="2"/>
      <c r="AJ184" s="2"/>
      <c r="AK184" s="2"/>
      <c r="AL184" s="2"/>
    </row>
    <row r="185" spans="1:38" ht="14.45">
      <c r="A185" s="156">
        <v>184</v>
      </c>
      <c r="B185" s="55">
        <v>45686</v>
      </c>
      <c r="C185" s="33"/>
      <c r="D185" s="14" t="s">
        <v>360</v>
      </c>
      <c r="E185" s="15">
        <v>19579.52</v>
      </c>
      <c r="F185" s="14" t="s">
        <v>361</v>
      </c>
      <c r="G185" s="14" t="s">
        <v>46</v>
      </c>
      <c r="H185" s="14" t="s">
        <v>36</v>
      </c>
      <c r="I185" s="14" t="s">
        <v>37</v>
      </c>
      <c r="J185" s="97">
        <f t="shared" si="32"/>
        <v>45586</v>
      </c>
      <c r="K185" s="4">
        <v>45611</v>
      </c>
      <c r="L185" s="19">
        <f t="shared" si="33"/>
        <v>-25</v>
      </c>
      <c r="M185" s="5">
        <f t="shared" si="34"/>
        <v>45597</v>
      </c>
      <c r="N185" s="4">
        <v>45652</v>
      </c>
      <c r="O185" s="19">
        <f t="shared" si="35"/>
        <v>-55</v>
      </c>
      <c r="P185" s="5">
        <f t="shared" si="36"/>
        <v>45612</v>
      </c>
      <c r="R185" s="19" t="str">
        <f t="shared" si="37"/>
        <v/>
      </c>
      <c r="S185" s="5">
        <f t="shared" si="38"/>
        <v>45617</v>
      </c>
      <c r="T185" s="4">
        <v>45652</v>
      </c>
      <c r="U185" s="19">
        <f t="shared" si="39"/>
        <v>-35</v>
      </c>
      <c r="V185" s="5">
        <f t="shared" si="40"/>
        <v>45656</v>
      </c>
      <c r="W185" s="4">
        <v>45660</v>
      </c>
      <c r="X185" s="19">
        <f t="shared" si="41"/>
        <v>-4</v>
      </c>
      <c r="Y185" s="51">
        <f t="shared" si="42"/>
        <v>45681</v>
      </c>
      <c r="Z185" s="4">
        <v>45677</v>
      </c>
      <c r="AA185" s="49">
        <f t="shared" si="43"/>
        <v>4</v>
      </c>
      <c r="AB185" s="51">
        <f t="shared" si="44"/>
        <v>45686</v>
      </c>
      <c r="AC185" s="49">
        <f t="shared" si="45"/>
        <v>9</v>
      </c>
      <c r="AD185" s="43">
        <f t="shared" si="46"/>
        <v>45686</v>
      </c>
      <c r="AE185" s="4">
        <v>45677</v>
      </c>
      <c r="AF185" s="19">
        <f t="shared" si="47"/>
        <v>9</v>
      </c>
      <c r="AG185" s="67"/>
      <c r="AH185" s="2"/>
      <c r="AI185" s="2"/>
      <c r="AJ185" s="2"/>
      <c r="AK185" s="2"/>
      <c r="AL185" s="2"/>
    </row>
    <row r="186" spans="1:38" ht="14.45">
      <c r="A186" s="156">
        <v>185</v>
      </c>
      <c r="B186" s="55">
        <v>45686</v>
      </c>
      <c r="C186" s="33"/>
      <c r="D186" s="14" t="s">
        <v>362</v>
      </c>
      <c r="E186" s="15">
        <v>99999.45</v>
      </c>
      <c r="F186" s="14" t="s">
        <v>363</v>
      </c>
      <c r="G186" s="14" t="s">
        <v>35</v>
      </c>
      <c r="H186" s="14" t="s">
        <v>36</v>
      </c>
      <c r="I186" s="14" t="s">
        <v>37</v>
      </c>
      <c r="J186" s="97">
        <f t="shared" si="32"/>
        <v>45586</v>
      </c>
      <c r="L186" s="19" t="str">
        <f t="shared" si="33"/>
        <v/>
      </c>
      <c r="M186" s="5">
        <f t="shared" si="34"/>
        <v>45597</v>
      </c>
      <c r="O186" s="19" t="str">
        <f t="shared" si="35"/>
        <v/>
      </c>
      <c r="P186" s="5">
        <f t="shared" si="36"/>
        <v>45612</v>
      </c>
      <c r="R186" s="19" t="str">
        <f t="shared" si="37"/>
        <v/>
      </c>
      <c r="S186" s="5">
        <f t="shared" si="38"/>
        <v>45617</v>
      </c>
      <c r="U186" s="19" t="str">
        <f t="shared" si="39"/>
        <v/>
      </c>
      <c r="V186" s="5">
        <f t="shared" si="40"/>
        <v>45656</v>
      </c>
      <c r="W186" s="4">
        <v>45657</v>
      </c>
      <c r="X186" s="19">
        <f t="shared" si="41"/>
        <v>-1</v>
      </c>
      <c r="Y186" s="51">
        <f t="shared" si="42"/>
        <v>45681</v>
      </c>
      <c r="AA186" s="49" t="str">
        <f t="shared" si="43"/>
        <v/>
      </c>
      <c r="AB186" s="51">
        <f t="shared" si="44"/>
        <v>45686</v>
      </c>
      <c r="AC186" s="49" t="str">
        <f t="shared" si="45"/>
        <v/>
      </c>
      <c r="AD186" s="43">
        <f t="shared" si="46"/>
        <v>45686</v>
      </c>
      <c r="AF186" s="19" t="str">
        <f t="shared" si="47"/>
        <v/>
      </c>
      <c r="AG186" s="67"/>
      <c r="AH186" s="2"/>
      <c r="AI186" s="2"/>
      <c r="AJ186" s="2"/>
      <c r="AK186" s="2"/>
      <c r="AL186" s="2"/>
    </row>
    <row r="187" spans="1:38" ht="14.45">
      <c r="A187" s="156">
        <v>186</v>
      </c>
      <c r="B187" s="55">
        <v>45687</v>
      </c>
      <c r="C187" s="33"/>
      <c r="D187" s="14" t="s">
        <v>111</v>
      </c>
      <c r="E187" s="15">
        <v>1659.02</v>
      </c>
      <c r="F187" s="14" t="s">
        <v>364</v>
      </c>
      <c r="G187" s="14" t="s">
        <v>35</v>
      </c>
      <c r="H187" s="14" t="s">
        <v>40</v>
      </c>
      <c r="I187" s="14" t="s">
        <v>41</v>
      </c>
      <c r="J187" s="97">
        <f t="shared" si="32"/>
        <v>45587</v>
      </c>
      <c r="L187" s="19" t="str">
        <f t="shared" si="33"/>
        <v/>
      </c>
      <c r="M187" s="5">
        <f t="shared" si="34"/>
        <v>45598</v>
      </c>
      <c r="O187" s="19" t="str">
        <f t="shared" si="35"/>
        <v/>
      </c>
      <c r="P187" s="5">
        <f t="shared" si="36"/>
        <v>45613</v>
      </c>
      <c r="R187" s="19" t="str">
        <f t="shared" si="37"/>
        <v/>
      </c>
      <c r="S187" s="5">
        <f t="shared" si="38"/>
        <v>45618</v>
      </c>
      <c r="U187" s="19" t="str">
        <f t="shared" si="39"/>
        <v/>
      </c>
      <c r="V187" s="5">
        <f t="shared" si="40"/>
        <v>45657</v>
      </c>
      <c r="W187" s="4">
        <v>45660</v>
      </c>
      <c r="X187" s="19">
        <f t="shared" si="41"/>
        <v>-3</v>
      </c>
      <c r="Y187" s="51">
        <f t="shared" si="42"/>
        <v>45682</v>
      </c>
      <c r="AA187" s="49" t="str">
        <f t="shared" si="43"/>
        <v/>
      </c>
      <c r="AB187" s="51">
        <f t="shared" si="44"/>
        <v>45687</v>
      </c>
      <c r="AC187" s="49" t="str">
        <f t="shared" si="45"/>
        <v/>
      </c>
      <c r="AD187" s="43">
        <f t="shared" si="46"/>
        <v>45687</v>
      </c>
      <c r="AF187" s="19" t="str">
        <f t="shared" si="47"/>
        <v/>
      </c>
      <c r="AG187" s="67"/>
      <c r="AH187" s="2"/>
      <c r="AI187" s="2"/>
      <c r="AJ187" s="2"/>
      <c r="AK187" s="2"/>
      <c r="AL187" s="2"/>
    </row>
    <row r="188" spans="1:38" ht="14.45">
      <c r="A188" s="156">
        <v>187</v>
      </c>
      <c r="B188" s="55">
        <v>45688</v>
      </c>
      <c r="C188" s="33" t="s">
        <v>365</v>
      </c>
      <c r="D188" s="14" t="s">
        <v>77</v>
      </c>
      <c r="E188" s="15">
        <v>187452.35</v>
      </c>
      <c r="F188" s="14" t="s">
        <v>366</v>
      </c>
      <c r="G188" s="14" t="s">
        <v>51</v>
      </c>
      <c r="H188" s="14" t="s">
        <v>40</v>
      </c>
      <c r="I188" s="14" t="s">
        <v>52</v>
      </c>
      <c r="J188" s="97">
        <f t="shared" si="32"/>
        <v>45588</v>
      </c>
      <c r="K188" s="4">
        <v>45625</v>
      </c>
      <c r="L188" s="19">
        <f t="shared" si="33"/>
        <v>-37</v>
      </c>
      <c r="M188" s="5">
        <f t="shared" si="34"/>
        <v>45599</v>
      </c>
      <c r="O188" s="19" t="str">
        <f t="shared" si="35"/>
        <v/>
      </c>
      <c r="P188" s="5">
        <f t="shared" si="36"/>
        <v>45614</v>
      </c>
      <c r="R188" s="19" t="str">
        <f t="shared" si="37"/>
        <v/>
      </c>
      <c r="S188" s="5">
        <f t="shared" si="38"/>
        <v>45619</v>
      </c>
      <c r="U188" s="19" t="str">
        <f t="shared" si="39"/>
        <v/>
      </c>
      <c r="V188" s="5">
        <f t="shared" si="40"/>
        <v>45658</v>
      </c>
      <c r="X188" s="19" t="str">
        <f t="shared" si="41"/>
        <v/>
      </c>
      <c r="Y188" s="51">
        <f t="shared" si="42"/>
        <v>45683</v>
      </c>
      <c r="Z188" s="4">
        <v>45639</v>
      </c>
      <c r="AA188" s="49">
        <f t="shared" si="43"/>
        <v>44</v>
      </c>
      <c r="AB188" s="51">
        <f t="shared" si="44"/>
        <v>45688</v>
      </c>
      <c r="AC188" s="49">
        <f t="shared" si="45"/>
        <v>49</v>
      </c>
      <c r="AD188" s="43">
        <f t="shared" si="46"/>
        <v>45688</v>
      </c>
      <c r="AE188" s="4">
        <v>45639</v>
      </c>
      <c r="AF188" s="19">
        <f t="shared" si="47"/>
        <v>49</v>
      </c>
      <c r="AG188" s="67" t="s">
        <v>367</v>
      </c>
      <c r="AH188" s="2"/>
      <c r="AI188" s="2"/>
      <c r="AJ188" s="2"/>
      <c r="AK188" s="2"/>
      <c r="AL188" s="2"/>
    </row>
    <row r="189" spans="1:38" ht="14.45">
      <c r="A189" s="156">
        <v>188</v>
      </c>
      <c r="B189" s="55">
        <v>45688</v>
      </c>
      <c r="C189" s="33" t="s">
        <v>368</v>
      </c>
      <c r="D189" s="14" t="s">
        <v>77</v>
      </c>
      <c r="E189" s="15">
        <v>94615.44</v>
      </c>
      <c r="F189" s="14" t="s">
        <v>369</v>
      </c>
      <c r="G189" s="14" t="s">
        <v>51</v>
      </c>
      <c r="H189" s="14" t="s">
        <v>40</v>
      </c>
      <c r="I189" s="14" t="s">
        <v>52</v>
      </c>
      <c r="J189" s="97">
        <f t="shared" si="32"/>
        <v>45588</v>
      </c>
      <c r="K189" s="4">
        <v>45625</v>
      </c>
      <c r="L189" s="19">
        <f t="shared" si="33"/>
        <v>-37</v>
      </c>
      <c r="M189" s="5">
        <f t="shared" si="34"/>
        <v>45599</v>
      </c>
      <c r="O189" s="19" t="str">
        <f t="shared" si="35"/>
        <v/>
      </c>
      <c r="P189" s="5">
        <f t="shared" si="36"/>
        <v>45614</v>
      </c>
      <c r="R189" s="19" t="str">
        <f t="shared" si="37"/>
        <v/>
      </c>
      <c r="S189" s="5">
        <f t="shared" si="38"/>
        <v>45619</v>
      </c>
      <c r="U189" s="19" t="str">
        <f t="shared" si="39"/>
        <v/>
      </c>
      <c r="V189" s="5">
        <f t="shared" si="40"/>
        <v>45658</v>
      </c>
      <c r="X189" s="19" t="str">
        <f t="shared" si="41"/>
        <v/>
      </c>
      <c r="Y189" s="51">
        <f t="shared" si="42"/>
        <v>45683</v>
      </c>
      <c r="Z189" s="4">
        <v>45639</v>
      </c>
      <c r="AA189" s="49">
        <f t="shared" si="43"/>
        <v>44</v>
      </c>
      <c r="AB189" s="51">
        <f t="shared" si="44"/>
        <v>45688</v>
      </c>
      <c r="AC189" s="49">
        <f t="shared" si="45"/>
        <v>49</v>
      </c>
      <c r="AD189" s="43">
        <f t="shared" si="46"/>
        <v>45688</v>
      </c>
      <c r="AE189" s="4">
        <v>45639</v>
      </c>
      <c r="AF189" s="19">
        <f t="shared" si="47"/>
        <v>49</v>
      </c>
      <c r="AG189" s="67"/>
      <c r="AH189" s="2"/>
      <c r="AI189" s="2"/>
      <c r="AJ189" s="2"/>
      <c r="AK189" s="2"/>
      <c r="AL189" s="2"/>
    </row>
    <row r="190" spans="1:38" ht="14.45">
      <c r="A190" s="156">
        <v>189</v>
      </c>
      <c r="B190" s="55">
        <v>45688</v>
      </c>
      <c r="C190" s="33"/>
      <c r="D190" s="14" t="s">
        <v>227</v>
      </c>
      <c r="E190" s="15">
        <v>174976.2</v>
      </c>
      <c r="F190" s="14" t="s">
        <v>370</v>
      </c>
      <c r="G190" s="10" t="s">
        <v>120</v>
      </c>
      <c r="H190" s="14" t="s">
        <v>40</v>
      </c>
      <c r="I190" s="14" t="s">
        <v>37</v>
      </c>
      <c r="J190" s="97">
        <f t="shared" si="32"/>
        <v>45588</v>
      </c>
      <c r="L190" s="19" t="str">
        <f t="shared" si="33"/>
        <v/>
      </c>
      <c r="M190" s="5">
        <f t="shared" si="34"/>
        <v>45599</v>
      </c>
      <c r="O190" s="19" t="str">
        <f t="shared" si="35"/>
        <v/>
      </c>
      <c r="P190" s="5">
        <f t="shared" si="36"/>
        <v>45614</v>
      </c>
      <c r="R190" s="19" t="str">
        <f t="shared" si="37"/>
        <v/>
      </c>
      <c r="S190" s="5">
        <f t="shared" si="38"/>
        <v>45619</v>
      </c>
      <c r="T190" s="4">
        <v>45607</v>
      </c>
      <c r="U190" s="19">
        <f t="shared" si="39"/>
        <v>12</v>
      </c>
      <c r="V190" s="5">
        <f t="shared" si="40"/>
        <v>45658</v>
      </c>
      <c r="W190" s="4">
        <v>45671</v>
      </c>
      <c r="X190" s="19">
        <f t="shared" si="41"/>
        <v>-13</v>
      </c>
      <c r="Y190" s="51">
        <f t="shared" si="42"/>
        <v>45683</v>
      </c>
      <c r="Z190" s="4">
        <v>45713</v>
      </c>
      <c r="AA190" s="49">
        <f t="shared" si="43"/>
        <v>-30</v>
      </c>
      <c r="AB190" s="51">
        <f t="shared" si="44"/>
        <v>45688</v>
      </c>
      <c r="AC190" s="49">
        <f t="shared" si="45"/>
        <v>-25</v>
      </c>
      <c r="AD190" s="43">
        <f t="shared" si="46"/>
        <v>45688</v>
      </c>
      <c r="AE190" s="4">
        <v>45713</v>
      </c>
      <c r="AF190" s="19">
        <f t="shared" si="47"/>
        <v>-25</v>
      </c>
      <c r="AG190" s="67"/>
      <c r="AH190" s="2"/>
      <c r="AI190" s="2"/>
      <c r="AJ190" s="2"/>
      <c r="AK190" s="2"/>
      <c r="AL190" s="2"/>
    </row>
    <row r="191" spans="1:38" ht="14.45">
      <c r="A191" s="156">
        <v>190</v>
      </c>
      <c r="B191" s="55">
        <v>45688</v>
      </c>
      <c r="C191" s="33"/>
      <c r="D191" s="14" t="s">
        <v>227</v>
      </c>
      <c r="E191" s="15">
        <v>116650.8</v>
      </c>
      <c r="F191" s="14" t="s">
        <v>371</v>
      </c>
      <c r="G191" s="10" t="s">
        <v>120</v>
      </c>
      <c r="H191" s="14" t="s">
        <v>40</v>
      </c>
      <c r="I191" s="14" t="s">
        <v>37</v>
      </c>
      <c r="J191" s="97">
        <f t="shared" si="32"/>
        <v>45588</v>
      </c>
      <c r="L191" s="19" t="str">
        <f t="shared" si="33"/>
        <v/>
      </c>
      <c r="M191" s="5">
        <f t="shared" si="34"/>
        <v>45599</v>
      </c>
      <c r="O191" s="19" t="str">
        <f t="shared" si="35"/>
        <v/>
      </c>
      <c r="P191" s="5">
        <f t="shared" si="36"/>
        <v>45614</v>
      </c>
      <c r="R191" s="19" t="str">
        <f t="shared" si="37"/>
        <v/>
      </c>
      <c r="S191" s="5">
        <f t="shared" si="38"/>
        <v>45619</v>
      </c>
      <c r="T191" s="4">
        <v>45607</v>
      </c>
      <c r="U191" s="19">
        <f t="shared" si="39"/>
        <v>12</v>
      </c>
      <c r="V191" s="5">
        <f t="shared" si="40"/>
        <v>45658</v>
      </c>
      <c r="W191" s="4">
        <v>45671</v>
      </c>
      <c r="X191" s="19">
        <f t="shared" si="41"/>
        <v>-13</v>
      </c>
      <c r="Y191" s="51">
        <f t="shared" si="42"/>
        <v>45683</v>
      </c>
      <c r="Z191" s="4">
        <v>45713</v>
      </c>
      <c r="AA191" s="49">
        <f t="shared" si="43"/>
        <v>-30</v>
      </c>
      <c r="AB191" s="51">
        <f t="shared" si="44"/>
        <v>45688</v>
      </c>
      <c r="AC191" s="49">
        <f t="shared" si="45"/>
        <v>-25</v>
      </c>
      <c r="AD191" s="43">
        <f t="shared" si="46"/>
        <v>45688</v>
      </c>
      <c r="AE191" s="4">
        <v>45713</v>
      </c>
      <c r="AF191" s="19">
        <f t="shared" si="47"/>
        <v>-25</v>
      </c>
      <c r="AG191" s="67"/>
      <c r="AH191" s="2"/>
      <c r="AI191" s="2"/>
      <c r="AJ191" s="2"/>
      <c r="AK191" s="2"/>
      <c r="AL191" s="2"/>
    </row>
    <row r="192" spans="1:38" ht="14.45">
      <c r="A192" s="156">
        <v>191</v>
      </c>
      <c r="B192" s="55">
        <v>45688</v>
      </c>
      <c r="C192" s="39" t="s">
        <v>372</v>
      </c>
      <c r="D192" s="14" t="s">
        <v>177</v>
      </c>
      <c r="E192" s="15">
        <v>3961.24</v>
      </c>
      <c r="F192" s="14" t="s">
        <v>178</v>
      </c>
      <c r="G192" s="14" t="s">
        <v>51</v>
      </c>
      <c r="H192" s="14" t="s">
        <v>40</v>
      </c>
      <c r="I192" s="14" t="s">
        <v>37</v>
      </c>
      <c r="J192" s="97">
        <f t="shared" si="32"/>
        <v>45588</v>
      </c>
      <c r="L192" s="19" t="str">
        <f t="shared" si="33"/>
        <v/>
      </c>
      <c r="M192" s="5">
        <f t="shared" si="34"/>
        <v>45599</v>
      </c>
      <c r="O192" s="19" t="str">
        <f t="shared" si="35"/>
        <v/>
      </c>
      <c r="P192" s="5">
        <f t="shared" si="36"/>
        <v>45614</v>
      </c>
      <c r="R192" s="19" t="str">
        <f t="shared" si="37"/>
        <v/>
      </c>
      <c r="S192" s="5">
        <f t="shared" si="38"/>
        <v>45619</v>
      </c>
      <c r="U192" s="19" t="str">
        <f t="shared" si="39"/>
        <v/>
      </c>
      <c r="V192" s="5">
        <f t="shared" si="40"/>
        <v>45658</v>
      </c>
      <c r="X192" s="19" t="str">
        <f t="shared" si="41"/>
        <v/>
      </c>
      <c r="Y192" s="51">
        <f t="shared" si="42"/>
        <v>45683</v>
      </c>
      <c r="Z192" s="4">
        <v>45688</v>
      </c>
      <c r="AA192" s="49">
        <f t="shared" si="43"/>
        <v>-5</v>
      </c>
      <c r="AB192" s="51">
        <f t="shared" si="44"/>
        <v>45688</v>
      </c>
      <c r="AC192" s="49">
        <f t="shared" si="45"/>
        <v>0</v>
      </c>
      <c r="AD192" s="43">
        <f t="shared" si="46"/>
        <v>45688</v>
      </c>
      <c r="AE192" s="4">
        <v>45688</v>
      </c>
      <c r="AF192" s="19">
        <f t="shared" si="47"/>
        <v>0</v>
      </c>
      <c r="AG192" s="67" t="s">
        <v>367</v>
      </c>
      <c r="AH192" s="2"/>
      <c r="AI192" s="2"/>
      <c r="AJ192" s="2"/>
      <c r="AK192" s="2"/>
      <c r="AL192" s="2"/>
    </row>
    <row r="193" spans="1:38" ht="14.45">
      <c r="A193" s="156">
        <v>192</v>
      </c>
      <c r="B193" s="55">
        <v>45688</v>
      </c>
      <c r="C193" s="33"/>
      <c r="D193" s="14" t="s">
        <v>373</v>
      </c>
      <c r="E193" s="15">
        <v>96339.44</v>
      </c>
      <c r="F193" s="14" t="s">
        <v>374</v>
      </c>
      <c r="G193" s="14" t="s">
        <v>35</v>
      </c>
      <c r="H193" s="14" t="s">
        <v>36</v>
      </c>
      <c r="I193" s="14" t="s">
        <v>37</v>
      </c>
      <c r="J193" s="97">
        <f t="shared" si="32"/>
        <v>45588</v>
      </c>
      <c r="L193" s="19" t="str">
        <f t="shared" si="33"/>
        <v/>
      </c>
      <c r="M193" s="5">
        <f t="shared" si="34"/>
        <v>45599</v>
      </c>
      <c r="O193" s="19" t="str">
        <f t="shared" si="35"/>
        <v/>
      </c>
      <c r="P193" s="5">
        <f t="shared" si="36"/>
        <v>45614</v>
      </c>
      <c r="R193" s="19" t="str">
        <f t="shared" si="37"/>
        <v/>
      </c>
      <c r="S193" s="5">
        <f t="shared" si="38"/>
        <v>45619</v>
      </c>
      <c r="U193" s="19" t="str">
        <f t="shared" si="39"/>
        <v/>
      </c>
      <c r="V193" s="5">
        <f t="shared" si="40"/>
        <v>45658</v>
      </c>
      <c r="W193" s="4">
        <v>45659</v>
      </c>
      <c r="X193" s="19">
        <f t="shared" si="41"/>
        <v>-1</v>
      </c>
      <c r="Y193" s="51">
        <f t="shared" si="42"/>
        <v>45683</v>
      </c>
      <c r="AA193" s="49" t="str">
        <f t="shared" si="43"/>
        <v/>
      </c>
      <c r="AB193" s="51">
        <f t="shared" si="44"/>
        <v>45688</v>
      </c>
      <c r="AC193" s="49" t="str">
        <f t="shared" si="45"/>
        <v/>
      </c>
      <c r="AD193" s="43">
        <f t="shared" si="46"/>
        <v>45688</v>
      </c>
      <c r="AF193" s="19" t="str">
        <f t="shared" si="47"/>
        <v/>
      </c>
      <c r="AG193" s="67"/>
      <c r="AH193" s="2"/>
      <c r="AI193" s="2"/>
      <c r="AJ193" s="2"/>
      <c r="AK193" s="2"/>
      <c r="AL193" s="2"/>
    </row>
    <row r="194" spans="1:38" ht="14.45">
      <c r="A194" s="156">
        <v>193</v>
      </c>
      <c r="B194" s="55">
        <v>45688</v>
      </c>
      <c r="C194" s="33"/>
      <c r="D194" s="14" t="s">
        <v>375</v>
      </c>
      <c r="E194" s="15">
        <v>26507.19</v>
      </c>
      <c r="F194" s="14" t="s">
        <v>376</v>
      </c>
      <c r="G194" s="10" t="s">
        <v>120</v>
      </c>
      <c r="H194" s="14" t="s">
        <v>36</v>
      </c>
      <c r="I194" s="14" t="s">
        <v>37</v>
      </c>
      <c r="J194" s="97">
        <f t="shared" ref="J194:J257" si="48">B194-100</f>
        <v>45588</v>
      </c>
      <c r="L194" s="19" t="str">
        <f t="shared" ref="L194:L257" si="49">IF(OR(J194="", K194=""), "", J194-K194)</f>
        <v/>
      </c>
      <c r="M194" s="5">
        <f t="shared" ref="M194:M257" si="50">B194-89</f>
        <v>45599</v>
      </c>
      <c r="O194" s="19" t="str">
        <f t="shared" ref="O194:O257" si="51">IF(OR(M194="", N194=""), "", M194-N194)</f>
        <v/>
      </c>
      <c r="P194" s="5">
        <f t="shared" ref="P194:P257" si="52">B194-74</f>
        <v>45614</v>
      </c>
      <c r="R194" s="19" t="str">
        <f t="shared" ref="R194:R257" si="53">IF(OR(P194="", Q194=""), "", P194-Q194)</f>
        <v/>
      </c>
      <c r="S194" s="5">
        <f t="shared" ref="S194:S258" si="54">B194-69</f>
        <v>45619</v>
      </c>
      <c r="T194" s="6">
        <v>45653</v>
      </c>
      <c r="U194" s="19">
        <f t="shared" ref="U194:U257" si="55">IF(OR(S194="", T194=""), "", S194-T194)</f>
        <v>-34</v>
      </c>
      <c r="V194" s="5">
        <f t="shared" ref="V194:V257" si="56">B194-30</f>
        <v>45658</v>
      </c>
      <c r="X194" s="19" t="str">
        <f t="shared" ref="X194:X257" si="57">IF(OR(V194="", W194=""), "", V194-W194)</f>
        <v/>
      </c>
      <c r="Y194" s="51">
        <f t="shared" ref="Y194:Y257" si="58">B194-5</f>
        <v>45683</v>
      </c>
      <c r="AA194" s="49" t="str">
        <f t="shared" ref="AA194:AA257" si="59">IF(OR(Y194="", Z194=""), "", Y194-Z194)</f>
        <v/>
      </c>
      <c r="AB194" s="51">
        <f t="shared" ref="AB194:AB257" si="60">IF(B194&lt;&gt;"", B194, "")</f>
        <v>45688</v>
      </c>
      <c r="AC194" s="49" t="str">
        <f t="shared" ref="AC194:AC257" si="61">IF(OR(AB194="", Z194=""), "", AB194-Z194)</f>
        <v/>
      </c>
      <c r="AD194" s="43">
        <f t="shared" ref="AD194:AD257" si="62">IF(B194&lt;&gt;"", B194, "")</f>
        <v>45688</v>
      </c>
      <c r="AF194" s="19" t="str">
        <f t="shared" ref="AF194:AF257" si="63">IF(OR(AD194="", AE194=""), "", AD194-AE194)</f>
        <v/>
      </c>
      <c r="AG194" s="67"/>
      <c r="AH194" s="2"/>
      <c r="AI194" s="2"/>
      <c r="AJ194" s="2"/>
      <c r="AK194" s="2"/>
      <c r="AL194" s="2"/>
    </row>
    <row r="195" spans="1:38" ht="14.45">
      <c r="A195" s="156">
        <v>194</v>
      </c>
      <c r="B195" s="55">
        <v>45688</v>
      </c>
      <c r="C195" s="33"/>
      <c r="D195" s="14" t="s">
        <v>375</v>
      </c>
      <c r="E195" s="15">
        <v>36838.47</v>
      </c>
      <c r="F195" s="14" t="s">
        <v>377</v>
      </c>
      <c r="G195" s="10" t="s">
        <v>120</v>
      </c>
      <c r="H195" s="14" t="s">
        <v>36</v>
      </c>
      <c r="I195" s="14" t="s">
        <v>37</v>
      </c>
      <c r="J195" s="97">
        <f t="shared" si="48"/>
        <v>45588</v>
      </c>
      <c r="L195" s="19" t="str">
        <f t="shared" si="49"/>
        <v/>
      </c>
      <c r="M195" s="5">
        <f t="shared" si="50"/>
        <v>45599</v>
      </c>
      <c r="O195" s="19" t="str">
        <f t="shared" si="51"/>
        <v/>
      </c>
      <c r="P195" s="5">
        <f t="shared" si="52"/>
        <v>45614</v>
      </c>
      <c r="R195" s="19" t="str">
        <f t="shared" si="53"/>
        <v/>
      </c>
      <c r="S195" s="5">
        <f t="shared" si="54"/>
        <v>45619</v>
      </c>
      <c r="T195" s="6">
        <v>45653</v>
      </c>
      <c r="U195" s="19">
        <f t="shared" si="55"/>
        <v>-34</v>
      </c>
      <c r="V195" s="5">
        <f t="shared" si="56"/>
        <v>45658</v>
      </c>
      <c r="X195" s="19" t="str">
        <f t="shared" si="57"/>
        <v/>
      </c>
      <c r="Y195" s="51">
        <f t="shared" si="58"/>
        <v>45683</v>
      </c>
      <c r="AA195" s="49" t="str">
        <f t="shared" si="59"/>
        <v/>
      </c>
      <c r="AB195" s="51">
        <f t="shared" si="60"/>
        <v>45688</v>
      </c>
      <c r="AC195" s="49" t="str">
        <f t="shared" si="61"/>
        <v/>
      </c>
      <c r="AD195" s="43">
        <f t="shared" si="62"/>
        <v>45688</v>
      </c>
      <c r="AF195" s="19" t="str">
        <f t="shared" si="63"/>
        <v/>
      </c>
      <c r="AG195" s="67"/>
      <c r="AH195" s="2"/>
      <c r="AI195" s="2"/>
      <c r="AJ195" s="2"/>
      <c r="AK195" s="2"/>
      <c r="AL195" s="2"/>
    </row>
    <row r="196" spans="1:38" ht="14.45">
      <c r="A196" s="156">
        <v>195</v>
      </c>
      <c r="B196" s="55">
        <v>45688</v>
      </c>
      <c r="C196" s="33"/>
      <c r="D196" s="14" t="s">
        <v>378</v>
      </c>
      <c r="E196" s="15">
        <v>26506.77</v>
      </c>
      <c r="F196" s="14" t="s">
        <v>379</v>
      </c>
      <c r="G196" s="10" t="s">
        <v>120</v>
      </c>
      <c r="H196" s="14" t="s">
        <v>36</v>
      </c>
      <c r="I196" s="14" t="s">
        <v>37</v>
      </c>
      <c r="J196" s="97">
        <f t="shared" si="48"/>
        <v>45588</v>
      </c>
      <c r="L196" s="19" t="str">
        <f t="shared" si="49"/>
        <v/>
      </c>
      <c r="M196" s="5">
        <f t="shared" si="50"/>
        <v>45599</v>
      </c>
      <c r="O196" s="19" t="str">
        <f t="shared" si="51"/>
        <v/>
      </c>
      <c r="P196" s="5">
        <f t="shared" si="52"/>
        <v>45614</v>
      </c>
      <c r="R196" s="19" t="str">
        <f t="shared" si="53"/>
        <v/>
      </c>
      <c r="S196" s="5">
        <f t="shared" si="54"/>
        <v>45619</v>
      </c>
      <c r="T196" s="6">
        <v>45653</v>
      </c>
      <c r="U196" s="19">
        <f t="shared" si="55"/>
        <v>-34</v>
      </c>
      <c r="V196" s="5">
        <f t="shared" si="56"/>
        <v>45658</v>
      </c>
      <c r="X196" s="19" t="str">
        <f t="shared" si="57"/>
        <v/>
      </c>
      <c r="Y196" s="51">
        <f t="shared" si="58"/>
        <v>45683</v>
      </c>
      <c r="AA196" s="49" t="str">
        <f t="shared" si="59"/>
        <v/>
      </c>
      <c r="AB196" s="51">
        <f t="shared" si="60"/>
        <v>45688</v>
      </c>
      <c r="AC196" s="49" t="str">
        <f t="shared" si="61"/>
        <v/>
      </c>
      <c r="AD196" s="43">
        <f t="shared" si="62"/>
        <v>45688</v>
      </c>
      <c r="AF196" s="19" t="str">
        <f t="shared" si="63"/>
        <v/>
      </c>
      <c r="AG196" s="67"/>
      <c r="AH196" s="2"/>
      <c r="AI196" s="2"/>
      <c r="AJ196" s="2"/>
      <c r="AK196" s="2"/>
      <c r="AL196" s="2"/>
    </row>
    <row r="197" spans="1:38" ht="14.45">
      <c r="A197" s="156">
        <v>196</v>
      </c>
      <c r="B197" s="54">
        <v>45688</v>
      </c>
      <c r="C197" s="80"/>
      <c r="D197" s="12" t="s">
        <v>380</v>
      </c>
      <c r="E197" s="13">
        <v>26507.19</v>
      </c>
      <c r="F197" s="12" t="s">
        <v>381</v>
      </c>
      <c r="G197" s="10" t="s">
        <v>120</v>
      </c>
      <c r="H197" s="12" t="s">
        <v>36</v>
      </c>
      <c r="I197" s="12" t="s">
        <v>37</v>
      </c>
      <c r="J197" s="97">
        <f t="shared" si="48"/>
        <v>45588</v>
      </c>
      <c r="L197" s="19" t="str">
        <f t="shared" si="49"/>
        <v/>
      </c>
      <c r="M197" s="5">
        <f t="shared" si="50"/>
        <v>45599</v>
      </c>
      <c r="O197" s="19" t="str">
        <f t="shared" si="51"/>
        <v/>
      </c>
      <c r="P197" s="5">
        <f t="shared" si="52"/>
        <v>45614</v>
      </c>
      <c r="R197" s="19" t="str">
        <f t="shared" si="53"/>
        <v/>
      </c>
      <c r="S197" s="5">
        <f t="shared" si="54"/>
        <v>45619</v>
      </c>
      <c r="T197" s="6">
        <v>45653</v>
      </c>
      <c r="U197" s="19">
        <f t="shared" si="55"/>
        <v>-34</v>
      </c>
      <c r="V197" s="5">
        <f t="shared" si="56"/>
        <v>45658</v>
      </c>
      <c r="X197" s="19" t="str">
        <f t="shared" si="57"/>
        <v/>
      </c>
      <c r="Y197" s="51">
        <f t="shared" si="58"/>
        <v>45683</v>
      </c>
      <c r="AA197" s="49" t="str">
        <f t="shared" si="59"/>
        <v/>
      </c>
      <c r="AB197" s="51">
        <f t="shared" si="60"/>
        <v>45688</v>
      </c>
      <c r="AC197" s="49" t="str">
        <f t="shared" si="61"/>
        <v/>
      </c>
      <c r="AD197" s="43">
        <f t="shared" si="62"/>
        <v>45688</v>
      </c>
      <c r="AF197" s="19" t="str">
        <f t="shared" si="63"/>
        <v/>
      </c>
      <c r="AG197" s="67"/>
      <c r="AH197" s="2"/>
      <c r="AI197" s="2"/>
      <c r="AJ197" s="2"/>
      <c r="AK197" s="2"/>
      <c r="AL197" s="2"/>
    </row>
    <row r="198" spans="1:38" ht="14.45">
      <c r="A198" s="156">
        <v>197</v>
      </c>
      <c r="B198" s="55">
        <v>45688</v>
      </c>
      <c r="C198" s="33"/>
      <c r="D198" s="14" t="s">
        <v>382</v>
      </c>
      <c r="E198" s="15">
        <v>77270</v>
      </c>
      <c r="F198" s="14" t="s">
        <v>383</v>
      </c>
      <c r="G198" s="14" t="s">
        <v>46</v>
      </c>
      <c r="H198" s="14" t="s">
        <v>36</v>
      </c>
      <c r="I198" s="14" t="s">
        <v>62</v>
      </c>
      <c r="J198" s="97">
        <f t="shared" si="48"/>
        <v>45588</v>
      </c>
      <c r="K198" s="4">
        <v>45611</v>
      </c>
      <c r="L198" s="19">
        <f t="shared" si="49"/>
        <v>-23</v>
      </c>
      <c r="M198" s="5">
        <f t="shared" si="50"/>
        <v>45599</v>
      </c>
      <c r="O198" s="19" t="str">
        <f t="shared" si="51"/>
        <v/>
      </c>
      <c r="P198" s="5">
        <f t="shared" si="52"/>
        <v>45614</v>
      </c>
      <c r="R198" s="19" t="str">
        <f t="shared" si="53"/>
        <v/>
      </c>
      <c r="S198" s="5">
        <f t="shared" si="54"/>
        <v>45619</v>
      </c>
      <c r="T198" s="4">
        <v>45656</v>
      </c>
      <c r="U198" s="19">
        <f t="shared" si="55"/>
        <v>-37</v>
      </c>
      <c r="V198" s="5">
        <f t="shared" si="56"/>
        <v>45658</v>
      </c>
      <c r="W198" s="4">
        <v>45663</v>
      </c>
      <c r="X198" s="19">
        <f t="shared" si="57"/>
        <v>-5</v>
      </c>
      <c r="Y198" s="51">
        <f t="shared" si="58"/>
        <v>45683</v>
      </c>
      <c r="Z198" s="4">
        <v>45687</v>
      </c>
      <c r="AA198" s="49">
        <f t="shared" si="59"/>
        <v>-4</v>
      </c>
      <c r="AB198" s="51">
        <f t="shared" si="60"/>
        <v>45688</v>
      </c>
      <c r="AC198" s="49">
        <f t="shared" si="61"/>
        <v>1</v>
      </c>
      <c r="AD198" s="43">
        <f t="shared" si="62"/>
        <v>45688</v>
      </c>
      <c r="AE198" s="4">
        <v>45687</v>
      </c>
      <c r="AF198" s="19">
        <f t="shared" si="63"/>
        <v>1</v>
      </c>
      <c r="AG198" s="67"/>
      <c r="AH198" s="2"/>
      <c r="AI198" s="2"/>
      <c r="AJ198" s="2"/>
      <c r="AK198" s="2"/>
      <c r="AL198" s="2"/>
    </row>
    <row r="199" spans="1:38" ht="14.45">
      <c r="A199" s="156">
        <v>198</v>
      </c>
      <c r="B199" s="55">
        <v>45690</v>
      </c>
      <c r="C199" s="39" t="s">
        <v>384</v>
      </c>
      <c r="D199" s="14" t="s">
        <v>38</v>
      </c>
      <c r="E199" s="15">
        <v>666.71</v>
      </c>
      <c r="F199" s="14" t="s">
        <v>385</v>
      </c>
      <c r="G199" s="14" t="s">
        <v>190</v>
      </c>
      <c r="H199" s="14" t="s">
        <v>40</v>
      </c>
      <c r="I199" s="14" t="s">
        <v>41</v>
      </c>
      <c r="J199" s="97">
        <f t="shared" si="48"/>
        <v>45590</v>
      </c>
      <c r="L199" s="19" t="str">
        <f t="shared" si="49"/>
        <v/>
      </c>
      <c r="M199" s="5">
        <f t="shared" si="50"/>
        <v>45601</v>
      </c>
      <c r="N199" s="4">
        <v>45663</v>
      </c>
      <c r="O199" s="19">
        <f t="shared" si="51"/>
        <v>-62</v>
      </c>
      <c r="P199" s="5">
        <f t="shared" si="52"/>
        <v>45616</v>
      </c>
      <c r="Q199" s="4">
        <v>45673</v>
      </c>
      <c r="R199" s="19">
        <f t="shared" si="53"/>
        <v>-57</v>
      </c>
      <c r="S199" s="5">
        <f t="shared" si="54"/>
        <v>45621</v>
      </c>
      <c r="T199" s="4">
        <v>45674</v>
      </c>
      <c r="U199" s="19">
        <f t="shared" si="55"/>
        <v>-53</v>
      </c>
      <c r="V199" s="5">
        <f t="shared" si="56"/>
        <v>45660</v>
      </c>
      <c r="W199" s="4">
        <v>45674</v>
      </c>
      <c r="X199" s="19">
        <f t="shared" si="57"/>
        <v>-14</v>
      </c>
      <c r="Y199" s="51">
        <f t="shared" si="58"/>
        <v>45685</v>
      </c>
      <c r="Z199" s="4">
        <v>45686</v>
      </c>
      <c r="AA199" s="49">
        <f t="shared" si="59"/>
        <v>-1</v>
      </c>
      <c r="AB199" s="51">
        <f t="shared" si="60"/>
        <v>45690</v>
      </c>
      <c r="AC199" s="49">
        <f t="shared" si="61"/>
        <v>4</v>
      </c>
      <c r="AD199" s="43">
        <f t="shared" si="62"/>
        <v>45690</v>
      </c>
      <c r="AE199" s="4">
        <v>45686</v>
      </c>
      <c r="AF199" s="19">
        <f t="shared" si="63"/>
        <v>4</v>
      </c>
      <c r="AG199" s="67"/>
      <c r="AH199" s="2"/>
      <c r="AI199" s="2"/>
      <c r="AJ199" s="2"/>
      <c r="AK199" s="2"/>
      <c r="AL199" s="2"/>
    </row>
    <row r="200" spans="1:38" ht="14.45">
      <c r="A200" s="156">
        <v>199</v>
      </c>
      <c r="B200" s="55">
        <v>45690</v>
      </c>
      <c r="C200" s="39" t="s">
        <v>386</v>
      </c>
      <c r="D200" s="14" t="s">
        <v>38</v>
      </c>
      <c r="E200" s="15">
        <v>9804.7999999999993</v>
      </c>
      <c r="F200" s="14" t="s">
        <v>387</v>
      </c>
      <c r="G200" s="14" t="s">
        <v>190</v>
      </c>
      <c r="H200" s="14" t="s">
        <v>40</v>
      </c>
      <c r="I200" s="14" t="s">
        <v>41</v>
      </c>
      <c r="J200" s="97">
        <f t="shared" si="48"/>
        <v>45590</v>
      </c>
      <c r="L200" s="19" t="str">
        <f t="shared" si="49"/>
        <v/>
      </c>
      <c r="M200" s="5">
        <f t="shared" si="50"/>
        <v>45601</v>
      </c>
      <c r="N200" s="4">
        <v>45663</v>
      </c>
      <c r="O200" s="19">
        <f t="shared" si="51"/>
        <v>-62</v>
      </c>
      <c r="P200" s="5">
        <f t="shared" si="52"/>
        <v>45616</v>
      </c>
      <c r="Q200" s="4">
        <v>45673</v>
      </c>
      <c r="R200" s="19">
        <f t="shared" si="53"/>
        <v>-57</v>
      </c>
      <c r="S200" s="5">
        <f t="shared" si="54"/>
        <v>45621</v>
      </c>
      <c r="T200" s="4">
        <v>45674</v>
      </c>
      <c r="U200" s="19">
        <f t="shared" si="55"/>
        <v>-53</v>
      </c>
      <c r="V200" s="5">
        <f t="shared" si="56"/>
        <v>45660</v>
      </c>
      <c r="W200" s="4">
        <v>45674</v>
      </c>
      <c r="X200" s="19">
        <f t="shared" si="57"/>
        <v>-14</v>
      </c>
      <c r="Y200" s="51">
        <f t="shared" si="58"/>
        <v>45685</v>
      </c>
      <c r="Z200" s="4">
        <v>45692</v>
      </c>
      <c r="AA200" s="49">
        <f t="shared" si="59"/>
        <v>-7</v>
      </c>
      <c r="AB200" s="51">
        <f t="shared" si="60"/>
        <v>45690</v>
      </c>
      <c r="AC200" s="49">
        <f t="shared" si="61"/>
        <v>-2</v>
      </c>
      <c r="AD200" s="43">
        <f t="shared" si="62"/>
        <v>45690</v>
      </c>
      <c r="AE200" s="4">
        <v>45692</v>
      </c>
      <c r="AF200" s="19">
        <f t="shared" si="63"/>
        <v>-2</v>
      </c>
      <c r="AG200" s="67"/>
      <c r="AH200" s="2"/>
      <c r="AI200" s="2"/>
      <c r="AJ200" s="2"/>
      <c r="AK200" s="2"/>
      <c r="AL200" s="2"/>
    </row>
    <row r="201" spans="1:38" ht="14.45">
      <c r="A201" s="156">
        <v>200</v>
      </c>
      <c r="B201" s="55">
        <v>45690</v>
      </c>
      <c r="C201" s="39" t="s">
        <v>388</v>
      </c>
      <c r="D201" s="14" t="s">
        <v>389</v>
      </c>
      <c r="E201" s="15">
        <v>150</v>
      </c>
      <c r="F201" s="14" t="s">
        <v>390</v>
      </c>
      <c r="G201" s="14" t="s">
        <v>190</v>
      </c>
      <c r="H201" s="14" t="s">
        <v>40</v>
      </c>
      <c r="I201" s="14" t="s">
        <v>93</v>
      </c>
      <c r="J201" s="97">
        <f t="shared" si="48"/>
        <v>45590</v>
      </c>
      <c r="K201" s="4">
        <v>45625</v>
      </c>
      <c r="L201" s="19">
        <f t="shared" si="49"/>
        <v>-35</v>
      </c>
      <c r="M201" s="5">
        <f t="shared" si="50"/>
        <v>45601</v>
      </c>
      <c r="O201" s="19" t="str">
        <f t="shared" si="51"/>
        <v/>
      </c>
      <c r="P201" s="5">
        <f t="shared" si="52"/>
        <v>45616</v>
      </c>
      <c r="R201" s="19" t="str">
        <f t="shared" si="53"/>
        <v/>
      </c>
      <c r="S201" s="5">
        <f t="shared" si="54"/>
        <v>45621</v>
      </c>
      <c r="T201" s="4">
        <v>45656</v>
      </c>
      <c r="U201" s="19">
        <f t="shared" si="55"/>
        <v>-35</v>
      </c>
      <c r="V201" s="5">
        <f t="shared" si="56"/>
        <v>45660</v>
      </c>
      <c r="W201" s="4">
        <v>45663</v>
      </c>
      <c r="X201" s="19">
        <f t="shared" si="57"/>
        <v>-3</v>
      </c>
      <c r="Y201" s="51">
        <f t="shared" si="58"/>
        <v>45685</v>
      </c>
      <c r="Z201" s="4">
        <v>45694</v>
      </c>
      <c r="AA201" s="49">
        <f t="shared" si="59"/>
        <v>-9</v>
      </c>
      <c r="AB201" s="51">
        <f t="shared" si="60"/>
        <v>45690</v>
      </c>
      <c r="AC201" s="49">
        <f t="shared" si="61"/>
        <v>-4</v>
      </c>
      <c r="AD201" s="43">
        <f t="shared" si="62"/>
        <v>45690</v>
      </c>
      <c r="AE201" s="4">
        <v>45694</v>
      </c>
      <c r="AF201" s="19">
        <f t="shared" si="63"/>
        <v>-4</v>
      </c>
      <c r="AG201" s="67"/>
      <c r="AH201" s="2"/>
      <c r="AI201" s="2"/>
      <c r="AJ201" s="2"/>
      <c r="AK201" s="2"/>
      <c r="AL201" s="2"/>
    </row>
    <row r="202" spans="1:38" ht="14.45">
      <c r="A202" s="156">
        <v>201</v>
      </c>
      <c r="B202" s="55">
        <v>45691</v>
      </c>
      <c r="C202" s="39" t="s">
        <v>391</v>
      </c>
      <c r="D202" s="14" t="s">
        <v>38</v>
      </c>
      <c r="E202" s="15">
        <v>332.39</v>
      </c>
      <c r="F202" s="14" t="s">
        <v>392</v>
      </c>
      <c r="G202" s="14" t="s">
        <v>190</v>
      </c>
      <c r="H202" s="14" t="s">
        <v>40</v>
      </c>
      <c r="I202" s="14" t="s">
        <v>41</v>
      </c>
      <c r="J202" s="97">
        <f t="shared" si="48"/>
        <v>45591</v>
      </c>
      <c r="L202" s="19" t="str">
        <f t="shared" si="49"/>
        <v/>
      </c>
      <c r="M202" s="5">
        <f t="shared" si="50"/>
        <v>45602</v>
      </c>
      <c r="N202" s="4">
        <v>45663</v>
      </c>
      <c r="O202" s="19">
        <f t="shared" si="51"/>
        <v>-61</v>
      </c>
      <c r="P202" s="5">
        <f t="shared" si="52"/>
        <v>45617</v>
      </c>
      <c r="Q202" s="4">
        <v>45673</v>
      </c>
      <c r="R202" s="19">
        <f t="shared" si="53"/>
        <v>-56</v>
      </c>
      <c r="S202" s="5">
        <f t="shared" si="54"/>
        <v>45622</v>
      </c>
      <c r="T202" s="4">
        <v>45674</v>
      </c>
      <c r="U202" s="19">
        <f t="shared" si="55"/>
        <v>-52</v>
      </c>
      <c r="V202" s="5">
        <f t="shared" si="56"/>
        <v>45661</v>
      </c>
      <c r="W202" s="4">
        <v>45674</v>
      </c>
      <c r="X202" s="19">
        <f t="shared" si="57"/>
        <v>-13</v>
      </c>
      <c r="Y202" s="51">
        <f t="shared" si="58"/>
        <v>45686</v>
      </c>
      <c r="Z202" s="4">
        <v>45686</v>
      </c>
      <c r="AA202" s="49">
        <f t="shared" si="59"/>
        <v>0</v>
      </c>
      <c r="AB202" s="51">
        <f t="shared" si="60"/>
        <v>45691</v>
      </c>
      <c r="AC202" s="49">
        <f t="shared" si="61"/>
        <v>5</v>
      </c>
      <c r="AD202" s="43">
        <f t="shared" si="62"/>
        <v>45691</v>
      </c>
      <c r="AE202" s="4">
        <v>45686</v>
      </c>
      <c r="AF202" s="19">
        <f t="shared" si="63"/>
        <v>5</v>
      </c>
      <c r="AG202" s="67"/>
      <c r="AH202" s="2"/>
      <c r="AI202" s="2"/>
      <c r="AJ202" s="2"/>
      <c r="AK202" s="2"/>
      <c r="AL202" s="2"/>
    </row>
    <row r="203" spans="1:38" ht="14.45">
      <c r="A203" s="156">
        <v>202</v>
      </c>
      <c r="B203" s="55">
        <v>45691</v>
      </c>
      <c r="C203" s="33"/>
      <c r="D203" s="14" t="s">
        <v>173</v>
      </c>
      <c r="E203" s="15">
        <v>65812.960000000006</v>
      </c>
      <c r="F203" s="14" t="s">
        <v>174</v>
      </c>
      <c r="G203" s="14" t="s">
        <v>35</v>
      </c>
      <c r="H203" s="14" t="s">
        <v>36</v>
      </c>
      <c r="I203" s="14" t="s">
        <v>52</v>
      </c>
      <c r="J203" s="97">
        <f t="shared" si="48"/>
        <v>45591</v>
      </c>
      <c r="L203" s="19" t="str">
        <f t="shared" si="49"/>
        <v/>
      </c>
      <c r="M203" s="5">
        <f t="shared" si="50"/>
        <v>45602</v>
      </c>
      <c r="O203" s="19" t="str">
        <f t="shared" si="51"/>
        <v/>
      </c>
      <c r="P203" s="5">
        <f t="shared" si="52"/>
        <v>45617</v>
      </c>
      <c r="R203" s="19" t="str">
        <f t="shared" si="53"/>
        <v/>
      </c>
      <c r="S203" s="5">
        <f t="shared" si="54"/>
        <v>45622</v>
      </c>
      <c r="U203" s="19" t="str">
        <f t="shared" si="55"/>
        <v/>
      </c>
      <c r="V203" s="5">
        <f t="shared" si="56"/>
        <v>45661</v>
      </c>
      <c r="W203" s="4">
        <v>45666</v>
      </c>
      <c r="X203" s="19">
        <f t="shared" si="57"/>
        <v>-5</v>
      </c>
      <c r="Y203" s="51">
        <f t="shared" si="58"/>
        <v>45686</v>
      </c>
      <c r="AA203" s="49" t="str">
        <f t="shared" si="59"/>
        <v/>
      </c>
      <c r="AB203" s="51">
        <f t="shared" si="60"/>
        <v>45691</v>
      </c>
      <c r="AC203" s="49" t="str">
        <f t="shared" si="61"/>
        <v/>
      </c>
      <c r="AD203" s="43">
        <f t="shared" si="62"/>
        <v>45691</v>
      </c>
      <c r="AF203" s="19" t="str">
        <f t="shared" si="63"/>
        <v/>
      </c>
      <c r="AG203" s="67"/>
      <c r="AH203" s="2"/>
      <c r="AI203" s="2"/>
      <c r="AJ203" s="2"/>
      <c r="AK203" s="2"/>
      <c r="AL203" s="2"/>
    </row>
    <row r="204" spans="1:38" ht="14.45">
      <c r="A204" s="156">
        <v>203</v>
      </c>
      <c r="B204" s="55">
        <v>45696</v>
      </c>
      <c r="C204" s="39" t="s">
        <v>393</v>
      </c>
      <c r="D204" s="14" t="s">
        <v>38</v>
      </c>
      <c r="E204" s="15">
        <v>387.01</v>
      </c>
      <c r="F204" s="14" t="s">
        <v>394</v>
      </c>
      <c r="G204" s="14" t="s">
        <v>190</v>
      </c>
      <c r="H204" s="14" t="s">
        <v>40</v>
      </c>
      <c r="I204" s="14" t="s">
        <v>41</v>
      </c>
      <c r="J204" s="97">
        <f t="shared" si="48"/>
        <v>45596</v>
      </c>
      <c r="L204" s="19" t="str">
        <f t="shared" si="49"/>
        <v/>
      </c>
      <c r="M204" s="5">
        <f t="shared" si="50"/>
        <v>45607</v>
      </c>
      <c r="N204" s="4">
        <v>45663</v>
      </c>
      <c r="O204" s="19">
        <f t="shared" si="51"/>
        <v>-56</v>
      </c>
      <c r="P204" s="5">
        <f t="shared" si="52"/>
        <v>45622</v>
      </c>
      <c r="Q204" s="4">
        <v>45673</v>
      </c>
      <c r="R204" s="19">
        <f t="shared" si="53"/>
        <v>-51</v>
      </c>
      <c r="S204" s="5">
        <f t="shared" si="54"/>
        <v>45627</v>
      </c>
      <c r="T204" s="4">
        <v>45674</v>
      </c>
      <c r="U204" s="19">
        <f t="shared" si="55"/>
        <v>-47</v>
      </c>
      <c r="V204" s="5">
        <f t="shared" si="56"/>
        <v>45666</v>
      </c>
      <c r="W204" s="4">
        <v>45674</v>
      </c>
      <c r="X204" s="19">
        <f t="shared" si="57"/>
        <v>-8</v>
      </c>
      <c r="Y204" s="51">
        <f t="shared" si="58"/>
        <v>45691</v>
      </c>
      <c r="Z204" s="4">
        <v>45686</v>
      </c>
      <c r="AA204" s="49">
        <f t="shared" si="59"/>
        <v>5</v>
      </c>
      <c r="AB204" s="51">
        <f t="shared" si="60"/>
        <v>45696</v>
      </c>
      <c r="AC204" s="49">
        <f t="shared" si="61"/>
        <v>10</v>
      </c>
      <c r="AD204" s="43">
        <f t="shared" si="62"/>
        <v>45696</v>
      </c>
      <c r="AE204" s="4">
        <v>45686</v>
      </c>
      <c r="AF204" s="19">
        <f t="shared" si="63"/>
        <v>10</v>
      </c>
      <c r="AG204" s="67"/>
      <c r="AH204" s="2"/>
      <c r="AI204" s="2"/>
      <c r="AJ204" s="2"/>
      <c r="AK204" s="2"/>
      <c r="AL204" s="2"/>
    </row>
    <row r="205" spans="1:38" ht="14.45">
      <c r="A205" s="156">
        <v>204</v>
      </c>
      <c r="B205" s="55">
        <v>45696</v>
      </c>
      <c r="C205" s="33"/>
      <c r="D205" s="14" t="s">
        <v>395</v>
      </c>
      <c r="E205" s="15">
        <v>8650</v>
      </c>
      <c r="F205" s="14" t="s">
        <v>396</v>
      </c>
      <c r="G205" s="14" t="s">
        <v>35</v>
      </c>
      <c r="H205" s="14" t="s">
        <v>36</v>
      </c>
      <c r="I205" s="14" t="s">
        <v>62</v>
      </c>
      <c r="J205" s="97">
        <f t="shared" si="48"/>
        <v>45596</v>
      </c>
      <c r="L205" s="19" t="str">
        <f t="shared" si="49"/>
        <v/>
      </c>
      <c r="M205" s="5">
        <f t="shared" si="50"/>
        <v>45607</v>
      </c>
      <c r="O205" s="19" t="str">
        <f t="shared" si="51"/>
        <v/>
      </c>
      <c r="P205" s="5">
        <f t="shared" si="52"/>
        <v>45622</v>
      </c>
      <c r="R205" s="19" t="str">
        <f t="shared" si="53"/>
        <v/>
      </c>
      <c r="S205" s="5">
        <f t="shared" si="54"/>
        <v>45627</v>
      </c>
      <c r="U205" s="19" t="str">
        <f t="shared" si="55"/>
        <v/>
      </c>
      <c r="V205" s="5">
        <f t="shared" si="56"/>
        <v>45666</v>
      </c>
      <c r="W205" s="4">
        <v>45663</v>
      </c>
      <c r="X205" s="19">
        <f t="shared" si="57"/>
        <v>3</v>
      </c>
      <c r="Y205" s="51">
        <f t="shared" si="58"/>
        <v>45691</v>
      </c>
      <c r="AA205" s="49" t="str">
        <f t="shared" si="59"/>
        <v/>
      </c>
      <c r="AB205" s="51">
        <f t="shared" si="60"/>
        <v>45696</v>
      </c>
      <c r="AC205" s="49" t="str">
        <f t="shared" si="61"/>
        <v/>
      </c>
      <c r="AD205" s="43">
        <f t="shared" si="62"/>
        <v>45696</v>
      </c>
      <c r="AF205" s="19" t="str">
        <f t="shared" si="63"/>
        <v/>
      </c>
      <c r="AG205" s="67"/>
      <c r="AH205" s="2"/>
      <c r="AI205" s="2"/>
      <c r="AJ205" s="2"/>
      <c r="AK205" s="2"/>
      <c r="AL205" s="2"/>
    </row>
    <row r="206" spans="1:38" ht="14.45">
      <c r="A206" s="156">
        <v>205</v>
      </c>
      <c r="B206" s="55">
        <v>45696</v>
      </c>
      <c r="C206" s="83" t="s">
        <v>397</v>
      </c>
      <c r="D206" s="14" t="s">
        <v>398</v>
      </c>
      <c r="E206" s="15">
        <v>581.59</v>
      </c>
      <c r="F206" s="14" t="s">
        <v>399</v>
      </c>
      <c r="G206" s="14" t="s">
        <v>35</v>
      </c>
      <c r="H206" s="14" t="s">
        <v>40</v>
      </c>
      <c r="I206" s="14" t="s">
        <v>93</v>
      </c>
      <c r="J206" s="97">
        <f t="shared" si="48"/>
        <v>45596</v>
      </c>
      <c r="L206" s="19" t="str">
        <f t="shared" si="49"/>
        <v/>
      </c>
      <c r="M206" s="5">
        <f t="shared" si="50"/>
        <v>45607</v>
      </c>
      <c r="O206" s="19" t="str">
        <f t="shared" si="51"/>
        <v/>
      </c>
      <c r="P206" s="5">
        <f t="shared" si="52"/>
        <v>45622</v>
      </c>
      <c r="R206" s="19" t="str">
        <f t="shared" si="53"/>
        <v/>
      </c>
      <c r="S206" s="5">
        <f t="shared" si="54"/>
        <v>45627</v>
      </c>
      <c r="T206" s="4">
        <v>45663</v>
      </c>
      <c r="U206" s="19">
        <f t="shared" si="55"/>
        <v>-36</v>
      </c>
      <c r="V206" s="5">
        <f t="shared" si="56"/>
        <v>45666</v>
      </c>
      <c r="W206" s="4">
        <v>45685</v>
      </c>
      <c r="X206" s="19">
        <f t="shared" si="57"/>
        <v>-19</v>
      </c>
      <c r="Y206" s="51">
        <f t="shared" si="58"/>
        <v>45691</v>
      </c>
      <c r="Z206" s="4">
        <v>45695</v>
      </c>
      <c r="AA206" s="49">
        <f t="shared" si="59"/>
        <v>-4</v>
      </c>
      <c r="AB206" s="51">
        <f t="shared" si="60"/>
        <v>45696</v>
      </c>
      <c r="AC206" s="49">
        <f t="shared" si="61"/>
        <v>1</v>
      </c>
      <c r="AD206" s="43">
        <f t="shared" si="62"/>
        <v>45696</v>
      </c>
      <c r="AE206" s="4">
        <v>45695</v>
      </c>
      <c r="AF206" s="19">
        <f t="shared" si="63"/>
        <v>1</v>
      </c>
      <c r="AG206" s="67"/>
      <c r="AH206" s="2"/>
      <c r="AI206" s="2"/>
      <c r="AJ206" s="2"/>
      <c r="AK206" s="2"/>
      <c r="AL206" s="2"/>
    </row>
    <row r="207" spans="1:38" ht="14.45">
      <c r="A207" s="156">
        <v>206</v>
      </c>
      <c r="B207" s="55">
        <v>45696</v>
      </c>
      <c r="C207" s="83" t="s">
        <v>400</v>
      </c>
      <c r="D207" s="14" t="s">
        <v>401</v>
      </c>
      <c r="E207" s="15">
        <v>59213.06</v>
      </c>
      <c r="F207" s="14" t="s">
        <v>402</v>
      </c>
      <c r="G207" s="14" t="s">
        <v>35</v>
      </c>
      <c r="H207" s="14" t="s">
        <v>36</v>
      </c>
      <c r="I207" s="14" t="s">
        <v>37</v>
      </c>
      <c r="J207" s="97">
        <f t="shared" si="48"/>
        <v>45596</v>
      </c>
      <c r="L207" s="19" t="str">
        <f t="shared" si="49"/>
        <v/>
      </c>
      <c r="M207" s="5">
        <f t="shared" si="50"/>
        <v>45607</v>
      </c>
      <c r="O207" s="19" t="str">
        <f t="shared" si="51"/>
        <v/>
      </c>
      <c r="P207" s="5">
        <f t="shared" si="52"/>
        <v>45622</v>
      </c>
      <c r="R207" s="19" t="str">
        <f t="shared" si="53"/>
        <v/>
      </c>
      <c r="S207" s="5">
        <f t="shared" si="54"/>
        <v>45627</v>
      </c>
      <c r="T207" s="4">
        <v>45665</v>
      </c>
      <c r="U207" s="19">
        <f t="shared" si="55"/>
        <v>-38</v>
      </c>
      <c r="V207" s="5">
        <f t="shared" si="56"/>
        <v>45666</v>
      </c>
      <c r="W207" s="4">
        <v>45686</v>
      </c>
      <c r="X207" s="19">
        <f t="shared" si="57"/>
        <v>-20</v>
      </c>
      <c r="Y207" s="51">
        <f t="shared" si="58"/>
        <v>45691</v>
      </c>
      <c r="Z207" s="4">
        <v>45695</v>
      </c>
      <c r="AA207" s="49">
        <f t="shared" si="59"/>
        <v>-4</v>
      </c>
      <c r="AB207" s="51">
        <f t="shared" si="60"/>
        <v>45696</v>
      </c>
      <c r="AC207" s="49">
        <f t="shared" si="61"/>
        <v>1</v>
      </c>
      <c r="AD207" s="43">
        <f t="shared" si="62"/>
        <v>45696</v>
      </c>
      <c r="AE207" s="4">
        <v>45695</v>
      </c>
      <c r="AF207" s="19">
        <f t="shared" si="63"/>
        <v>1</v>
      </c>
      <c r="AG207" s="67"/>
      <c r="AH207" s="2"/>
      <c r="AI207" s="2"/>
      <c r="AJ207" s="2"/>
      <c r="AK207" s="2"/>
      <c r="AL207" s="2"/>
    </row>
    <row r="208" spans="1:38" ht="14.45">
      <c r="A208" s="156">
        <v>207</v>
      </c>
      <c r="B208" s="55">
        <v>45697</v>
      </c>
      <c r="C208" s="39" t="s">
        <v>403</v>
      </c>
      <c r="D208" s="14" t="s">
        <v>404</v>
      </c>
      <c r="E208" s="15">
        <v>378</v>
      </c>
      <c r="F208" s="14" t="s">
        <v>405</v>
      </c>
      <c r="G208" s="14" t="s">
        <v>406</v>
      </c>
      <c r="H208" s="14" t="s">
        <v>40</v>
      </c>
      <c r="I208" s="14" t="s">
        <v>41</v>
      </c>
      <c r="J208" s="97">
        <f t="shared" si="48"/>
        <v>45597</v>
      </c>
      <c r="L208" s="19" t="str">
        <f t="shared" si="49"/>
        <v/>
      </c>
      <c r="M208" s="5">
        <f t="shared" si="50"/>
        <v>45608</v>
      </c>
      <c r="O208" s="19" t="str">
        <f t="shared" si="51"/>
        <v/>
      </c>
      <c r="P208" s="5">
        <f t="shared" si="52"/>
        <v>45623</v>
      </c>
      <c r="Q208" s="4">
        <v>45632</v>
      </c>
      <c r="R208" s="19">
        <f t="shared" si="53"/>
        <v>-9</v>
      </c>
      <c r="S208" s="5">
        <f t="shared" si="54"/>
        <v>45628</v>
      </c>
      <c r="T208" s="4">
        <v>45632</v>
      </c>
      <c r="U208" s="19">
        <f t="shared" si="55"/>
        <v>-4</v>
      </c>
      <c r="V208" s="5">
        <f t="shared" si="56"/>
        <v>45667</v>
      </c>
      <c r="W208" s="4">
        <v>45632</v>
      </c>
      <c r="X208" s="19">
        <f t="shared" si="57"/>
        <v>35</v>
      </c>
      <c r="Y208" s="51">
        <f t="shared" si="58"/>
        <v>45692</v>
      </c>
      <c r="Z208" s="4">
        <v>45632</v>
      </c>
      <c r="AA208" s="49">
        <f t="shared" si="59"/>
        <v>60</v>
      </c>
      <c r="AB208" s="51">
        <f t="shared" si="60"/>
        <v>45697</v>
      </c>
      <c r="AC208" s="49">
        <f t="shared" si="61"/>
        <v>65</v>
      </c>
      <c r="AD208" s="43">
        <f t="shared" si="62"/>
        <v>45697</v>
      </c>
      <c r="AE208" s="4">
        <v>45632</v>
      </c>
      <c r="AF208" s="19">
        <f t="shared" si="63"/>
        <v>65</v>
      </c>
      <c r="AG208" s="67"/>
      <c r="AH208" s="2"/>
      <c r="AI208" s="2"/>
      <c r="AJ208" s="2"/>
      <c r="AK208" s="2"/>
      <c r="AL208" s="2"/>
    </row>
    <row r="209" spans="1:38" ht="14.45">
      <c r="A209" s="156">
        <v>208</v>
      </c>
      <c r="B209" s="55">
        <v>45697</v>
      </c>
      <c r="C209" s="39" t="s">
        <v>407</v>
      </c>
      <c r="D209" s="14" t="s">
        <v>404</v>
      </c>
      <c r="E209" s="15">
        <v>1345.27</v>
      </c>
      <c r="F209" s="14" t="s">
        <v>408</v>
      </c>
      <c r="G209" s="14" t="s">
        <v>190</v>
      </c>
      <c r="H209" s="14" t="s">
        <v>40</v>
      </c>
      <c r="I209" s="14" t="s">
        <v>93</v>
      </c>
      <c r="J209" s="97">
        <f t="shared" si="48"/>
        <v>45597</v>
      </c>
      <c r="L209" s="19" t="str">
        <f t="shared" si="49"/>
        <v/>
      </c>
      <c r="M209" s="5">
        <f t="shared" si="50"/>
        <v>45608</v>
      </c>
      <c r="O209" s="19" t="str">
        <f t="shared" si="51"/>
        <v/>
      </c>
      <c r="P209" s="5">
        <f t="shared" si="52"/>
        <v>45623</v>
      </c>
      <c r="Q209" s="4">
        <v>45632</v>
      </c>
      <c r="R209" s="19">
        <f t="shared" si="53"/>
        <v>-9</v>
      </c>
      <c r="S209" s="5">
        <f t="shared" si="54"/>
        <v>45628</v>
      </c>
      <c r="T209" s="4">
        <v>45632</v>
      </c>
      <c r="U209" s="19">
        <f t="shared" si="55"/>
        <v>-4</v>
      </c>
      <c r="V209" s="5">
        <f t="shared" si="56"/>
        <v>45667</v>
      </c>
      <c r="W209" s="4">
        <v>45997</v>
      </c>
      <c r="X209" s="19">
        <f t="shared" si="57"/>
        <v>-330</v>
      </c>
      <c r="Y209" s="51">
        <f t="shared" si="58"/>
        <v>45692</v>
      </c>
      <c r="Z209" s="4">
        <v>45632</v>
      </c>
      <c r="AA209" s="49">
        <f t="shared" si="59"/>
        <v>60</v>
      </c>
      <c r="AB209" s="51">
        <f t="shared" si="60"/>
        <v>45697</v>
      </c>
      <c r="AC209" s="49">
        <f t="shared" si="61"/>
        <v>65</v>
      </c>
      <c r="AD209" s="43">
        <f t="shared" si="62"/>
        <v>45697</v>
      </c>
      <c r="AE209" s="4">
        <v>45632</v>
      </c>
      <c r="AF209" s="19">
        <f t="shared" si="63"/>
        <v>65</v>
      </c>
      <c r="AG209" s="67"/>
      <c r="AH209" s="2"/>
      <c r="AI209" s="2"/>
      <c r="AJ209" s="2"/>
      <c r="AK209" s="2"/>
      <c r="AL209" s="2"/>
    </row>
    <row r="210" spans="1:38" ht="14.45">
      <c r="A210" s="156">
        <v>209</v>
      </c>
      <c r="B210" s="55">
        <v>45697</v>
      </c>
      <c r="C210" s="83" t="s">
        <v>409</v>
      </c>
      <c r="D210" s="14" t="s">
        <v>410</v>
      </c>
      <c r="E210" s="15">
        <v>3700.78</v>
      </c>
      <c r="F210" s="14" t="s">
        <v>411</v>
      </c>
      <c r="G210" s="14" t="s">
        <v>35</v>
      </c>
      <c r="H210" s="14" t="s">
        <v>40</v>
      </c>
      <c r="I210" s="14" t="s">
        <v>93</v>
      </c>
      <c r="J210" s="97">
        <f t="shared" si="48"/>
        <v>45597</v>
      </c>
      <c r="L210" s="19" t="str">
        <f t="shared" si="49"/>
        <v/>
      </c>
      <c r="M210" s="5">
        <f t="shared" si="50"/>
        <v>45608</v>
      </c>
      <c r="O210" s="19" t="str">
        <f t="shared" si="51"/>
        <v/>
      </c>
      <c r="P210" s="5">
        <f t="shared" si="52"/>
        <v>45623</v>
      </c>
      <c r="R210" s="19" t="str">
        <f t="shared" si="53"/>
        <v/>
      </c>
      <c r="S210" s="5">
        <f t="shared" si="54"/>
        <v>45628</v>
      </c>
      <c r="U210" s="19" t="str">
        <f t="shared" si="55"/>
        <v/>
      </c>
      <c r="V210" s="5">
        <f t="shared" si="56"/>
        <v>45667</v>
      </c>
      <c r="X210" s="19" t="str">
        <f t="shared" si="57"/>
        <v/>
      </c>
      <c r="Y210" s="51">
        <f t="shared" si="58"/>
        <v>45692</v>
      </c>
      <c r="AA210" s="49" t="str">
        <f t="shared" si="59"/>
        <v/>
      </c>
      <c r="AB210" s="51">
        <f t="shared" si="60"/>
        <v>45697</v>
      </c>
      <c r="AC210" s="49" t="str">
        <f t="shared" si="61"/>
        <v/>
      </c>
      <c r="AD210" s="43">
        <f t="shared" si="62"/>
        <v>45697</v>
      </c>
      <c r="AF210" s="19" t="str">
        <f t="shared" si="63"/>
        <v/>
      </c>
      <c r="AG210" s="67"/>
      <c r="AH210" s="2"/>
      <c r="AI210" s="2"/>
      <c r="AJ210" s="2"/>
      <c r="AK210" s="2"/>
      <c r="AL210" s="2"/>
    </row>
    <row r="211" spans="1:38" ht="14.45">
      <c r="A211" s="156">
        <v>210</v>
      </c>
      <c r="B211" s="55">
        <v>45698</v>
      </c>
      <c r="C211" s="39" t="s">
        <v>412</v>
      </c>
      <c r="D211" s="14" t="s">
        <v>38</v>
      </c>
      <c r="E211" s="15">
        <v>3936.7</v>
      </c>
      <c r="F211" s="14" t="s">
        <v>413</v>
      </c>
      <c r="G211" s="14" t="s">
        <v>190</v>
      </c>
      <c r="H211" s="14" t="s">
        <v>40</v>
      </c>
      <c r="I211" s="14" t="s">
        <v>41</v>
      </c>
      <c r="J211" s="97">
        <f t="shared" si="48"/>
        <v>45598</v>
      </c>
      <c r="L211" s="19" t="str">
        <f t="shared" si="49"/>
        <v/>
      </c>
      <c r="M211" s="5">
        <f t="shared" si="50"/>
        <v>45609</v>
      </c>
      <c r="N211" s="4">
        <v>45663</v>
      </c>
      <c r="O211" s="19">
        <f t="shared" si="51"/>
        <v>-54</v>
      </c>
      <c r="P211" s="5">
        <f t="shared" si="52"/>
        <v>45624</v>
      </c>
      <c r="Q211" s="4">
        <v>45673</v>
      </c>
      <c r="R211" s="19">
        <f t="shared" si="53"/>
        <v>-49</v>
      </c>
      <c r="S211" s="5">
        <f t="shared" si="54"/>
        <v>45629</v>
      </c>
      <c r="T211" s="4">
        <v>45674</v>
      </c>
      <c r="U211" s="19">
        <f t="shared" si="55"/>
        <v>-45</v>
      </c>
      <c r="V211" s="5">
        <f t="shared" si="56"/>
        <v>45668</v>
      </c>
      <c r="W211" s="4">
        <v>45674</v>
      </c>
      <c r="X211" s="19">
        <f t="shared" si="57"/>
        <v>-6</v>
      </c>
      <c r="Y211" s="51">
        <f t="shared" si="58"/>
        <v>45693</v>
      </c>
      <c r="Z211" s="4">
        <v>45686</v>
      </c>
      <c r="AA211" s="49">
        <f t="shared" si="59"/>
        <v>7</v>
      </c>
      <c r="AB211" s="51">
        <f t="shared" si="60"/>
        <v>45698</v>
      </c>
      <c r="AC211" s="49">
        <f t="shared" si="61"/>
        <v>12</v>
      </c>
      <c r="AD211" s="43">
        <f t="shared" si="62"/>
        <v>45698</v>
      </c>
      <c r="AE211" s="4">
        <v>45686</v>
      </c>
      <c r="AF211" s="19">
        <f t="shared" si="63"/>
        <v>12</v>
      </c>
      <c r="AG211" s="67"/>
      <c r="AH211" s="2"/>
      <c r="AI211" s="2"/>
      <c r="AJ211" s="2"/>
      <c r="AK211" s="2"/>
      <c r="AL211" s="2"/>
    </row>
    <row r="212" spans="1:38" ht="14.45">
      <c r="A212" s="156">
        <v>211</v>
      </c>
      <c r="B212" s="55">
        <v>45698</v>
      </c>
      <c r="C212" s="33" t="s">
        <v>414</v>
      </c>
      <c r="D212" s="14" t="s">
        <v>113</v>
      </c>
      <c r="E212" s="15">
        <v>3699.19</v>
      </c>
      <c r="F212" s="14" t="s">
        <v>415</v>
      </c>
      <c r="G212" s="14" t="s">
        <v>35</v>
      </c>
      <c r="H212" s="14" t="s">
        <v>40</v>
      </c>
      <c r="I212" s="14" t="s">
        <v>41</v>
      </c>
      <c r="J212" s="97">
        <f t="shared" si="48"/>
        <v>45598</v>
      </c>
      <c r="L212" s="19" t="str">
        <f t="shared" si="49"/>
        <v/>
      </c>
      <c r="M212" s="5">
        <f t="shared" si="50"/>
        <v>45609</v>
      </c>
      <c r="O212" s="19" t="str">
        <f t="shared" si="51"/>
        <v/>
      </c>
      <c r="P212" s="5">
        <f t="shared" si="52"/>
        <v>45624</v>
      </c>
      <c r="R212" s="19" t="str">
        <f t="shared" si="53"/>
        <v/>
      </c>
      <c r="S212" s="5">
        <f t="shared" si="54"/>
        <v>45629</v>
      </c>
      <c r="U212" s="19" t="str">
        <f t="shared" si="55"/>
        <v/>
      </c>
      <c r="V212" s="5">
        <f t="shared" si="56"/>
        <v>45668</v>
      </c>
      <c r="W212" s="4">
        <v>45666</v>
      </c>
      <c r="X212" s="19">
        <f t="shared" si="57"/>
        <v>2</v>
      </c>
      <c r="Y212" s="51">
        <f t="shared" si="58"/>
        <v>45693</v>
      </c>
      <c r="AA212" s="49" t="str">
        <f t="shared" si="59"/>
        <v/>
      </c>
      <c r="AB212" s="51">
        <f t="shared" si="60"/>
        <v>45698</v>
      </c>
      <c r="AC212" s="49" t="str">
        <f t="shared" si="61"/>
        <v/>
      </c>
      <c r="AD212" s="43">
        <f t="shared" si="62"/>
        <v>45698</v>
      </c>
      <c r="AF212" s="19" t="str">
        <f t="shared" si="63"/>
        <v/>
      </c>
      <c r="AG212" s="67"/>
      <c r="AH212" s="2"/>
      <c r="AI212" s="2"/>
      <c r="AJ212" s="2"/>
      <c r="AK212" s="2"/>
      <c r="AL212" s="2"/>
    </row>
    <row r="213" spans="1:38" ht="14.45">
      <c r="A213" s="156">
        <v>212</v>
      </c>
      <c r="B213" s="55">
        <v>45699</v>
      </c>
      <c r="C213" s="39" t="s">
        <v>416</v>
      </c>
      <c r="D213" s="14" t="s">
        <v>417</v>
      </c>
      <c r="E213" s="15">
        <v>44140.68</v>
      </c>
      <c r="F213" s="14" t="s">
        <v>418</v>
      </c>
      <c r="G213" s="14" t="s">
        <v>190</v>
      </c>
      <c r="H213" s="14" t="s">
        <v>36</v>
      </c>
      <c r="I213" s="14" t="s">
        <v>93</v>
      </c>
      <c r="J213" s="97">
        <f t="shared" si="48"/>
        <v>45599</v>
      </c>
      <c r="L213" s="19" t="str">
        <f t="shared" si="49"/>
        <v/>
      </c>
      <c r="M213" s="5">
        <f t="shared" si="50"/>
        <v>45610</v>
      </c>
      <c r="O213" s="19" t="str">
        <f t="shared" si="51"/>
        <v/>
      </c>
      <c r="P213" s="5">
        <f t="shared" si="52"/>
        <v>45625</v>
      </c>
      <c r="R213" s="19" t="str">
        <f t="shared" si="53"/>
        <v/>
      </c>
      <c r="S213" s="5">
        <f t="shared" si="54"/>
        <v>45630</v>
      </c>
      <c r="T213" s="4">
        <v>45652</v>
      </c>
      <c r="U213" s="19">
        <f t="shared" si="55"/>
        <v>-22</v>
      </c>
      <c r="V213" s="5">
        <f t="shared" si="56"/>
        <v>45669</v>
      </c>
      <c r="W213" s="4">
        <v>45672</v>
      </c>
      <c r="X213" s="19">
        <f t="shared" si="57"/>
        <v>-3</v>
      </c>
      <c r="Y213" s="51">
        <f t="shared" si="58"/>
        <v>45694</v>
      </c>
      <c r="Z213" s="4">
        <v>45695</v>
      </c>
      <c r="AA213" s="49">
        <f t="shared" si="59"/>
        <v>-1</v>
      </c>
      <c r="AB213" s="51">
        <f t="shared" si="60"/>
        <v>45699</v>
      </c>
      <c r="AC213" s="49">
        <f t="shared" si="61"/>
        <v>4</v>
      </c>
      <c r="AD213" s="43">
        <f t="shared" si="62"/>
        <v>45699</v>
      </c>
      <c r="AE213" s="4">
        <v>45695</v>
      </c>
      <c r="AF213" s="19">
        <f t="shared" si="63"/>
        <v>4</v>
      </c>
      <c r="AG213" s="67"/>
      <c r="AH213" s="2"/>
      <c r="AI213" s="2"/>
      <c r="AJ213" s="2"/>
      <c r="AK213" s="2"/>
      <c r="AL213" s="2"/>
    </row>
    <row r="214" spans="1:38" ht="14.45">
      <c r="A214" s="156">
        <v>213</v>
      </c>
      <c r="B214" s="55">
        <v>45699</v>
      </c>
      <c r="C214" s="83" t="s">
        <v>419</v>
      </c>
      <c r="D214" s="14" t="s">
        <v>420</v>
      </c>
      <c r="E214" s="15">
        <v>7919.21</v>
      </c>
      <c r="F214" s="14" t="s">
        <v>421</v>
      </c>
      <c r="G214" s="14" t="s">
        <v>35</v>
      </c>
      <c r="H214" s="14" t="s">
        <v>36</v>
      </c>
      <c r="I214" s="14" t="s">
        <v>62</v>
      </c>
      <c r="J214" s="97">
        <f t="shared" si="48"/>
        <v>45599</v>
      </c>
      <c r="L214" s="19" t="str">
        <f t="shared" si="49"/>
        <v/>
      </c>
      <c r="M214" s="5">
        <f t="shared" si="50"/>
        <v>45610</v>
      </c>
      <c r="O214" s="19" t="str">
        <f t="shared" si="51"/>
        <v/>
      </c>
      <c r="P214" s="5">
        <f t="shared" si="52"/>
        <v>45625</v>
      </c>
      <c r="R214" s="19" t="str">
        <f t="shared" si="53"/>
        <v/>
      </c>
      <c r="S214" s="5">
        <f t="shared" si="54"/>
        <v>45630</v>
      </c>
      <c r="U214" s="19" t="str">
        <f t="shared" si="55"/>
        <v/>
      </c>
      <c r="V214" s="5">
        <f t="shared" si="56"/>
        <v>45669</v>
      </c>
      <c r="W214" s="4">
        <v>45666</v>
      </c>
      <c r="X214" s="19">
        <f t="shared" si="57"/>
        <v>3</v>
      </c>
      <c r="Y214" s="51">
        <f t="shared" si="58"/>
        <v>45694</v>
      </c>
      <c r="AA214" s="49" t="str">
        <f t="shared" si="59"/>
        <v/>
      </c>
      <c r="AB214" s="51">
        <f t="shared" si="60"/>
        <v>45699</v>
      </c>
      <c r="AC214" s="49" t="str">
        <f t="shared" si="61"/>
        <v/>
      </c>
      <c r="AD214" s="43">
        <f t="shared" si="62"/>
        <v>45699</v>
      </c>
      <c r="AF214" s="19" t="str">
        <f t="shared" si="63"/>
        <v/>
      </c>
      <c r="AG214" s="67"/>
      <c r="AH214" s="2"/>
      <c r="AI214" s="2"/>
      <c r="AJ214" s="2"/>
      <c r="AK214" s="2"/>
      <c r="AL214" s="2"/>
    </row>
    <row r="215" spans="1:38" ht="14.45">
      <c r="A215" s="156">
        <v>214</v>
      </c>
      <c r="B215" s="55">
        <v>45700</v>
      </c>
      <c r="C215" s="83" t="s">
        <v>422</v>
      </c>
      <c r="D215" s="14" t="s">
        <v>423</v>
      </c>
      <c r="E215" s="15">
        <v>627.16</v>
      </c>
      <c r="F215" s="14" t="s">
        <v>424</v>
      </c>
      <c r="G215" s="14" t="s">
        <v>35</v>
      </c>
      <c r="H215" s="14" t="s">
        <v>40</v>
      </c>
      <c r="I215" s="14" t="s">
        <v>93</v>
      </c>
      <c r="J215" s="97">
        <f t="shared" si="48"/>
        <v>45600</v>
      </c>
      <c r="L215" s="19" t="str">
        <f t="shared" si="49"/>
        <v/>
      </c>
      <c r="M215" s="5">
        <f t="shared" si="50"/>
        <v>45611</v>
      </c>
      <c r="O215" s="19" t="str">
        <f t="shared" si="51"/>
        <v/>
      </c>
      <c r="P215" s="5">
        <f t="shared" si="52"/>
        <v>45626</v>
      </c>
      <c r="R215" s="19" t="str">
        <f t="shared" si="53"/>
        <v/>
      </c>
      <c r="S215" s="5">
        <f t="shared" si="54"/>
        <v>45631</v>
      </c>
      <c r="U215" s="19" t="str">
        <f t="shared" si="55"/>
        <v/>
      </c>
      <c r="V215" s="5">
        <f t="shared" si="56"/>
        <v>45670</v>
      </c>
      <c r="W215" s="4">
        <v>45685</v>
      </c>
      <c r="X215" s="19">
        <f t="shared" si="57"/>
        <v>-15</v>
      </c>
      <c r="Y215" s="51">
        <f t="shared" si="58"/>
        <v>45695</v>
      </c>
      <c r="Z215" s="4">
        <v>45698</v>
      </c>
      <c r="AA215" s="49">
        <f t="shared" si="59"/>
        <v>-3</v>
      </c>
      <c r="AB215" s="51">
        <f t="shared" si="60"/>
        <v>45700</v>
      </c>
      <c r="AC215" s="49">
        <f t="shared" si="61"/>
        <v>2</v>
      </c>
      <c r="AD215" s="43">
        <f t="shared" si="62"/>
        <v>45700</v>
      </c>
      <c r="AE215" s="4">
        <v>45698</v>
      </c>
      <c r="AF215" s="19">
        <f t="shared" si="63"/>
        <v>2</v>
      </c>
      <c r="AG215" s="67"/>
      <c r="AH215" s="2"/>
      <c r="AI215" s="2"/>
      <c r="AJ215" s="2"/>
      <c r="AK215" s="2"/>
      <c r="AL215" s="2"/>
    </row>
    <row r="216" spans="1:38" ht="14.45">
      <c r="A216" s="156">
        <v>215</v>
      </c>
      <c r="B216" s="55">
        <v>45700</v>
      </c>
      <c r="C216" s="83" t="s">
        <v>425</v>
      </c>
      <c r="D216" s="14" t="s">
        <v>426</v>
      </c>
      <c r="E216" s="15">
        <v>10656.83</v>
      </c>
      <c r="F216" s="14" t="s">
        <v>427</v>
      </c>
      <c r="G216" s="14" t="s">
        <v>35</v>
      </c>
      <c r="H216" s="14" t="s">
        <v>36</v>
      </c>
      <c r="I216" s="14" t="s">
        <v>428</v>
      </c>
      <c r="J216" s="97">
        <f t="shared" si="48"/>
        <v>45600</v>
      </c>
      <c r="L216" s="19" t="str">
        <f t="shared" si="49"/>
        <v/>
      </c>
      <c r="M216" s="5">
        <f t="shared" si="50"/>
        <v>45611</v>
      </c>
      <c r="O216" s="19" t="str">
        <f t="shared" si="51"/>
        <v/>
      </c>
      <c r="P216" s="5">
        <f t="shared" si="52"/>
        <v>45626</v>
      </c>
      <c r="R216" s="19" t="str">
        <f t="shared" si="53"/>
        <v/>
      </c>
      <c r="S216" s="5">
        <f t="shared" si="54"/>
        <v>45631</v>
      </c>
      <c r="U216" s="19" t="str">
        <f t="shared" si="55"/>
        <v/>
      </c>
      <c r="V216" s="5">
        <f t="shared" si="56"/>
        <v>45670</v>
      </c>
      <c r="W216" s="4">
        <v>45685</v>
      </c>
      <c r="X216" s="19">
        <f t="shared" si="57"/>
        <v>-15</v>
      </c>
      <c r="Y216" s="51">
        <f t="shared" si="58"/>
        <v>45695</v>
      </c>
      <c r="Z216" s="4">
        <v>45702</v>
      </c>
      <c r="AA216" s="49">
        <f t="shared" si="59"/>
        <v>-7</v>
      </c>
      <c r="AB216" s="51">
        <f t="shared" si="60"/>
        <v>45700</v>
      </c>
      <c r="AC216" s="49">
        <f t="shared" si="61"/>
        <v>-2</v>
      </c>
      <c r="AD216" s="43">
        <f t="shared" si="62"/>
        <v>45700</v>
      </c>
      <c r="AE216" s="4">
        <v>45702</v>
      </c>
      <c r="AF216" s="19">
        <f t="shared" si="63"/>
        <v>-2</v>
      </c>
      <c r="AG216" s="67"/>
      <c r="AH216" s="2"/>
      <c r="AI216" s="2"/>
      <c r="AJ216" s="2"/>
      <c r="AK216" s="2"/>
      <c r="AL216" s="2"/>
    </row>
    <row r="217" spans="1:38" ht="14.45">
      <c r="A217" s="156">
        <v>216</v>
      </c>
      <c r="B217" s="55">
        <v>45701</v>
      </c>
      <c r="C217" s="39" t="s">
        <v>429</v>
      </c>
      <c r="D217" s="14" t="s">
        <v>38</v>
      </c>
      <c r="E217" s="15">
        <v>149.53</v>
      </c>
      <c r="F217" s="14" t="s">
        <v>430</v>
      </c>
      <c r="G217" s="14" t="s">
        <v>190</v>
      </c>
      <c r="H217" s="14" t="s">
        <v>40</v>
      </c>
      <c r="I217" s="14" t="s">
        <v>41</v>
      </c>
      <c r="J217" s="97">
        <f t="shared" si="48"/>
        <v>45601</v>
      </c>
      <c r="L217" s="19" t="str">
        <f t="shared" si="49"/>
        <v/>
      </c>
      <c r="M217" s="5">
        <f t="shared" si="50"/>
        <v>45612</v>
      </c>
      <c r="N217" s="4">
        <v>45663</v>
      </c>
      <c r="O217" s="19">
        <f t="shared" si="51"/>
        <v>-51</v>
      </c>
      <c r="P217" s="5">
        <f t="shared" si="52"/>
        <v>45627</v>
      </c>
      <c r="Q217" s="4">
        <v>45673</v>
      </c>
      <c r="R217" s="19">
        <f t="shared" si="53"/>
        <v>-46</v>
      </c>
      <c r="S217" s="5">
        <f t="shared" si="54"/>
        <v>45632</v>
      </c>
      <c r="T217" s="4">
        <v>45674</v>
      </c>
      <c r="U217" s="19">
        <f t="shared" si="55"/>
        <v>-42</v>
      </c>
      <c r="V217" s="5">
        <f t="shared" si="56"/>
        <v>45671</v>
      </c>
      <c r="W217" s="4">
        <v>45674</v>
      </c>
      <c r="X217" s="19">
        <f t="shared" si="57"/>
        <v>-3</v>
      </c>
      <c r="Y217" s="51">
        <f t="shared" si="58"/>
        <v>45696</v>
      </c>
      <c r="Z217" s="4">
        <v>45686</v>
      </c>
      <c r="AA217" s="49">
        <f t="shared" si="59"/>
        <v>10</v>
      </c>
      <c r="AB217" s="51">
        <f t="shared" si="60"/>
        <v>45701</v>
      </c>
      <c r="AC217" s="49">
        <f t="shared" si="61"/>
        <v>15</v>
      </c>
      <c r="AD217" s="43">
        <f t="shared" si="62"/>
        <v>45701</v>
      </c>
      <c r="AE217" s="4">
        <v>45686</v>
      </c>
      <c r="AF217" s="19">
        <f t="shared" si="63"/>
        <v>15</v>
      </c>
      <c r="AG217" s="67"/>
      <c r="AH217" s="2"/>
      <c r="AI217" s="2"/>
      <c r="AJ217" s="2"/>
      <c r="AK217" s="2"/>
      <c r="AL217" s="2"/>
    </row>
    <row r="218" spans="1:38" ht="14.45">
      <c r="A218" s="156">
        <v>217</v>
      </c>
      <c r="B218" s="58">
        <v>45702</v>
      </c>
      <c r="C218" s="39" t="s">
        <v>431</v>
      </c>
      <c r="D218" s="14" t="s">
        <v>38</v>
      </c>
      <c r="E218" s="22"/>
      <c r="F218" s="14" t="s">
        <v>432</v>
      </c>
      <c r="G218" s="14" t="s">
        <v>190</v>
      </c>
      <c r="H218" s="14" t="s">
        <v>40</v>
      </c>
      <c r="I218" s="14" t="s">
        <v>41</v>
      </c>
      <c r="J218" s="97">
        <f t="shared" si="48"/>
        <v>45602</v>
      </c>
      <c r="L218" s="19" t="str">
        <f t="shared" si="49"/>
        <v/>
      </c>
      <c r="M218" s="5">
        <f t="shared" si="50"/>
        <v>45613</v>
      </c>
      <c r="N218" s="4">
        <v>45663</v>
      </c>
      <c r="O218" s="19">
        <f t="shared" si="51"/>
        <v>-50</v>
      </c>
      <c r="P218" s="5">
        <f t="shared" si="52"/>
        <v>45628</v>
      </c>
      <c r="Q218" s="4">
        <v>45673</v>
      </c>
      <c r="R218" s="19">
        <f t="shared" si="53"/>
        <v>-45</v>
      </c>
      <c r="S218" s="5">
        <f t="shared" si="54"/>
        <v>45633</v>
      </c>
      <c r="T218" s="4">
        <v>45674</v>
      </c>
      <c r="U218" s="19">
        <f t="shared" si="55"/>
        <v>-41</v>
      </c>
      <c r="V218" s="5">
        <f t="shared" si="56"/>
        <v>45672</v>
      </c>
      <c r="W218" s="4">
        <v>45674</v>
      </c>
      <c r="X218" s="19">
        <f t="shared" si="57"/>
        <v>-2</v>
      </c>
      <c r="Y218" s="51">
        <f t="shared" si="58"/>
        <v>45697</v>
      </c>
      <c r="Z218" s="4">
        <v>45692</v>
      </c>
      <c r="AA218" s="49">
        <f t="shared" si="59"/>
        <v>5</v>
      </c>
      <c r="AB218" s="51">
        <f t="shared" si="60"/>
        <v>45702</v>
      </c>
      <c r="AC218" s="49">
        <f t="shared" si="61"/>
        <v>10</v>
      </c>
      <c r="AD218" s="43">
        <f t="shared" si="62"/>
        <v>45702</v>
      </c>
      <c r="AE218" s="4">
        <v>45692</v>
      </c>
      <c r="AF218" s="19">
        <f t="shared" si="63"/>
        <v>10</v>
      </c>
      <c r="AG218" s="67"/>
      <c r="AH218" s="2"/>
      <c r="AI218" s="2"/>
      <c r="AJ218" s="2"/>
      <c r="AK218" s="2"/>
      <c r="AL218" s="2"/>
    </row>
    <row r="219" spans="1:38" ht="14.45">
      <c r="A219" s="156">
        <v>218</v>
      </c>
      <c r="B219" s="55">
        <v>45704</v>
      </c>
      <c r="C219" s="39" t="s">
        <v>433</v>
      </c>
      <c r="D219" s="14" t="s">
        <v>434</v>
      </c>
      <c r="E219" s="15">
        <v>14915.03</v>
      </c>
      <c r="F219" s="14" t="s">
        <v>435</v>
      </c>
      <c r="G219" s="14" t="s">
        <v>190</v>
      </c>
      <c r="H219" s="14" t="s">
        <v>40</v>
      </c>
      <c r="I219" s="14" t="s">
        <v>93</v>
      </c>
      <c r="J219" s="97">
        <f t="shared" si="48"/>
        <v>45604</v>
      </c>
      <c r="K219" s="4">
        <v>45625</v>
      </c>
      <c r="L219" s="19">
        <f t="shared" si="49"/>
        <v>-21</v>
      </c>
      <c r="M219" s="5">
        <f t="shared" si="50"/>
        <v>45615</v>
      </c>
      <c r="O219" s="19" t="str">
        <f t="shared" si="51"/>
        <v/>
      </c>
      <c r="P219" s="5">
        <f t="shared" si="52"/>
        <v>45630</v>
      </c>
      <c r="R219" s="19" t="str">
        <f t="shared" si="53"/>
        <v/>
      </c>
      <c r="S219" s="5">
        <f t="shared" si="54"/>
        <v>45635</v>
      </c>
      <c r="T219" s="4">
        <v>45665</v>
      </c>
      <c r="U219" s="19">
        <f t="shared" si="55"/>
        <v>-30</v>
      </c>
      <c r="V219" s="5">
        <f t="shared" si="56"/>
        <v>45674</v>
      </c>
      <c r="W219" s="4">
        <v>45678</v>
      </c>
      <c r="X219" s="19">
        <f t="shared" si="57"/>
        <v>-4</v>
      </c>
      <c r="Y219" s="51">
        <f t="shared" si="58"/>
        <v>45699</v>
      </c>
      <c r="Z219" s="4">
        <v>45701</v>
      </c>
      <c r="AA219" s="49">
        <f t="shared" si="59"/>
        <v>-2</v>
      </c>
      <c r="AB219" s="51">
        <f t="shared" si="60"/>
        <v>45704</v>
      </c>
      <c r="AC219" s="49">
        <f t="shared" si="61"/>
        <v>3</v>
      </c>
      <c r="AD219" s="43">
        <f t="shared" si="62"/>
        <v>45704</v>
      </c>
      <c r="AE219" s="4">
        <v>45701</v>
      </c>
      <c r="AF219" s="19">
        <f t="shared" si="63"/>
        <v>3</v>
      </c>
      <c r="AG219" s="67"/>
      <c r="AH219" s="2"/>
      <c r="AI219" s="2"/>
      <c r="AJ219" s="2"/>
      <c r="AK219" s="2"/>
      <c r="AL219" s="2"/>
    </row>
    <row r="220" spans="1:38" ht="14.45">
      <c r="A220" s="156">
        <v>219</v>
      </c>
      <c r="B220" s="55">
        <v>45704</v>
      </c>
      <c r="C220" s="76" t="s">
        <v>436</v>
      </c>
      <c r="D220" s="14" t="s">
        <v>321</v>
      </c>
      <c r="E220" s="15">
        <v>44505</v>
      </c>
      <c r="F220" s="14" t="s">
        <v>437</v>
      </c>
      <c r="G220" s="14" t="s">
        <v>46</v>
      </c>
      <c r="H220" s="14" t="s">
        <v>40</v>
      </c>
      <c r="I220" s="14" t="s">
        <v>323</v>
      </c>
      <c r="J220" s="97">
        <f t="shared" si="48"/>
        <v>45604</v>
      </c>
      <c r="K220" s="4">
        <v>45611</v>
      </c>
      <c r="L220" s="19">
        <f t="shared" si="49"/>
        <v>-7</v>
      </c>
      <c r="M220" s="5">
        <f t="shared" si="50"/>
        <v>45615</v>
      </c>
      <c r="N220" s="4">
        <v>45664</v>
      </c>
      <c r="O220" s="19">
        <f t="shared" si="51"/>
        <v>-49</v>
      </c>
      <c r="P220" s="5">
        <f t="shared" si="52"/>
        <v>45630</v>
      </c>
      <c r="Q220" s="4">
        <v>45665</v>
      </c>
      <c r="R220" s="19">
        <f t="shared" si="53"/>
        <v>-35</v>
      </c>
      <c r="S220" s="5">
        <f t="shared" si="54"/>
        <v>45635</v>
      </c>
      <c r="T220" s="4">
        <v>45663</v>
      </c>
      <c r="U220" s="19">
        <f t="shared" si="55"/>
        <v>-28</v>
      </c>
      <c r="V220" s="5">
        <f t="shared" si="56"/>
        <v>45674</v>
      </c>
      <c r="W220" s="4">
        <v>45674</v>
      </c>
      <c r="X220" s="19">
        <f t="shared" si="57"/>
        <v>0</v>
      </c>
      <c r="Y220" s="51">
        <f t="shared" si="58"/>
        <v>45699</v>
      </c>
      <c r="Z220" s="4">
        <v>45699</v>
      </c>
      <c r="AA220" s="49">
        <f t="shared" si="59"/>
        <v>0</v>
      </c>
      <c r="AB220" s="51">
        <f t="shared" si="60"/>
        <v>45704</v>
      </c>
      <c r="AC220" s="49">
        <f t="shared" si="61"/>
        <v>5</v>
      </c>
      <c r="AD220" s="43">
        <f t="shared" si="62"/>
        <v>45704</v>
      </c>
      <c r="AE220" s="4">
        <v>45699</v>
      </c>
      <c r="AF220" s="19">
        <f t="shared" si="63"/>
        <v>5</v>
      </c>
      <c r="AG220" s="67"/>
      <c r="AH220" s="2"/>
      <c r="AI220" s="2"/>
      <c r="AJ220" s="2"/>
      <c r="AK220" s="2"/>
      <c r="AL220" s="2"/>
    </row>
    <row r="221" spans="1:38" ht="14.45">
      <c r="A221" s="156">
        <v>220</v>
      </c>
      <c r="B221" s="55">
        <v>45705</v>
      </c>
      <c r="C221" s="39" t="s">
        <v>438</v>
      </c>
      <c r="D221" s="14" t="s">
        <v>38</v>
      </c>
      <c r="E221" s="15">
        <v>677.81</v>
      </c>
      <c r="F221" s="14" t="s">
        <v>439</v>
      </c>
      <c r="G221" s="14" t="s">
        <v>190</v>
      </c>
      <c r="H221" s="14" t="s">
        <v>40</v>
      </c>
      <c r="I221" s="14" t="s">
        <v>41</v>
      </c>
      <c r="J221" s="97">
        <f t="shared" si="48"/>
        <v>45605</v>
      </c>
      <c r="L221" s="19" t="str">
        <f t="shared" si="49"/>
        <v/>
      </c>
      <c r="M221" s="5">
        <f t="shared" si="50"/>
        <v>45616</v>
      </c>
      <c r="N221" s="4">
        <v>45663</v>
      </c>
      <c r="O221" s="19">
        <f t="shared" si="51"/>
        <v>-47</v>
      </c>
      <c r="P221" s="5">
        <f t="shared" si="52"/>
        <v>45631</v>
      </c>
      <c r="Q221" s="4">
        <v>45673</v>
      </c>
      <c r="R221" s="19">
        <f t="shared" si="53"/>
        <v>-42</v>
      </c>
      <c r="S221" s="5">
        <f t="shared" si="54"/>
        <v>45636</v>
      </c>
      <c r="T221" s="4">
        <v>45674</v>
      </c>
      <c r="U221" s="19">
        <f t="shared" si="55"/>
        <v>-38</v>
      </c>
      <c r="V221" s="5">
        <f t="shared" si="56"/>
        <v>45675</v>
      </c>
      <c r="W221" s="4">
        <v>45674</v>
      </c>
      <c r="X221" s="19">
        <f t="shared" si="57"/>
        <v>1</v>
      </c>
      <c r="Y221" s="51">
        <f t="shared" si="58"/>
        <v>45700</v>
      </c>
      <c r="Z221" s="4">
        <v>45686</v>
      </c>
      <c r="AA221" s="49">
        <f t="shared" si="59"/>
        <v>14</v>
      </c>
      <c r="AB221" s="51">
        <f t="shared" si="60"/>
        <v>45705</v>
      </c>
      <c r="AC221" s="49">
        <f t="shared" si="61"/>
        <v>19</v>
      </c>
      <c r="AD221" s="43">
        <f t="shared" si="62"/>
        <v>45705</v>
      </c>
      <c r="AE221" s="4">
        <v>45686</v>
      </c>
      <c r="AF221" s="19">
        <f t="shared" si="63"/>
        <v>19</v>
      </c>
      <c r="AG221" s="67"/>
      <c r="AH221" s="2"/>
      <c r="AI221" s="2"/>
      <c r="AJ221" s="2"/>
      <c r="AK221" s="2"/>
      <c r="AL221" s="2"/>
    </row>
    <row r="222" spans="1:38" ht="14.45">
      <c r="A222" s="156">
        <v>221</v>
      </c>
      <c r="B222" s="55">
        <v>45705</v>
      </c>
      <c r="C222" s="76" t="s">
        <v>440</v>
      </c>
      <c r="D222" s="14" t="s">
        <v>441</v>
      </c>
      <c r="E222" s="15">
        <v>18900</v>
      </c>
      <c r="F222" s="14" t="s">
        <v>442</v>
      </c>
      <c r="G222" s="14" t="s">
        <v>46</v>
      </c>
      <c r="H222" s="14" t="s">
        <v>36</v>
      </c>
      <c r="I222" s="14" t="s">
        <v>443</v>
      </c>
      <c r="J222" s="97">
        <f t="shared" si="48"/>
        <v>45605</v>
      </c>
      <c r="K222" s="4">
        <v>45611</v>
      </c>
      <c r="L222" s="19">
        <f t="shared" si="49"/>
        <v>-6</v>
      </c>
      <c r="M222" s="5">
        <f t="shared" si="50"/>
        <v>45616</v>
      </c>
      <c r="N222" s="4">
        <v>45668</v>
      </c>
      <c r="O222" s="19">
        <f t="shared" si="51"/>
        <v>-52</v>
      </c>
      <c r="P222" s="5">
        <f t="shared" si="52"/>
        <v>45631</v>
      </c>
      <c r="Q222" s="4">
        <v>45674</v>
      </c>
      <c r="R222" s="19">
        <f t="shared" si="53"/>
        <v>-43</v>
      </c>
      <c r="S222" s="5">
        <f t="shared" si="54"/>
        <v>45636</v>
      </c>
      <c r="T222" s="4">
        <v>45665</v>
      </c>
      <c r="U222" s="19">
        <f t="shared" si="55"/>
        <v>-29</v>
      </c>
      <c r="V222" s="5">
        <f t="shared" si="56"/>
        <v>45675</v>
      </c>
      <c r="W222" s="4">
        <v>45674</v>
      </c>
      <c r="X222" s="19">
        <f t="shared" si="57"/>
        <v>1</v>
      </c>
      <c r="Y222" s="51">
        <f t="shared" si="58"/>
        <v>45700</v>
      </c>
      <c r="Z222" s="4">
        <v>45687</v>
      </c>
      <c r="AA222" s="49">
        <f t="shared" si="59"/>
        <v>13</v>
      </c>
      <c r="AB222" s="51">
        <f t="shared" si="60"/>
        <v>45705</v>
      </c>
      <c r="AC222" s="49">
        <f t="shared" si="61"/>
        <v>18</v>
      </c>
      <c r="AD222" s="43">
        <f t="shared" si="62"/>
        <v>45705</v>
      </c>
      <c r="AE222" s="4">
        <v>45687</v>
      </c>
      <c r="AF222" s="19">
        <f t="shared" si="63"/>
        <v>18</v>
      </c>
      <c r="AG222" s="67"/>
      <c r="AH222" s="2"/>
      <c r="AI222" s="2"/>
      <c r="AJ222" s="2"/>
      <c r="AK222" s="2"/>
      <c r="AL222" s="2"/>
    </row>
    <row r="223" spans="1:38" ht="14.45">
      <c r="A223" s="156">
        <v>222</v>
      </c>
      <c r="B223" s="55">
        <v>45708</v>
      </c>
      <c r="C223" s="39" t="s">
        <v>444</v>
      </c>
      <c r="D223" s="14" t="s">
        <v>38</v>
      </c>
      <c r="E223" s="15">
        <v>4890.6000000000004</v>
      </c>
      <c r="F223" s="14" t="s">
        <v>445</v>
      </c>
      <c r="G223" s="14" t="s">
        <v>190</v>
      </c>
      <c r="H223" s="14" t="s">
        <v>40</v>
      </c>
      <c r="I223" s="14" t="s">
        <v>41</v>
      </c>
      <c r="J223" s="97">
        <f t="shared" si="48"/>
        <v>45608</v>
      </c>
      <c r="L223" s="19" t="str">
        <f t="shared" si="49"/>
        <v/>
      </c>
      <c r="M223" s="5">
        <f t="shared" si="50"/>
        <v>45619</v>
      </c>
      <c r="N223" s="4">
        <v>45663</v>
      </c>
      <c r="O223" s="19">
        <f t="shared" si="51"/>
        <v>-44</v>
      </c>
      <c r="P223" s="5">
        <f t="shared" si="52"/>
        <v>45634</v>
      </c>
      <c r="Q223" s="4">
        <v>45673</v>
      </c>
      <c r="R223" s="19">
        <f t="shared" si="53"/>
        <v>-39</v>
      </c>
      <c r="S223" s="5">
        <f t="shared" si="54"/>
        <v>45639</v>
      </c>
      <c r="T223" s="4">
        <v>45674</v>
      </c>
      <c r="U223" s="19">
        <f t="shared" si="55"/>
        <v>-35</v>
      </c>
      <c r="V223" s="5">
        <f t="shared" si="56"/>
        <v>45678</v>
      </c>
      <c r="W223" s="4">
        <v>45674</v>
      </c>
      <c r="X223" s="19">
        <f t="shared" si="57"/>
        <v>4</v>
      </c>
      <c r="Y223" s="51">
        <f t="shared" si="58"/>
        <v>45703</v>
      </c>
      <c r="Z223" s="4">
        <v>45686</v>
      </c>
      <c r="AA223" s="49">
        <f t="shared" si="59"/>
        <v>17</v>
      </c>
      <c r="AB223" s="51">
        <f t="shared" si="60"/>
        <v>45708</v>
      </c>
      <c r="AC223" s="49">
        <f t="shared" si="61"/>
        <v>22</v>
      </c>
      <c r="AD223" s="43">
        <f t="shared" si="62"/>
        <v>45708</v>
      </c>
      <c r="AE223" s="4">
        <v>45686</v>
      </c>
      <c r="AF223" s="19">
        <f t="shared" si="63"/>
        <v>22</v>
      </c>
      <c r="AG223" s="67"/>
      <c r="AH223" s="2"/>
      <c r="AI223" s="2"/>
      <c r="AJ223" s="2"/>
      <c r="AK223" s="2"/>
      <c r="AL223" s="2"/>
    </row>
    <row r="224" spans="1:38" ht="14.45">
      <c r="A224" s="156">
        <v>223</v>
      </c>
      <c r="B224" s="55">
        <v>45708</v>
      </c>
      <c r="C224" s="33"/>
      <c r="D224" s="14" t="s">
        <v>220</v>
      </c>
      <c r="E224" s="15">
        <v>1104.3499999999999</v>
      </c>
      <c r="F224" s="14" t="s">
        <v>446</v>
      </c>
      <c r="G224" s="14" t="s">
        <v>110</v>
      </c>
      <c r="H224" s="14" t="s">
        <v>40</v>
      </c>
      <c r="I224" s="14" t="s">
        <v>41</v>
      </c>
      <c r="J224" s="97">
        <f t="shared" si="48"/>
        <v>45608</v>
      </c>
      <c r="L224" s="19" t="str">
        <f t="shared" si="49"/>
        <v/>
      </c>
      <c r="M224" s="5">
        <f t="shared" si="50"/>
        <v>45619</v>
      </c>
      <c r="O224" s="19" t="str">
        <f t="shared" si="51"/>
        <v/>
      </c>
      <c r="P224" s="5">
        <f t="shared" si="52"/>
        <v>45634</v>
      </c>
      <c r="R224" s="19" t="str">
        <f t="shared" si="53"/>
        <v/>
      </c>
      <c r="S224" s="5">
        <f t="shared" si="54"/>
        <v>45639</v>
      </c>
      <c r="T224" s="5">
        <v>45639</v>
      </c>
      <c r="U224" s="19">
        <f t="shared" si="55"/>
        <v>0</v>
      </c>
      <c r="V224" s="5">
        <f t="shared" si="56"/>
        <v>45678</v>
      </c>
      <c r="W224" s="4">
        <v>45643</v>
      </c>
      <c r="X224" s="19">
        <f t="shared" si="57"/>
        <v>35</v>
      </c>
      <c r="Y224" s="51">
        <f t="shared" si="58"/>
        <v>45703</v>
      </c>
      <c r="Z224" s="4">
        <v>45663</v>
      </c>
      <c r="AA224" s="49">
        <f t="shared" si="59"/>
        <v>40</v>
      </c>
      <c r="AB224" s="51">
        <f t="shared" si="60"/>
        <v>45708</v>
      </c>
      <c r="AC224" s="49">
        <f t="shared" si="61"/>
        <v>45</v>
      </c>
      <c r="AD224" s="43">
        <f t="shared" si="62"/>
        <v>45708</v>
      </c>
      <c r="AE224" s="4">
        <v>45663</v>
      </c>
      <c r="AF224" s="19">
        <f t="shared" si="63"/>
        <v>45</v>
      </c>
      <c r="AG224" s="67"/>
      <c r="AH224" s="2"/>
      <c r="AI224" s="2"/>
      <c r="AJ224" s="2"/>
      <c r="AK224" s="2"/>
      <c r="AL224" s="2"/>
    </row>
    <row r="225" spans="1:38" ht="14.45">
      <c r="A225" s="156">
        <v>224</v>
      </c>
      <c r="B225" s="55">
        <v>45708</v>
      </c>
      <c r="C225" s="33"/>
      <c r="D225" s="14" t="s">
        <v>447</v>
      </c>
      <c r="E225" s="15">
        <v>2634</v>
      </c>
      <c r="F225" s="14" t="s">
        <v>448</v>
      </c>
      <c r="G225" s="14" t="s">
        <v>46</v>
      </c>
      <c r="H225" s="14" t="s">
        <v>40</v>
      </c>
      <c r="I225" s="14" t="s">
        <v>62</v>
      </c>
      <c r="J225" s="97">
        <f t="shared" si="48"/>
        <v>45608</v>
      </c>
      <c r="K225" s="95">
        <v>45664</v>
      </c>
      <c r="L225" s="19">
        <f t="shared" si="49"/>
        <v>-56</v>
      </c>
      <c r="M225" s="5">
        <f t="shared" si="50"/>
        <v>45619</v>
      </c>
      <c r="O225" s="19" t="str">
        <f t="shared" si="51"/>
        <v/>
      </c>
      <c r="P225" s="5">
        <f t="shared" si="52"/>
        <v>45634</v>
      </c>
      <c r="R225" s="19" t="str">
        <f t="shared" si="53"/>
        <v/>
      </c>
      <c r="S225" s="5">
        <f t="shared" si="54"/>
        <v>45639</v>
      </c>
      <c r="U225" s="19" t="str">
        <f t="shared" si="55"/>
        <v/>
      </c>
      <c r="V225" s="5">
        <f t="shared" si="56"/>
        <v>45678</v>
      </c>
      <c r="W225" s="4">
        <v>45708</v>
      </c>
      <c r="X225" s="19">
        <f t="shared" si="57"/>
        <v>-30</v>
      </c>
      <c r="Y225" s="51">
        <f t="shared" si="58"/>
        <v>45703</v>
      </c>
      <c r="Z225" s="4">
        <v>45730</v>
      </c>
      <c r="AA225" s="49">
        <f t="shared" si="59"/>
        <v>-27</v>
      </c>
      <c r="AB225" s="51">
        <f t="shared" si="60"/>
        <v>45708</v>
      </c>
      <c r="AC225" s="49">
        <f t="shared" si="61"/>
        <v>-22</v>
      </c>
      <c r="AD225" s="43">
        <f t="shared" si="62"/>
        <v>45708</v>
      </c>
      <c r="AE225" s="4">
        <v>45730</v>
      </c>
      <c r="AF225" s="19">
        <f t="shared" si="63"/>
        <v>-22</v>
      </c>
      <c r="AG225" s="67"/>
      <c r="AH225" s="2"/>
      <c r="AI225" s="2"/>
      <c r="AJ225" s="2"/>
      <c r="AK225" s="2"/>
      <c r="AL225" s="2"/>
    </row>
    <row r="226" spans="1:38" ht="14.45">
      <c r="A226" s="156">
        <v>225</v>
      </c>
      <c r="B226" s="55">
        <v>45708</v>
      </c>
      <c r="C226" s="33"/>
      <c r="D226" s="14" t="s">
        <v>447</v>
      </c>
      <c r="E226" s="15">
        <v>12324.58</v>
      </c>
      <c r="F226" s="14" t="s">
        <v>449</v>
      </c>
      <c r="G226" s="14" t="s">
        <v>46</v>
      </c>
      <c r="H226" s="14" t="s">
        <v>40</v>
      </c>
      <c r="I226" s="14" t="s">
        <v>37</v>
      </c>
      <c r="J226" s="97">
        <f t="shared" si="48"/>
        <v>45608</v>
      </c>
      <c r="K226" s="95">
        <v>45664</v>
      </c>
      <c r="L226" s="19">
        <f t="shared" si="49"/>
        <v>-56</v>
      </c>
      <c r="M226" s="5">
        <f t="shared" si="50"/>
        <v>45619</v>
      </c>
      <c r="O226" s="19" t="str">
        <f t="shared" si="51"/>
        <v/>
      </c>
      <c r="P226" s="5">
        <f t="shared" si="52"/>
        <v>45634</v>
      </c>
      <c r="R226" s="19" t="str">
        <f t="shared" si="53"/>
        <v/>
      </c>
      <c r="S226" s="5">
        <f t="shared" si="54"/>
        <v>45639</v>
      </c>
      <c r="U226" s="19" t="str">
        <f t="shared" si="55"/>
        <v/>
      </c>
      <c r="V226" s="5">
        <f t="shared" si="56"/>
        <v>45678</v>
      </c>
      <c r="W226" s="4">
        <v>45708</v>
      </c>
      <c r="X226" s="19">
        <f t="shared" si="57"/>
        <v>-30</v>
      </c>
      <c r="Y226" s="51">
        <f t="shared" si="58"/>
        <v>45703</v>
      </c>
      <c r="Z226" s="4">
        <v>45728</v>
      </c>
      <c r="AA226" s="49">
        <f t="shared" si="59"/>
        <v>-25</v>
      </c>
      <c r="AB226" s="51">
        <f t="shared" si="60"/>
        <v>45708</v>
      </c>
      <c r="AC226" s="49">
        <f t="shared" si="61"/>
        <v>-20</v>
      </c>
      <c r="AD226" s="43">
        <f t="shared" si="62"/>
        <v>45708</v>
      </c>
      <c r="AE226" s="4">
        <v>45728</v>
      </c>
      <c r="AF226" s="19">
        <f t="shared" si="63"/>
        <v>-20</v>
      </c>
      <c r="AG226" s="67"/>
      <c r="AH226" s="2"/>
      <c r="AI226" s="2"/>
      <c r="AJ226" s="2"/>
      <c r="AK226" s="2"/>
      <c r="AL226" s="2"/>
    </row>
    <row r="227" spans="1:38" ht="14.45">
      <c r="A227" s="156">
        <v>226</v>
      </c>
      <c r="B227" s="55">
        <v>45709</v>
      </c>
      <c r="C227" s="76" t="s">
        <v>450</v>
      </c>
      <c r="D227" s="14" t="s">
        <v>451</v>
      </c>
      <c r="E227" s="15">
        <v>5153.58</v>
      </c>
      <c r="F227" s="14" t="s">
        <v>452</v>
      </c>
      <c r="G227" s="14" t="s">
        <v>46</v>
      </c>
      <c r="H227" s="14" t="s">
        <v>36</v>
      </c>
      <c r="I227" s="14" t="s">
        <v>37</v>
      </c>
      <c r="J227" s="97">
        <f t="shared" si="48"/>
        <v>45609</v>
      </c>
      <c r="K227" s="4">
        <v>45637</v>
      </c>
      <c r="L227" s="19">
        <f t="shared" si="49"/>
        <v>-28</v>
      </c>
      <c r="M227" s="5">
        <f t="shared" si="50"/>
        <v>45620</v>
      </c>
      <c r="N227" s="4">
        <v>45663</v>
      </c>
      <c r="O227" s="19">
        <f t="shared" si="51"/>
        <v>-43</v>
      </c>
      <c r="P227" s="5">
        <f t="shared" si="52"/>
        <v>45635</v>
      </c>
      <c r="R227" s="19" t="str">
        <f t="shared" si="53"/>
        <v/>
      </c>
      <c r="S227" s="5">
        <f t="shared" si="54"/>
        <v>45640</v>
      </c>
      <c r="U227" s="19" t="str">
        <f t="shared" si="55"/>
        <v/>
      </c>
      <c r="V227" s="5">
        <f t="shared" si="56"/>
        <v>45679</v>
      </c>
      <c r="W227" s="4">
        <v>45679</v>
      </c>
      <c r="X227" s="19">
        <f t="shared" si="57"/>
        <v>0</v>
      </c>
      <c r="Y227" s="51">
        <f t="shared" si="58"/>
        <v>45704</v>
      </c>
      <c r="Z227" s="4">
        <v>45719</v>
      </c>
      <c r="AA227" s="49">
        <f t="shared" si="59"/>
        <v>-15</v>
      </c>
      <c r="AB227" s="51">
        <f t="shared" si="60"/>
        <v>45709</v>
      </c>
      <c r="AC227" s="49">
        <f t="shared" si="61"/>
        <v>-10</v>
      </c>
      <c r="AD227" s="43">
        <f t="shared" si="62"/>
        <v>45709</v>
      </c>
      <c r="AE227" s="4">
        <v>45719</v>
      </c>
      <c r="AF227" s="19">
        <f t="shared" si="63"/>
        <v>-10</v>
      </c>
      <c r="AG227" s="67"/>
      <c r="AH227" s="2"/>
      <c r="AI227" s="2"/>
      <c r="AJ227" s="2"/>
      <c r="AK227" s="2"/>
      <c r="AL227" s="2"/>
    </row>
    <row r="228" spans="1:38" ht="14.45">
      <c r="A228" s="156">
        <v>227</v>
      </c>
      <c r="B228" s="58">
        <v>45710</v>
      </c>
      <c r="C228" s="39" t="s">
        <v>453</v>
      </c>
      <c r="D228" s="14" t="s">
        <v>38</v>
      </c>
      <c r="E228" s="25">
        <v>13.116</v>
      </c>
      <c r="F228" s="14" t="s">
        <v>454</v>
      </c>
      <c r="G228" s="14" t="s">
        <v>190</v>
      </c>
      <c r="H228" s="14" t="s">
        <v>40</v>
      </c>
      <c r="I228" s="14" t="s">
        <v>41</v>
      </c>
      <c r="J228" s="97">
        <f t="shared" si="48"/>
        <v>45610</v>
      </c>
      <c r="L228" s="19" t="str">
        <f t="shared" si="49"/>
        <v/>
      </c>
      <c r="M228" s="5">
        <f t="shared" si="50"/>
        <v>45621</v>
      </c>
      <c r="N228" s="4">
        <v>45663</v>
      </c>
      <c r="O228" s="19">
        <f t="shared" si="51"/>
        <v>-42</v>
      </c>
      <c r="P228" s="5">
        <f t="shared" si="52"/>
        <v>45636</v>
      </c>
      <c r="Q228" s="4">
        <v>45673</v>
      </c>
      <c r="R228" s="19">
        <f t="shared" si="53"/>
        <v>-37</v>
      </c>
      <c r="S228" s="5">
        <f t="shared" si="54"/>
        <v>45641</v>
      </c>
      <c r="T228" s="4">
        <v>45674</v>
      </c>
      <c r="U228" s="19">
        <f t="shared" si="55"/>
        <v>-33</v>
      </c>
      <c r="V228" s="5">
        <f t="shared" si="56"/>
        <v>45680</v>
      </c>
      <c r="W228" s="4">
        <v>45674</v>
      </c>
      <c r="X228" s="19">
        <f t="shared" si="57"/>
        <v>6</v>
      </c>
      <c r="Y228" s="51">
        <f t="shared" si="58"/>
        <v>45705</v>
      </c>
      <c r="Z228" s="4">
        <v>45699</v>
      </c>
      <c r="AA228" s="49">
        <f t="shared" si="59"/>
        <v>6</v>
      </c>
      <c r="AB228" s="51">
        <f t="shared" si="60"/>
        <v>45710</v>
      </c>
      <c r="AC228" s="49">
        <f t="shared" si="61"/>
        <v>11</v>
      </c>
      <c r="AD228" s="43">
        <f t="shared" si="62"/>
        <v>45710</v>
      </c>
      <c r="AE228" s="4">
        <v>45699</v>
      </c>
      <c r="AF228" s="19">
        <f t="shared" si="63"/>
        <v>11</v>
      </c>
      <c r="AG228" s="67"/>
      <c r="AH228" s="2"/>
      <c r="AI228" s="2"/>
      <c r="AJ228" s="2"/>
      <c r="AK228" s="2"/>
      <c r="AL228" s="2"/>
    </row>
    <row r="229" spans="1:38" ht="14.45">
      <c r="A229" s="156">
        <v>228</v>
      </c>
      <c r="B229" s="55">
        <v>45710</v>
      </c>
      <c r="C229" s="39" t="s">
        <v>453</v>
      </c>
      <c r="D229" s="14" t="s">
        <v>38</v>
      </c>
      <c r="E229" s="15">
        <v>289.13</v>
      </c>
      <c r="F229" s="14" t="s">
        <v>455</v>
      </c>
      <c r="G229" s="14" t="s">
        <v>190</v>
      </c>
      <c r="H229" s="14" t="s">
        <v>40</v>
      </c>
      <c r="I229" s="14" t="s">
        <v>41</v>
      </c>
      <c r="J229" s="97">
        <f t="shared" si="48"/>
        <v>45610</v>
      </c>
      <c r="L229" s="19" t="str">
        <f t="shared" si="49"/>
        <v/>
      </c>
      <c r="M229" s="5">
        <f t="shared" si="50"/>
        <v>45621</v>
      </c>
      <c r="N229" s="4">
        <v>45663</v>
      </c>
      <c r="O229" s="19">
        <f t="shared" si="51"/>
        <v>-42</v>
      </c>
      <c r="P229" s="5">
        <f t="shared" si="52"/>
        <v>45636</v>
      </c>
      <c r="Q229" s="4">
        <v>45673</v>
      </c>
      <c r="R229" s="19">
        <f t="shared" si="53"/>
        <v>-37</v>
      </c>
      <c r="S229" s="5">
        <f t="shared" si="54"/>
        <v>45641</v>
      </c>
      <c r="T229" s="4">
        <v>45674</v>
      </c>
      <c r="U229" s="19">
        <f t="shared" si="55"/>
        <v>-33</v>
      </c>
      <c r="V229" s="5">
        <f t="shared" si="56"/>
        <v>45680</v>
      </c>
      <c r="W229" s="4">
        <v>45674</v>
      </c>
      <c r="X229" s="19">
        <f t="shared" si="57"/>
        <v>6</v>
      </c>
      <c r="Y229" s="51">
        <f t="shared" si="58"/>
        <v>45705</v>
      </c>
      <c r="Z229" s="4">
        <v>45686</v>
      </c>
      <c r="AA229" s="49">
        <f t="shared" si="59"/>
        <v>19</v>
      </c>
      <c r="AB229" s="51">
        <f t="shared" si="60"/>
        <v>45710</v>
      </c>
      <c r="AC229" s="49">
        <f t="shared" si="61"/>
        <v>24</v>
      </c>
      <c r="AD229" s="43">
        <f t="shared" si="62"/>
        <v>45710</v>
      </c>
      <c r="AE229" s="4">
        <v>45686</v>
      </c>
      <c r="AF229" s="19">
        <f t="shared" si="63"/>
        <v>24</v>
      </c>
      <c r="AG229" s="67"/>
      <c r="AH229" s="2"/>
      <c r="AI229" s="2"/>
      <c r="AJ229" s="2"/>
      <c r="AK229" s="2"/>
      <c r="AL229" s="2"/>
    </row>
    <row r="230" spans="1:38" ht="14.45">
      <c r="A230" s="156">
        <v>229</v>
      </c>
      <c r="B230" s="55">
        <v>45710</v>
      </c>
      <c r="C230" s="83" t="s">
        <v>456</v>
      </c>
      <c r="D230" s="14" t="s">
        <v>457</v>
      </c>
      <c r="E230" s="15">
        <v>32751</v>
      </c>
      <c r="F230" s="14" t="s">
        <v>458</v>
      </c>
      <c r="G230" s="14" t="s">
        <v>35</v>
      </c>
      <c r="H230" s="14" t="s">
        <v>36</v>
      </c>
      <c r="I230" s="14" t="s">
        <v>93</v>
      </c>
      <c r="J230" s="97">
        <f t="shared" si="48"/>
        <v>45610</v>
      </c>
      <c r="L230" s="19" t="str">
        <f t="shared" si="49"/>
        <v/>
      </c>
      <c r="M230" s="5">
        <f t="shared" si="50"/>
        <v>45621</v>
      </c>
      <c r="O230" s="19" t="str">
        <f t="shared" si="51"/>
        <v/>
      </c>
      <c r="P230" s="5">
        <f t="shared" si="52"/>
        <v>45636</v>
      </c>
      <c r="R230" s="19" t="str">
        <f t="shared" si="53"/>
        <v/>
      </c>
      <c r="S230" s="5">
        <f t="shared" si="54"/>
        <v>45641</v>
      </c>
      <c r="T230" s="4">
        <v>45665</v>
      </c>
      <c r="U230" s="19">
        <f t="shared" si="55"/>
        <v>-24</v>
      </c>
      <c r="V230" s="5">
        <f t="shared" si="56"/>
        <v>45680</v>
      </c>
      <c r="W230" s="4">
        <v>45685</v>
      </c>
      <c r="X230" s="19">
        <f t="shared" si="57"/>
        <v>-5</v>
      </c>
      <c r="Y230" s="51">
        <f t="shared" si="58"/>
        <v>45705</v>
      </c>
      <c r="Z230" s="4">
        <v>45708</v>
      </c>
      <c r="AA230" s="49">
        <f t="shared" si="59"/>
        <v>-3</v>
      </c>
      <c r="AB230" s="51">
        <f t="shared" si="60"/>
        <v>45710</v>
      </c>
      <c r="AC230" s="49">
        <f t="shared" si="61"/>
        <v>2</v>
      </c>
      <c r="AD230" s="43">
        <f t="shared" si="62"/>
        <v>45710</v>
      </c>
      <c r="AE230" s="4">
        <v>45708</v>
      </c>
      <c r="AF230" s="19">
        <f t="shared" si="63"/>
        <v>2</v>
      </c>
      <c r="AG230" s="67"/>
      <c r="AH230" s="2"/>
      <c r="AI230" s="2"/>
      <c r="AJ230" s="2"/>
      <c r="AK230" s="2"/>
      <c r="AL230" s="2"/>
    </row>
    <row r="231" spans="1:38" ht="14.45">
      <c r="A231" s="156">
        <v>230</v>
      </c>
      <c r="B231" s="55">
        <v>45710</v>
      </c>
      <c r="C231" s="33"/>
      <c r="D231" s="14" t="s">
        <v>459</v>
      </c>
      <c r="E231" s="15">
        <v>39195.760000000002</v>
      </c>
      <c r="F231" s="14" t="s">
        <v>460</v>
      </c>
      <c r="G231" s="10" t="s">
        <v>120</v>
      </c>
      <c r="H231" s="14" t="s">
        <v>40</v>
      </c>
      <c r="I231" s="14" t="s">
        <v>93</v>
      </c>
      <c r="J231" s="97">
        <f t="shared" si="48"/>
        <v>45610</v>
      </c>
      <c r="K231" s="4">
        <v>45625</v>
      </c>
      <c r="L231" s="19">
        <f t="shared" si="49"/>
        <v>-15</v>
      </c>
      <c r="M231" s="5">
        <f t="shared" si="50"/>
        <v>45621</v>
      </c>
      <c r="O231" s="19" t="str">
        <f t="shared" si="51"/>
        <v/>
      </c>
      <c r="P231" s="5">
        <f t="shared" si="52"/>
        <v>45636</v>
      </c>
      <c r="R231" s="19" t="str">
        <f t="shared" si="53"/>
        <v/>
      </c>
      <c r="S231" s="5">
        <f t="shared" si="54"/>
        <v>45641</v>
      </c>
      <c r="T231" s="6">
        <v>45664</v>
      </c>
      <c r="U231" s="19">
        <f t="shared" si="55"/>
        <v>-23</v>
      </c>
      <c r="V231" s="5">
        <f t="shared" si="56"/>
        <v>45680</v>
      </c>
      <c r="W231" s="4">
        <v>45678</v>
      </c>
      <c r="X231" s="19">
        <f t="shared" si="57"/>
        <v>2</v>
      </c>
      <c r="Y231" s="51">
        <f t="shared" si="58"/>
        <v>45705</v>
      </c>
      <c r="Z231" s="4">
        <v>45720</v>
      </c>
      <c r="AA231" s="49">
        <f t="shared" si="59"/>
        <v>-15</v>
      </c>
      <c r="AB231" s="51">
        <f t="shared" si="60"/>
        <v>45710</v>
      </c>
      <c r="AC231" s="49">
        <f t="shared" si="61"/>
        <v>-10</v>
      </c>
      <c r="AD231" s="43">
        <f t="shared" si="62"/>
        <v>45710</v>
      </c>
      <c r="AE231" s="4">
        <v>45720</v>
      </c>
      <c r="AF231" s="19">
        <f t="shared" si="63"/>
        <v>-10</v>
      </c>
      <c r="AG231" s="67"/>
      <c r="AH231" s="2"/>
      <c r="AI231" s="2"/>
      <c r="AJ231" s="2"/>
      <c r="AK231" s="2"/>
      <c r="AL231" s="2"/>
    </row>
    <row r="232" spans="1:38" ht="14.45">
      <c r="A232" s="156">
        <v>231</v>
      </c>
      <c r="B232" s="55">
        <v>45710</v>
      </c>
      <c r="C232" s="33"/>
      <c r="D232" s="14" t="s">
        <v>461</v>
      </c>
      <c r="E232" s="15">
        <v>447855.13</v>
      </c>
      <c r="F232" s="14" t="s">
        <v>462</v>
      </c>
      <c r="G232" s="14" t="s">
        <v>120</v>
      </c>
      <c r="H232" s="14" t="s">
        <v>40</v>
      </c>
      <c r="I232" s="14" t="s">
        <v>37</v>
      </c>
      <c r="J232" s="97">
        <f t="shared" si="48"/>
        <v>45610</v>
      </c>
      <c r="K232" s="4">
        <v>45484</v>
      </c>
      <c r="L232" s="19">
        <f t="shared" si="49"/>
        <v>126</v>
      </c>
      <c r="M232" s="5">
        <f t="shared" si="50"/>
        <v>45621</v>
      </c>
      <c r="O232" s="19" t="str">
        <f t="shared" si="51"/>
        <v/>
      </c>
      <c r="P232" s="5">
        <f t="shared" si="52"/>
        <v>45636</v>
      </c>
      <c r="R232" s="19" t="str">
        <f t="shared" si="53"/>
        <v/>
      </c>
      <c r="S232" s="5">
        <f t="shared" si="54"/>
        <v>45641</v>
      </c>
      <c r="T232" s="4">
        <v>45484</v>
      </c>
      <c r="U232" s="19">
        <f t="shared" si="55"/>
        <v>157</v>
      </c>
      <c r="V232" s="5">
        <f t="shared" si="56"/>
        <v>45680</v>
      </c>
      <c r="W232" s="4">
        <v>45729</v>
      </c>
      <c r="X232" s="19">
        <f t="shared" si="57"/>
        <v>-49</v>
      </c>
      <c r="Y232" s="51">
        <f t="shared" si="58"/>
        <v>45705</v>
      </c>
      <c r="Z232" s="4">
        <v>45729</v>
      </c>
      <c r="AA232" s="49">
        <f t="shared" si="59"/>
        <v>-24</v>
      </c>
      <c r="AB232" s="51">
        <f t="shared" si="60"/>
        <v>45710</v>
      </c>
      <c r="AC232" s="49">
        <f t="shared" si="61"/>
        <v>-19</v>
      </c>
      <c r="AD232" s="43">
        <f t="shared" si="62"/>
        <v>45710</v>
      </c>
      <c r="AE232" s="4">
        <v>45729</v>
      </c>
      <c r="AF232" s="19">
        <f t="shared" si="63"/>
        <v>-19</v>
      </c>
      <c r="AG232" s="67"/>
      <c r="AH232" s="2"/>
      <c r="AI232" s="2"/>
      <c r="AJ232" s="2"/>
      <c r="AK232" s="2"/>
      <c r="AL232" s="2"/>
    </row>
    <row r="233" spans="1:38" ht="14.45">
      <c r="A233" s="156">
        <v>232</v>
      </c>
      <c r="B233" s="55">
        <v>45710</v>
      </c>
      <c r="C233" s="33"/>
      <c r="D233" s="14" t="s">
        <v>461</v>
      </c>
      <c r="E233" s="15">
        <v>149285.04</v>
      </c>
      <c r="F233" s="14" t="s">
        <v>462</v>
      </c>
      <c r="G233" s="14" t="s">
        <v>120</v>
      </c>
      <c r="H233" s="14" t="s">
        <v>40</v>
      </c>
      <c r="I233" s="14" t="s">
        <v>37</v>
      </c>
      <c r="J233" s="97">
        <f t="shared" si="48"/>
        <v>45610</v>
      </c>
      <c r="K233" s="4">
        <v>45484</v>
      </c>
      <c r="L233" s="19">
        <f t="shared" si="49"/>
        <v>126</v>
      </c>
      <c r="M233" s="5">
        <f t="shared" si="50"/>
        <v>45621</v>
      </c>
      <c r="O233" s="19" t="str">
        <f t="shared" si="51"/>
        <v/>
      </c>
      <c r="P233" s="5">
        <f t="shared" si="52"/>
        <v>45636</v>
      </c>
      <c r="R233" s="19" t="str">
        <f t="shared" si="53"/>
        <v/>
      </c>
      <c r="S233" s="5">
        <f t="shared" si="54"/>
        <v>45641</v>
      </c>
      <c r="T233" s="4">
        <v>45484</v>
      </c>
      <c r="U233" s="19">
        <f t="shared" si="55"/>
        <v>157</v>
      </c>
      <c r="V233" s="5">
        <f t="shared" si="56"/>
        <v>45680</v>
      </c>
      <c r="W233" s="4">
        <v>45729</v>
      </c>
      <c r="X233" s="19">
        <f t="shared" si="57"/>
        <v>-49</v>
      </c>
      <c r="Y233" s="51">
        <f t="shared" si="58"/>
        <v>45705</v>
      </c>
      <c r="Z233" s="4">
        <v>45729</v>
      </c>
      <c r="AA233" s="49">
        <f t="shared" si="59"/>
        <v>-24</v>
      </c>
      <c r="AB233" s="51">
        <f t="shared" si="60"/>
        <v>45710</v>
      </c>
      <c r="AC233" s="49">
        <f t="shared" si="61"/>
        <v>-19</v>
      </c>
      <c r="AD233" s="43">
        <f t="shared" si="62"/>
        <v>45710</v>
      </c>
      <c r="AE233" s="4">
        <v>45729</v>
      </c>
      <c r="AF233" s="19">
        <f t="shared" si="63"/>
        <v>-19</v>
      </c>
      <c r="AG233" s="67"/>
      <c r="AH233" s="2"/>
      <c r="AI233" s="2"/>
      <c r="AJ233" s="2"/>
      <c r="AK233" s="2"/>
      <c r="AL233" s="2"/>
    </row>
    <row r="234" spans="1:38" ht="14.45">
      <c r="A234" s="156">
        <v>233</v>
      </c>
      <c r="B234" s="55">
        <v>45710</v>
      </c>
      <c r="C234" s="33"/>
      <c r="D234" s="14" t="s">
        <v>461</v>
      </c>
      <c r="E234" s="15">
        <v>149285.04</v>
      </c>
      <c r="F234" s="14" t="s">
        <v>462</v>
      </c>
      <c r="G234" s="14" t="s">
        <v>120</v>
      </c>
      <c r="H234" s="14" t="s">
        <v>40</v>
      </c>
      <c r="I234" s="14" t="s">
        <v>37</v>
      </c>
      <c r="J234" s="97">
        <f t="shared" si="48"/>
        <v>45610</v>
      </c>
      <c r="K234" s="4">
        <v>45484</v>
      </c>
      <c r="L234" s="19">
        <f t="shared" si="49"/>
        <v>126</v>
      </c>
      <c r="M234" s="5">
        <f t="shared" si="50"/>
        <v>45621</v>
      </c>
      <c r="O234" s="19" t="str">
        <f t="shared" si="51"/>
        <v/>
      </c>
      <c r="P234" s="5">
        <f t="shared" si="52"/>
        <v>45636</v>
      </c>
      <c r="R234" s="19" t="str">
        <f t="shared" si="53"/>
        <v/>
      </c>
      <c r="S234" s="5">
        <f t="shared" si="54"/>
        <v>45641</v>
      </c>
      <c r="T234" s="4">
        <v>45484</v>
      </c>
      <c r="U234" s="19">
        <f t="shared" si="55"/>
        <v>157</v>
      </c>
      <c r="V234" s="5">
        <f t="shared" si="56"/>
        <v>45680</v>
      </c>
      <c r="W234" s="4">
        <v>45729</v>
      </c>
      <c r="X234" s="19">
        <f t="shared" si="57"/>
        <v>-49</v>
      </c>
      <c r="Y234" s="51">
        <f t="shared" si="58"/>
        <v>45705</v>
      </c>
      <c r="Z234" s="4">
        <v>45729</v>
      </c>
      <c r="AA234" s="49">
        <f t="shared" si="59"/>
        <v>-24</v>
      </c>
      <c r="AB234" s="51">
        <f t="shared" si="60"/>
        <v>45710</v>
      </c>
      <c r="AC234" s="49">
        <f t="shared" si="61"/>
        <v>-19</v>
      </c>
      <c r="AD234" s="43">
        <f t="shared" si="62"/>
        <v>45710</v>
      </c>
      <c r="AE234" s="4">
        <v>45729</v>
      </c>
      <c r="AF234" s="19">
        <f t="shared" si="63"/>
        <v>-19</v>
      </c>
      <c r="AG234" s="67"/>
      <c r="AH234" s="2"/>
      <c r="AI234" s="2"/>
      <c r="AJ234" s="2"/>
      <c r="AK234" s="2"/>
      <c r="AL234" s="2"/>
    </row>
    <row r="235" spans="1:38" ht="14.45">
      <c r="A235" s="156">
        <v>234</v>
      </c>
      <c r="B235" s="55">
        <v>45710</v>
      </c>
      <c r="C235" s="33"/>
      <c r="D235" s="14" t="s">
        <v>463</v>
      </c>
      <c r="E235" s="15">
        <v>880304.41</v>
      </c>
      <c r="F235" s="14" t="s">
        <v>464</v>
      </c>
      <c r="G235" s="14" t="s">
        <v>120</v>
      </c>
      <c r="H235" s="14" t="s">
        <v>40</v>
      </c>
      <c r="I235" s="14" t="s">
        <v>37</v>
      </c>
      <c r="J235" s="97">
        <f t="shared" si="48"/>
        <v>45610</v>
      </c>
      <c r="K235" s="4">
        <v>45484</v>
      </c>
      <c r="L235" s="19">
        <f t="shared" si="49"/>
        <v>126</v>
      </c>
      <c r="M235" s="5">
        <f t="shared" si="50"/>
        <v>45621</v>
      </c>
      <c r="O235" s="19" t="str">
        <f t="shared" si="51"/>
        <v/>
      </c>
      <c r="P235" s="5">
        <f t="shared" si="52"/>
        <v>45636</v>
      </c>
      <c r="R235" s="19" t="str">
        <f t="shared" si="53"/>
        <v/>
      </c>
      <c r="S235" s="5">
        <f t="shared" si="54"/>
        <v>45641</v>
      </c>
      <c r="T235" s="4">
        <v>45484</v>
      </c>
      <c r="U235" s="19">
        <f t="shared" si="55"/>
        <v>157</v>
      </c>
      <c r="V235" s="5">
        <f t="shared" si="56"/>
        <v>45680</v>
      </c>
      <c r="W235" s="4">
        <v>45729</v>
      </c>
      <c r="X235" s="19">
        <f t="shared" si="57"/>
        <v>-49</v>
      </c>
      <c r="Y235" s="51">
        <f t="shared" si="58"/>
        <v>45705</v>
      </c>
      <c r="Z235" s="4">
        <v>45729</v>
      </c>
      <c r="AA235" s="49">
        <f t="shared" si="59"/>
        <v>-24</v>
      </c>
      <c r="AB235" s="51">
        <f t="shared" si="60"/>
        <v>45710</v>
      </c>
      <c r="AC235" s="49">
        <f t="shared" si="61"/>
        <v>-19</v>
      </c>
      <c r="AD235" s="43">
        <f t="shared" si="62"/>
        <v>45710</v>
      </c>
      <c r="AE235" s="4">
        <v>45729</v>
      </c>
      <c r="AF235" s="19">
        <f t="shared" si="63"/>
        <v>-19</v>
      </c>
      <c r="AG235" s="67"/>
      <c r="AH235" s="2"/>
      <c r="AI235" s="2"/>
      <c r="AJ235" s="2"/>
      <c r="AK235" s="2"/>
      <c r="AL235" s="2"/>
    </row>
    <row r="236" spans="1:38" ht="14.45">
      <c r="A236" s="156">
        <v>235</v>
      </c>
      <c r="B236" s="55">
        <v>45710</v>
      </c>
      <c r="C236" s="33"/>
      <c r="D236" s="14" t="s">
        <v>463</v>
      </c>
      <c r="E236" s="15">
        <v>293434.78999999998</v>
      </c>
      <c r="F236" s="14" t="s">
        <v>464</v>
      </c>
      <c r="G236" s="14" t="s">
        <v>120</v>
      </c>
      <c r="H236" s="14" t="s">
        <v>40</v>
      </c>
      <c r="I236" s="14" t="s">
        <v>37</v>
      </c>
      <c r="J236" s="97">
        <f t="shared" si="48"/>
        <v>45610</v>
      </c>
      <c r="K236" s="4">
        <v>45484</v>
      </c>
      <c r="L236" s="19">
        <f t="shared" si="49"/>
        <v>126</v>
      </c>
      <c r="M236" s="5">
        <f t="shared" si="50"/>
        <v>45621</v>
      </c>
      <c r="O236" s="19" t="str">
        <f t="shared" si="51"/>
        <v/>
      </c>
      <c r="P236" s="5">
        <f t="shared" si="52"/>
        <v>45636</v>
      </c>
      <c r="R236" s="19" t="str">
        <f t="shared" si="53"/>
        <v/>
      </c>
      <c r="S236" s="5">
        <f t="shared" si="54"/>
        <v>45641</v>
      </c>
      <c r="T236" s="4">
        <v>45484</v>
      </c>
      <c r="U236" s="19">
        <f t="shared" si="55"/>
        <v>157</v>
      </c>
      <c r="V236" s="5">
        <f t="shared" si="56"/>
        <v>45680</v>
      </c>
      <c r="W236" s="4">
        <v>45729</v>
      </c>
      <c r="X236" s="19">
        <f t="shared" si="57"/>
        <v>-49</v>
      </c>
      <c r="Y236" s="51">
        <f t="shared" si="58"/>
        <v>45705</v>
      </c>
      <c r="Z236" s="4">
        <v>45729</v>
      </c>
      <c r="AA236" s="49">
        <f t="shared" si="59"/>
        <v>-24</v>
      </c>
      <c r="AB236" s="51">
        <f t="shared" si="60"/>
        <v>45710</v>
      </c>
      <c r="AC236" s="49">
        <f t="shared" si="61"/>
        <v>-19</v>
      </c>
      <c r="AD236" s="43">
        <f t="shared" si="62"/>
        <v>45710</v>
      </c>
      <c r="AE236" s="4">
        <v>45729</v>
      </c>
      <c r="AF236" s="19">
        <f t="shared" si="63"/>
        <v>-19</v>
      </c>
      <c r="AG236" s="67"/>
      <c r="AH236" s="2"/>
      <c r="AI236" s="2"/>
      <c r="AJ236" s="2"/>
      <c r="AK236" s="2"/>
      <c r="AL236" s="2"/>
    </row>
    <row r="237" spans="1:38" ht="14.45">
      <c r="A237" s="156">
        <v>236</v>
      </c>
      <c r="B237" s="55">
        <v>45710</v>
      </c>
      <c r="C237" s="33"/>
      <c r="D237" s="14" t="s">
        <v>463</v>
      </c>
      <c r="E237" s="15">
        <v>293434.78999999998</v>
      </c>
      <c r="F237" s="14" t="s">
        <v>464</v>
      </c>
      <c r="G237" s="14" t="s">
        <v>120</v>
      </c>
      <c r="H237" s="14" t="s">
        <v>40</v>
      </c>
      <c r="I237" s="14" t="s">
        <v>37</v>
      </c>
      <c r="J237" s="97">
        <f t="shared" si="48"/>
        <v>45610</v>
      </c>
      <c r="K237" s="4">
        <v>45484</v>
      </c>
      <c r="L237" s="19">
        <f t="shared" si="49"/>
        <v>126</v>
      </c>
      <c r="M237" s="5">
        <f t="shared" si="50"/>
        <v>45621</v>
      </c>
      <c r="O237" s="19" t="str">
        <f t="shared" si="51"/>
        <v/>
      </c>
      <c r="P237" s="5">
        <f t="shared" si="52"/>
        <v>45636</v>
      </c>
      <c r="R237" s="19" t="str">
        <f t="shared" si="53"/>
        <v/>
      </c>
      <c r="S237" s="5">
        <f t="shared" si="54"/>
        <v>45641</v>
      </c>
      <c r="T237" s="4">
        <v>45484</v>
      </c>
      <c r="U237" s="19">
        <f t="shared" si="55"/>
        <v>157</v>
      </c>
      <c r="V237" s="5">
        <f t="shared" si="56"/>
        <v>45680</v>
      </c>
      <c r="W237" s="4">
        <v>45729</v>
      </c>
      <c r="X237" s="19">
        <f t="shared" si="57"/>
        <v>-49</v>
      </c>
      <c r="Y237" s="51">
        <f t="shared" si="58"/>
        <v>45705</v>
      </c>
      <c r="Z237" s="4">
        <v>45729</v>
      </c>
      <c r="AA237" s="49">
        <f t="shared" si="59"/>
        <v>-24</v>
      </c>
      <c r="AB237" s="51">
        <f t="shared" si="60"/>
        <v>45710</v>
      </c>
      <c r="AC237" s="49">
        <f t="shared" si="61"/>
        <v>-19</v>
      </c>
      <c r="AD237" s="43">
        <f t="shared" si="62"/>
        <v>45710</v>
      </c>
      <c r="AE237" s="4">
        <v>45729</v>
      </c>
      <c r="AF237" s="19">
        <f t="shared" si="63"/>
        <v>-19</v>
      </c>
      <c r="AG237" s="67"/>
      <c r="AH237" s="2"/>
      <c r="AI237" s="2"/>
      <c r="AJ237" s="2"/>
      <c r="AK237" s="2"/>
      <c r="AL237" s="2"/>
    </row>
    <row r="238" spans="1:38" ht="14.45">
      <c r="A238" s="156">
        <v>237</v>
      </c>
      <c r="B238" s="55">
        <v>45710</v>
      </c>
      <c r="C238" s="33"/>
      <c r="D238" s="14" t="s">
        <v>465</v>
      </c>
      <c r="E238" s="15">
        <v>15016.21</v>
      </c>
      <c r="F238" s="14" t="s">
        <v>466</v>
      </c>
      <c r="G238" s="14" t="s">
        <v>120</v>
      </c>
      <c r="H238" s="14" t="s">
        <v>40</v>
      </c>
      <c r="I238" s="14" t="s">
        <v>467</v>
      </c>
      <c r="J238" s="97">
        <f t="shared" si="48"/>
        <v>45610</v>
      </c>
      <c r="L238" s="19" t="str">
        <f t="shared" si="49"/>
        <v/>
      </c>
      <c r="M238" s="5">
        <f t="shared" si="50"/>
        <v>45621</v>
      </c>
      <c r="O238" s="19" t="str">
        <f t="shared" si="51"/>
        <v/>
      </c>
      <c r="P238" s="5">
        <f t="shared" si="52"/>
        <v>45636</v>
      </c>
      <c r="R238" s="19" t="str">
        <f t="shared" si="53"/>
        <v/>
      </c>
      <c r="S238" s="5">
        <f t="shared" si="54"/>
        <v>45641</v>
      </c>
      <c r="T238" s="4">
        <v>45663</v>
      </c>
      <c r="U238" s="19">
        <f t="shared" si="55"/>
        <v>-22</v>
      </c>
      <c r="V238" s="5">
        <f t="shared" si="56"/>
        <v>45680</v>
      </c>
      <c r="W238" s="4">
        <v>45729</v>
      </c>
      <c r="X238" s="19">
        <f t="shared" si="57"/>
        <v>-49</v>
      </c>
      <c r="Y238" s="51">
        <f t="shared" si="58"/>
        <v>45705</v>
      </c>
      <c r="Z238" s="4">
        <v>45729</v>
      </c>
      <c r="AA238" s="49">
        <f t="shared" si="59"/>
        <v>-24</v>
      </c>
      <c r="AB238" s="51">
        <f t="shared" si="60"/>
        <v>45710</v>
      </c>
      <c r="AC238" s="49">
        <f t="shared" si="61"/>
        <v>-19</v>
      </c>
      <c r="AD238" s="43">
        <f t="shared" si="62"/>
        <v>45710</v>
      </c>
      <c r="AE238" s="4">
        <v>45729</v>
      </c>
      <c r="AF238" s="19">
        <f t="shared" si="63"/>
        <v>-19</v>
      </c>
      <c r="AG238" s="67"/>
      <c r="AH238" s="2"/>
      <c r="AI238" s="2"/>
      <c r="AJ238" s="2"/>
      <c r="AK238" s="2"/>
      <c r="AL238" s="2"/>
    </row>
    <row r="239" spans="1:38" ht="14.45">
      <c r="A239" s="156">
        <v>238</v>
      </c>
      <c r="B239" s="55">
        <v>45710</v>
      </c>
      <c r="C239" s="33"/>
      <c r="D239" s="14" t="s">
        <v>465</v>
      </c>
      <c r="E239" s="15">
        <v>487771.59</v>
      </c>
      <c r="F239" s="14" t="s">
        <v>468</v>
      </c>
      <c r="G239" s="14" t="s">
        <v>120</v>
      </c>
      <c r="H239" s="14" t="s">
        <v>40</v>
      </c>
      <c r="I239" s="14" t="s">
        <v>37</v>
      </c>
      <c r="J239" s="97">
        <f t="shared" si="48"/>
        <v>45610</v>
      </c>
      <c r="K239" s="4">
        <v>45484</v>
      </c>
      <c r="L239" s="19">
        <f t="shared" si="49"/>
        <v>126</v>
      </c>
      <c r="M239" s="5">
        <f t="shared" si="50"/>
        <v>45621</v>
      </c>
      <c r="O239" s="19" t="str">
        <f t="shared" si="51"/>
        <v/>
      </c>
      <c r="P239" s="5">
        <f t="shared" si="52"/>
        <v>45636</v>
      </c>
      <c r="R239" s="19" t="str">
        <f t="shared" si="53"/>
        <v/>
      </c>
      <c r="S239" s="5">
        <f t="shared" si="54"/>
        <v>45641</v>
      </c>
      <c r="T239" s="4">
        <v>45484</v>
      </c>
      <c r="U239" s="19">
        <f t="shared" si="55"/>
        <v>157</v>
      </c>
      <c r="V239" s="5">
        <f t="shared" si="56"/>
        <v>45680</v>
      </c>
      <c r="W239" s="4">
        <v>45729</v>
      </c>
      <c r="X239" s="19">
        <f t="shared" si="57"/>
        <v>-49</v>
      </c>
      <c r="Y239" s="51">
        <f t="shared" si="58"/>
        <v>45705</v>
      </c>
      <c r="Z239" s="4">
        <v>45729</v>
      </c>
      <c r="AA239" s="49">
        <f t="shared" si="59"/>
        <v>-24</v>
      </c>
      <c r="AB239" s="51">
        <f t="shared" si="60"/>
        <v>45710</v>
      </c>
      <c r="AC239" s="49">
        <f t="shared" si="61"/>
        <v>-19</v>
      </c>
      <c r="AD239" s="43">
        <f t="shared" si="62"/>
        <v>45710</v>
      </c>
      <c r="AE239" s="4">
        <v>45729</v>
      </c>
      <c r="AF239" s="19">
        <f t="shared" si="63"/>
        <v>-19</v>
      </c>
      <c r="AG239" s="67"/>
      <c r="AH239" s="2"/>
      <c r="AI239" s="2"/>
      <c r="AJ239" s="2"/>
      <c r="AK239" s="2"/>
      <c r="AL239" s="2"/>
    </row>
    <row r="240" spans="1:38" ht="14.45">
      <c r="A240" s="156">
        <v>239</v>
      </c>
      <c r="B240" s="55">
        <v>45710</v>
      </c>
      <c r="C240" s="33"/>
      <c r="D240" s="14" t="s">
        <v>465</v>
      </c>
      <c r="E240" s="15">
        <v>185817.75</v>
      </c>
      <c r="F240" s="14" t="s">
        <v>468</v>
      </c>
      <c r="G240" s="14" t="s">
        <v>120</v>
      </c>
      <c r="H240" s="14" t="s">
        <v>40</v>
      </c>
      <c r="I240" s="14" t="s">
        <v>37</v>
      </c>
      <c r="J240" s="97">
        <f t="shared" si="48"/>
        <v>45610</v>
      </c>
      <c r="K240" s="4">
        <v>45484</v>
      </c>
      <c r="L240" s="19">
        <f t="shared" si="49"/>
        <v>126</v>
      </c>
      <c r="M240" s="5">
        <f t="shared" si="50"/>
        <v>45621</v>
      </c>
      <c r="O240" s="19" t="str">
        <f t="shared" si="51"/>
        <v/>
      </c>
      <c r="P240" s="5">
        <f t="shared" si="52"/>
        <v>45636</v>
      </c>
      <c r="R240" s="19" t="str">
        <f t="shared" si="53"/>
        <v/>
      </c>
      <c r="S240" s="5">
        <f t="shared" si="54"/>
        <v>45641</v>
      </c>
      <c r="T240" s="4">
        <v>45484</v>
      </c>
      <c r="U240" s="19">
        <f t="shared" si="55"/>
        <v>157</v>
      </c>
      <c r="V240" s="5">
        <f t="shared" si="56"/>
        <v>45680</v>
      </c>
      <c r="W240" s="4">
        <v>45729</v>
      </c>
      <c r="X240" s="19">
        <f t="shared" si="57"/>
        <v>-49</v>
      </c>
      <c r="Y240" s="51">
        <f t="shared" si="58"/>
        <v>45705</v>
      </c>
      <c r="Z240" s="4">
        <v>45729</v>
      </c>
      <c r="AA240" s="49">
        <f t="shared" si="59"/>
        <v>-24</v>
      </c>
      <c r="AB240" s="51">
        <f t="shared" si="60"/>
        <v>45710</v>
      </c>
      <c r="AC240" s="49">
        <f t="shared" si="61"/>
        <v>-19</v>
      </c>
      <c r="AD240" s="43">
        <f t="shared" si="62"/>
        <v>45710</v>
      </c>
      <c r="AE240" s="4">
        <v>45729</v>
      </c>
      <c r="AF240" s="19">
        <f t="shared" si="63"/>
        <v>-19</v>
      </c>
      <c r="AG240" s="67"/>
      <c r="AH240" s="2"/>
      <c r="AI240" s="2"/>
      <c r="AJ240" s="2"/>
      <c r="AK240" s="2"/>
      <c r="AL240" s="2"/>
    </row>
    <row r="241" spans="1:38" ht="14.45">
      <c r="A241" s="156">
        <v>240</v>
      </c>
      <c r="B241" s="55">
        <v>45710</v>
      </c>
      <c r="C241" s="33"/>
      <c r="D241" s="14" t="s">
        <v>465</v>
      </c>
      <c r="E241" s="15">
        <v>139363.31</v>
      </c>
      <c r="F241" s="14" t="s">
        <v>469</v>
      </c>
      <c r="G241" s="14" t="s">
        <v>120</v>
      </c>
      <c r="H241" s="14" t="s">
        <v>40</v>
      </c>
      <c r="I241" s="14" t="s">
        <v>37</v>
      </c>
      <c r="J241" s="97">
        <f t="shared" si="48"/>
        <v>45610</v>
      </c>
      <c r="K241" s="4">
        <v>45484</v>
      </c>
      <c r="L241" s="19">
        <f t="shared" si="49"/>
        <v>126</v>
      </c>
      <c r="M241" s="5">
        <f t="shared" si="50"/>
        <v>45621</v>
      </c>
      <c r="O241" s="19" t="str">
        <f t="shared" si="51"/>
        <v/>
      </c>
      <c r="P241" s="5">
        <f t="shared" si="52"/>
        <v>45636</v>
      </c>
      <c r="R241" s="19" t="str">
        <f t="shared" si="53"/>
        <v/>
      </c>
      <c r="S241" s="5">
        <f t="shared" si="54"/>
        <v>45641</v>
      </c>
      <c r="T241" s="4">
        <v>45484</v>
      </c>
      <c r="U241" s="19">
        <f t="shared" si="55"/>
        <v>157</v>
      </c>
      <c r="V241" s="5">
        <f t="shared" si="56"/>
        <v>45680</v>
      </c>
      <c r="W241" s="4">
        <v>45729</v>
      </c>
      <c r="X241" s="19">
        <f t="shared" si="57"/>
        <v>-49</v>
      </c>
      <c r="Y241" s="51">
        <f t="shared" si="58"/>
        <v>45705</v>
      </c>
      <c r="Z241" s="4">
        <v>45729</v>
      </c>
      <c r="AA241" s="49">
        <f t="shared" si="59"/>
        <v>-24</v>
      </c>
      <c r="AB241" s="51">
        <f t="shared" si="60"/>
        <v>45710</v>
      </c>
      <c r="AC241" s="49">
        <f t="shared" si="61"/>
        <v>-19</v>
      </c>
      <c r="AD241" s="43">
        <f t="shared" si="62"/>
        <v>45710</v>
      </c>
      <c r="AE241" s="4">
        <v>45729</v>
      </c>
      <c r="AF241" s="19">
        <f t="shared" si="63"/>
        <v>-19</v>
      </c>
      <c r="AG241" s="67"/>
      <c r="AH241" s="2"/>
      <c r="AI241" s="2"/>
      <c r="AJ241" s="2"/>
      <c r="AK241" s="2"/>
      <c r="AL241" s="2"/>
    </row>
    <row r="242" spans="1:38" ht="14.45">
      <c r="A242" s="156">
        <v>241</v>
      </c>
      <c r="B242" s="55">
        <v>45710</v>
      </c>
      <c r="C242" s="33"/>
      <c r="D242" s="14" t="s">
        <v>465</v>
      </c>
      <c r="E242" s="15">
        <v>116136.09</v>
      </c>
      <c r="F242" s="14" t="s">
        <v>37</v>
      </c>
      <c r="G242" s="14" t="s">
        <v>120</v>
      </c>
      <c r="H242" s="14" t="s">
        <v>40</v>
      </c>
      <c r="I242" s="14" t="s">
        <v>37</v>
      </c>
      <c r="J242" s="97">
        <f t="shared" si="48"/>
        <v>45610</v>
      </c>
      <c r="K242" s="4">
        <v>45484</v>
      </c>
      <c r="L242" s="19">
        <f t="shared" si="49"/>
        <v>126</v>
      </c>
      <c r="M242" s="5">
        <f t="shared" si="50"/>
        <v>45621</v>
      </c>
      <c r="O242" s="19" t="str">
        <f t="shared" si="51"/>
        <v/>
      </c>
      <c r="P242" s="5">
        <f t="shared" si="52"/>
        <v>45636</v>
      </c>
      <c r="R242" s="19" t="str">
        <f t="shared" si="53"/>
        <v/>
      </c>
      <c r="S242" s="5">
        <f t="shared" si="54"/>
        <v>45641</v>
      </c>
      <c r="T242" s="4">
        <v>45484</v>
      </c>
      <c r="U242" s="19">
        <f t="shared" si="55"/>
        <v>157</v>
      </c>
      <c r="V242" s="5">
        <f t="shared" si="56"/>
        <v>45680</v>
      </c>
      <c r="W242" s="4">
        <v>45729</v>
      </c>
      <c r="X242" s="19">
        <f t="shared" si="57"/>
        <v>-49</v>
      </c>
      <c r="Y242" s="51">
        <f t="shared" si="58"/>
        <v>45705</v>
      </c>
      <c r="Z242" s="4">
        <v>45729</v>
      </c>
      <c r="AA242" s="49">
        <f t="shared" si="59"/>
        <v>-24</v>
      </c>
      <c r="AB242" s="51">
        <f t="shared" si="60"/>
        <v>45710</v>
      </c>
      <c r="AC242" s="49">
        <f t="shared" si="61"/>
        <v>-19</v>
      </c>
      <c r="AD242" s="43">
        <f t="shared" si="62"/>
        <v>45710</v>
      </c>
      <c r="AE242" s="4">
        <v>45729</v>
      </c>
      <c r="AF242" s="19">
        <f t="shared" si="63"/>
        <v>-19</v>
      </c>
      <c r="AG242" s="67"/>
      <c r="AH242" s="2"/>
      <c r="AI242" s="2"/>
      <c r="AJ242" s="2"/>
      <c r="AK242" s="2"/>
      <c r="AL242" s="2"/>
    </row>
    <row r="243" spans="1:38" ht="14.45">
      <c r="A243" s="156">
        <v>242</v>
      </c>
      <c r="B243" s="55">
        <v>45711</v>
      </c>
      <c r="C243" s="83" t="s">
        <v>470</v>
      </c>
      <c r="D243" s="14" t="s">
        <v>471</v>
      </c>
      <c r="E243" s="15">
        <v>47259.65</v>
      </c>
      <c r="F243" s="14" t="s">
        <v>472</v>
      </c>
      <c r="G243" s="14" t="s">
        <v>35</v>
      </c>
      <c r="H243" s="14" t="s">
        <v>40</v>
      </c>
      <c r="I243" s="14" t="s">
        <v>37</v>
      </c>
      <c r="J243" s="97">
        <f t="shared" si="48"/>
        <v>45611</v>
      </c>
      <c r="L243" s="19" t="str">
        <f t="shared" si="49"/>
        <v/>
      </c>
      <c r="M243" s="5">
        <f t="shared" si="50"/>
        <v>45622</v>
      </c>
      <c r="O243" s="19" t="str">
        <f t="shared" si="51"/>
        <v/>
      </c>
      <c r="P243" s="5">
        <f t="shared" si="52"/>
        <v>45637</v>
      </c>
      <c r="R243" s="19" t="str">
        <f t="shared" si="53"/>
        <v/>
      </c>
      <c r="S243" s="5">
        <f t="shared" si="54"/>
        <v>45642</v>
      </c>
      <c r="T243" s="4">
        <v>45663</v>
      </c>
      <c r="U243" s="19">
        <f t="shared" si="55"/>
        <v>-21</v>
      </c>
      <c r="V243" s="5">
        <f t="shared" si="56"/>
        <v>45681</v>
      </c>
      <c r="W243" s="4">
        <v>45688</v>
      </c>
      <c r="X243" s="19">
        <f t="shared" si="57"/>
        <v>-7</v>
      </c>
      <c r="Y243" s="51">
        <f t="shared" si="58"/>
        <v>45706</v>
      </c>
      <c r="AA243" s="49" t="str">
        <f t="shared" si="59"/>
        <v/>
      </c>
      <c r="AB243" s="51">
        <f t="shared" si="60"/>
        <v>45711</v>
      </c>
      <c r="AC243" s="49" t="str">
        <f t="shared" si="61"/>
        <v/>
      </c>
      <c r="AD243" s="43">
        <f t="shared" si="62"/>
        <v>45711</v>
      </c>
      <c r="AF243" s="19" t="str">
        <f t="shared" si="63"/>
        <v/>
      </c>
      <c r="AG243" s="67"/>
      <c r="AH243" s="2"/>
      <c r="AI243" s="2"/>
      <c r="AJ243" s="2"/>
      <c r="AK243" s="2"/>
      <c r="AL243" s="2"/>
    </row>
    <row r="244" spans="1:38" ht="14.45">
      <c r="A244" s="156">
        <v>243</v>
      </c>
      <c r="B244" s="55">
        <v>45711</v>
      </c>
      <c r="C244" s="84" t="s">
        <v>473</v>
      </c>
      <c r="D244" s="14" t="s">
        <v>474</v>
      </c>
      <c r="E244" s="15">
        <v>872.26</v>
      </c>
      <c r="F244" s="14" t="s">
        <v>475</v>
      </c>
      <c r="G244" s="14" t="s">
        <v>35</v>
      </c>
      <c r="H244" s="14" t="s">
        <v>40</v>
      </c>
      <c r="I244" s="14" t="s">
        <v>235</v>
      </c>
      <c r="J244" s="97">
        <f t="shared" si="48"/>
        <v>45611</v>
      </c>
      <c r="K244" s="95">
        <v>45664</v>
      </c>
      <c r="L244" s="19">
        <f t="shared" si="49"/>
        <v>-53</v>
      </c>
      <c r="M244" s="5">
        <f t="shared" si="50"/>
        <v>45622</v>
      </c>
      <c r="O244" s="19" t="str">
        <f t="shared" si="51"/>
        <v/>
      </c>
      <c r="P244" s="5">
        <f t="shared" si="52"/>
        <v>45637</v>
      </c>
      <c r="R244" s="19" t="str">
        <f t="shared" si="53"/>
        <v/>
      </c>
      <c r="S244" s="5">
        <f t="shared" si="54"/>
        <v>45642</v>
      </c>
      <c r="T244" s="4">
        <v>45663</v>
      </c>
      <c r="U244" s="19">
        <f t="shared" si="55"/>
        <v>-21</v>
      </c>
      <c r="V244" s="5">
        <f t="shared" si="56"/>
        <v>45681</v>
      </c>
      <c r="W244" s="4">
        <v>45712</v>
      </c>
      <c r="X244" s="19">
        <f t="shared" si="57"/>
        <v>-31</v>
      </c>
      <c r="Y244" s="51">
        <f t="shared" si="58"/>
        <v>45706</v>
      </c>
      <c r="AA244" s="49" t="str">
        <f t="shared" si="59"/>
        <v/>
      </c>
      <c r="AB244" s="51">
        <f t="shared" si="60"/>
        <v>45711</v>
      </c>
      <c r="AC244" s="49" t="str">
        <f t="shared" si="61"/>
        <v/>
      </c>
      <c r="AD244" s="43">
        <f t="shared" si="62"/>
        <v>45711</v>
      </c>
      <c r="AF244" s="19" t="str">
        <f t="shared" si="63"/>
        <v/>
      </c>
      <c r="AG244" s="67"/>
      <c r="AH244" s="2"/>
      <c r="AI244" s="2"/>
      <c r="AJ244" s="2"/>
      <c r="AK244" s="2"/>
      <c r="AL244" s="2"/>
    </row>
    <row r="245" spans="1:38" ht="14.45">
      <c r="A245" s="156">
        <v>244</v>
      </c>
      <c r="B245" s="55">
        <v>45712</v>
      </c>
      <c r="D245" s="14" t="s">
        <v>476</v>
      </c>
      <c r="E245" s="15">
        <v>19569.810000000001</v>
      </c>
      <c r="F245" s="14" t="s">
        <v>477</v>
      </c>
      <c r="G245" s="10" t="s">
        <v>120</v>
      </c>
      <c r="H245" s="14" t="s">
        <v>40</v>
      </c>
      <c r="I245" s="14" t="s">
        <v>93</v>
      </c>
      <c r="J245" s="97">
        <f t="shared" si="48"/>
        <v>45612</v>
      </c>
      <c r="L245" s="19" t="str">
        <f t="shared" si="49"/>
        <v/>
      </c>
      <c r="M245" s="5">
        <f t="shared" si="50"/>
        <v>45623</v>
      </c>
      <c r="N245" s="95">
        <v>45660</v>
      </c>
      <c r="O245" s="19">
        <f t="shared" si="51"/>
        <v>-37</v>
      </c>
      <c r="P245" s="5">
        <f t="shared" si="52"/>
        <v>45638</v>
      </c>
      <c r="Q245" s="95">
        <v>45691</v>
      </c>
      <c r="R245" s="19">
        <f t="shared" si="53"/>
        <v>-53</v>
      </c>
      <c r="S245" s="5">
        <f t="shared" si="54"/>
        <v>45643</v>
      </c>
      <c r="U245" s="19" t="str">
        <f t="shared" si="55"/>
        <v/>
      </c>
      <c r="V245" s="5">
        <f t="shared" si="56"/>
        <v>45682</v>
      </c>
      <c r="X245" s="19" t="str">
        <f t="shared" si="57"/>
        <v/>
      </c>
      <c r="Y245" s="51">
        <f t="shared" si="58"/>
        <v>45707</v>
      </c>
      <c r="AA245" s="49" t="str">
        <f t="shared" si="59"/>
        <v/>
      </c>
      <c r="AB245" s="51">
        <f t="shared" si="60"/>
        <v>45712</v>
      </c>
      <c r="AC245" s="49" t="str">
        <f t="shared" si="61"/>
        <v/>
      </c>
      <c r="AD245" s="43">
        <f t="shared" si="62"/>
        <v>45712</v>
      </c>
      <c r="AF245" s="19" t="str">
        <f t="shared" si="63"/>
        <v/>
      </c>
      <c r="AG245" s="67"/>
      <c r="AH245" s="2"/>
      <c r="AI245" s="2"/>
      <c r="AJ245" s="2"/>
      <c r="AK245" s="2"/>
      <c r="AL245" s="2"/>
    </row>
    <row r="246" spans="1:38" ht="14.45">
      <c r="A246" s="156">
        <v>245</v>
      </c>
      <c r="B246" s="55">
        <v>45712</v>
      </c>
      <c r="C246" s="33"/>
      <c r="D246" s="14" t="s">
        <v>478</v>
      </c>
      <c r="E246" s="15">
        <v>302.47000000000003</v>
      </c>
      <c r="F246" s="14" t="s">
        <v>479</v>
      </c>
      <c r="G246" s="14" t="s">
        <v>190</v>
      </c>
      <c r="H246" s="14" t="s">
        <v>40</v>
      </c>
      <c r="I246" s="14" t="s">
        <v>37</v>
      </c>
      <c r="J246" s="97">
        <f t="shared" si="48"/>
        <v>45612</v>
      </c>
      <c r="L246" s="19" t="str">
        <f t="shared" si="49"/>
        <v/>
      </c>
      <c r="M246" s="5">
        <f t="shared" si="50"/>
        <v>45623</v>
      </c>
      <c r="O246" s="19" t="str">
        <f t="shared" si="51"/>
        <v/>
      </c>
      <c r="P246" s="5">
        <f t="shared" si="52"/>
        <v>45638</v>
      </c>
      <c r="R246" s="19" t="str">
        <f t="shared" si="53"/>
        <v/>
      </c>
      <c r="S246" s="5">
        <f t="shared" si="54"/>
        <v>45643</v>
      </c>
      <c r="T246" s="4">
        <v>45663</v>
      </c>
      <c r="U246" s="19">
        <f t="shared" si="55"/>
        <v>-20</v>
      </c>
      <c r="V246" s="5">
        <f t="shared" si="56"/>
        <v>45682</v>
      </c>
      <c r="W246" s="4">
        <v>45707</v>
      </c>
      <c r="X246" s="19">
        <f t="shared" si="57"/>
        <v>-25</v>
      </c>
      <c r="Y246" s="51">
        <f t="shared" si="58"/>
        <v>45707</v>
      </c>
      <c r="Z246" s="4">
        <v>45707</v>
      </c>
      <c r="AA246" s="49">
        <f t="shared" si="59"/>
        <v>0</v>
      </c>
      <c r="AB246" s="51">
        <f t="shared" si="60"/>
        <v>45712</v>
      </c>
      <c r="AC246" s="49">
        <f t="shared" si="61"/>
        <v>5</v>
      </c>
      <c r="AD246" s="43">
        <f t="shared" si="62"/>
        <v>45712</v>
      </c>
      <c r="AE246" s="4">
        <v>45707</v>
      </c>
      <c r="AF246" s="19">
        <f t="shared" si="63"/>
        <v>5</v>
      </c>
      <c r="AG246" s="67"/>
      <c r="AH246" s="2"/>
      <c r="AI246" s="2"/>
      <c r="AJ246" s="2"/>
      <c r="AK246" s="2"/>
      <c r="AL246" s="2"/>
    </row>
    <row r="247" spans="1:38" ht="14.45">
      <c r="A247" s="156">
        <v>246</v>
      </c>
      <c r="B247" s="55">
        <v>45712</v>
      </c>
      <c r="C247" s="76" t="s">
        <v>480</v>
      </c>
      <c r="D247" s="14" t="s">
        <v>481</v>
      </c>
      <c r="E247" s="15">
        <v>15294.08</v>
      </c>
      <c r="F247" s="14" t="s">
        <v>482</v>
      </c>
      <c r="G247" s="14" t="s">
        <v>46</v>
      </c>
      <c r="H247" s="14" t="s">
        <v>40</v>
      </c>
      <c r="I247" s="14" t="s">
        <v>62</v>
      </c>
      <c r="J247" s="97">
        <f t="shared" si="48"/>
        <v>45612</v>
      </c>
      <c r="K247" s="4">
        <v>45637</v>
      </c>
      <c r="L247" s="19">
        <f t="shared" si="49"/>
        <v>-25</v>
      </c>
      <c r="M247" s="5">
        <f t="shared" si="50"/>
        <v>45623</v>
      </c>
      <c r="O247" s="19" t="str">
        <f t="shared" si="51"/>
        <v/>
      </c>
      <c r="P247" s="5">
        <f t="shared" si="52"/>
        <v>45638</v>
      </c>
      <c r="R247" s="19" t="str">
        <f t="shared" si="53"/>
        <v/>
      </c>
      <c r="S247" s="5">
        <f t="shared" si="54"/>
        <v>45643</v>
      </c>
      <c r="T247" s="4">
        <v>45665</v>
      </c>
      <c r="U247" s="19">
        <f t="shared" si="55"/>
        <v>-22</v>
      </c>
      <c r="V247" s="5">
        <f t="shared" si="56"/>
        <v>45682</v>
      </c>
      <c r="W247" s="4">
        <v>45701</v>
      </c>
      <c r="X247" s="19">
        <f t="shared" si="57"/>
        <v>-19</v>
      </c>
      <c r="Y247" s="51">
        <f t="shared" si="58"/>
        <v>45707</v>
      </c>
      <c r="AA247" s="49" t="str">
        <f t="shared" si="59"/>
        <v/>
      </c>
      <c r="AB247" s="51">
        <f t="shared" si="60"/>
        <v>45712</v>
      </c>
      <c r="AC247" s="49" t="str">
        <f t="shared" si="61"/>
        <v/>
      </c>
      <c r="AD247" s="43">
        <f t="shared" si="62"/>
        <v>45712</v>
      </c>
      <c r="AF247" s="19" t="str">
        <f t="shared" si="63"/>
        <v/>
      </c>
      <c r="AG247" s="67"/>
      <c r="AH247" s="2"/>
      <c r="AI247" s="2"/>
      <c r="AJ247" s="2"/>
      <c r="AK247" s="2"/>
      <c r="AL247" s="2"/>
    </row>
    <row r="248" spans="1:38" ht="14.45">
      <c r="A248" s="156">
        <v>247</v>
      </c>
      <c r="B248" s="55">
        <v>45712</v>
      </c>
      <c r="C248" s="76" t="s">
        <v>483</v>
      </c>
      <c r="D248" s="14" t="s">
        <v>481</v>
      </c>
      <c r="E248" s="15">
        <v>47294.12</v>
      </c>
      <c r="F248" s="14" t="s">
        <v>484</v>
      </c>
      <c r="G248" s="14" t="s">
        <v>46</v>
      </c>
      <c r="H248" s="14" t="s">
        <v>40</v>
      </c>
      <c r="I248" s="14" t="s">
        <v>62</v>
      </c>
      <c r="J248" s="97">
        <f t="shared" si="48"/>
        <v>45612</v>
      </c>
      <c r="K248" s="4">
        <v>45637</v>
      </c>
      <c r="L248" s="19">
        <f t="shared" si="49"/>
        <v>-25</v>
      </c>
      <c r="M248" s="5">
        <f t="shared" si="50"/>
        <v>45623</v>
      </c>
      <c r="O248" s="19" t="str">
        <f t="shared" si="51"/>
        <v/>
      </c>
      <c r="P248" s="5">
        <f t="shared" si="52"/>
        <v>45638</v>
      </c>
      <c r="R248" s="19" t="str">
        <f t="shared" si="53"/>
        <v/>
      </c>
      <c r="S248" s="5">
        <f t="shared" si="54"/>
        <v>45643</v>
      </c>
      <c r="T248" s="4">
        <v>45665</v>
      </c>
      <c r="U248" s="19">
        <f t="shared" si="55"/>
        <v>-22</v>
      </c>
      <c r="V248" s="5">
        <f t="shared" si="56"/>
        <v>45682</v>
      </c>
      <c r="W248" s="4">
        <v>45701</v>
      </c>
      <c r="X248" s="19">
        <f t="shared" si="57"/>
        <v>-19</v>
      </c>
      <c r="Y248" s="51">
        <f t="shared" si="58"/>
        <v>45707</v>
      </c>
      <c r="Z248" s="4">
        <v>45719</v>
      </c>
      <c r="AA248" s="49">
        <f t="shared" si="59"/>
        <v>-12</v>
      </c>
      <c r="AB248" s="51">
        <f t="shared" si="60"/>
        <v>45712</v>
      </c>
      <c r="AC248" s="49">
        <f t="shared" si="61"/>
        <v>-7</v>
      </c>
      <c r="AD248" s="43">
        <f t="shared" si="62"/>
        <v>45712</v>
      </c>
      <c r="AE248" s="4">
        <v>45719</v>
      </c>
      <c r="AF248" s="19">
        <f t="shared" si="63"/>
        <v>-7</v>
      </c>
      <c r="AG248" s="67"/>
      <c r="AH248" s="2"/>
      <c r="AI248" s="2"/>
      <c r="AJ248" s="2"/>
      <c r="AK248" s="2"/>
      <c r="AL248" s="2"/>
    </row>
    <row r="249" spans="1:38" ht="14.45">
      <c r="A249" s="156">
        <v>248</v>
      </c>
      <c r="B249" s="55">
        <v>45712</v>
      </c>
      <c r="C249" s="76">
        <v>496549270</v>
      </c>
      <c r="D249" s="14" t="s">
        <v>485</v>
      </c>
      <c r="E249" s="15">
        <v>27587.84</v>
      </c>
      <c r="F249" s="14" t="s">
        <v>486</v>
      </c>
      <c r="G249" s="14" t="s">
        <v>46</v>
      </c>
      <c r="H249" s="14" t="s">
        <v>36</v>
      </c>
      <c r="I249" s="14" t="s">
        <v>37</v>
      </c>
      <c r="J249" s="97">
        <f t="shared" si="48"/>
        <v>45612</v>
      </c>
      <c r="K249" s="4">
        <v>45637</v>
      </c>
      <c r="L249" s="19">
        <f t="shared" si="49"/>
        <v>-25</v>
      </c>
      <c r="M249" s="5">
        <f t="shared" si="50"/>
        <v>45623</v>
      </c>
      <c r="O249" s="19" t="str">
        <f t="shared" si="51"/>
        <v/>
      </c>
      <c r="P249" s="5">
        <f t="shared" si="52"/>
        <v>45638</v>
      </c>
      <c r="R249" s="19" t="str">
        <f t="shared" si="53"/>
        <v/>
      </c>
      <c r="S249" s="5">
        <f t="shared" si="54"/>
        <v>45643</v>
      </c>
      <c r="T249" s="4">
        <v>45665</v>
      </c>
      <c r="U249" s="19">
        <f t="shared" si="55"/>
        <v>-22</v>
      </c>
      <c r="V249" s="5">
        <f t="shared" si="56"/>
        <v>45682</v>
      </c>
      <c r="W249" s="4">
        <v>45680</v>
      </c>
      <c r="X249" s="19">
        <f t="shared" si="57"/>
        <v>2</v>
      </c>
      <c r="Y249" s="51">
        <f t="shared" si="58"/>
        <v>45707</v>
      </c>
      <c r="Z249" s="4">
        <v>45715</v>
      </c>
      <c r="AA249" s="49">
        <f t="shared" si="59"/>
        <v>-8</v>
      </c>
      <c r="AB249" s="51">
        <f t="shared" si="60"/>
        <v>45712</v>
      </c>
      <c r="AC249" s="49">
        <f t="shared" si="61"/>
        <v>-3</v>
      </c>
      <c r="AD249" s="43">
        <f t="shared" si="62"/>
        <v>45712</v>
      </c>
      <c r="AE249" s="4">
        <v>45715</v>
      </c>
      <c r="AF249" s="19">
        <f t="shared" si="63"/>
        <v>-3</v>
      </c>
      <c r="AG249" s="67"/>
      <c r="AH249" s="2"/>
      <c r="AI249" s="2"/>
      <c r="AJ249" s="2"/>
      <c r="AK249" s="2"/>
      <c r="AL249" s="2"/>
    </row>
    <row r="250" spans="1:38" ht="14.45">
      <c r="A250" s="156">
        <v>249</v>
      </c>
      <c r="B250" s="55">
        <v>45714</v>
      </c>
      <c r="C250" s="76" t="s">
        <v>487</v>
      </c>
      <c r="D250" s="14" t="s">
        <v>488</v>
      </c>
      <c r="E250" s="15">
        <v>0</v>
      </c>
      <c r="F250" s="14" t="s">
        <v>489</v>
      </c>
      <c r="G250" s="14" t="s">
        <v>46</v>
      </c>
      <c r="H250" s="14" t="s">
        <v>40</v>
      </c>
      <c r="I250" s="14" t="s">
        <v>323</v>
      </c>
      <c r="J250" s="97">
        <f t="shared" si="48"/>
        <v>45614</v>
      </c>
      <c r="K250" s="4">
        <v>45637</v>
      </c>
      <c r="L250" s="19">
        <f t="shared" si="49"/>
        <v>-23</v>
      </c>
      <c r="M250" s="5">
        <f t="shared" si="50"/>
        <v>45625</v>
      </c>
      <c r="N250" s="4">
        <v>45666</v>
      </c>
      <c r="O250" s="19">
        <f t="shared" si="51"/>
        <v>-41</v>
      </c>
      <c r="P250" s="5">
        <f t="shared" si="52"/>
        <v>45640</v>
      </c>
      <c r="R250" s="19" t="str">
        <f t="shared" si="53"/>
        <v/>
      </c>
      <c r="S250" s="5">
        <f t="shared" si="54"/>
        <v>45645</v>
      </c>
      <c r="T250" s="4">
        <v>45665</v>
      </c>
      <c r="U250" s="19">
        <f t="shared" si="55"/>
        <v>-20</v>
      </c>
      <c r="V250" s="5">
        <f t="shared" si="56"/>
        <v>45684</v>
      </c>
      <c r="W250" s="4">
        <v>45686</v>
      </c>
      <c r="X250" s="19">
        <f t="shared" si="57"/>
        <v>-2</v>
      </c>
      <c r="Y250" s="51">
        <f t="shared" si="58"/>
        <v>45709</v>
      </c>
      <c r="Z250" s="4">
        <v>45707</v>
      </c>
      <c r="AA250" s="49">
        <f t="shared" si="59"/>
        <v>2</v>
      </c>
      <c r="AB250" s="51">
        <f t="shared" si="60"/>
        <v>45714</v>
      </c>
      <c r="AC250" s="49">
        <f t="shared" si="61"/>
        <v>7</v>
      </c>
      <c r="AD250" s="43">
        <f t="shared" si="62"/>
        <v>45714</v>
      </c>
      <c r="AE250" s="4">
        <v>45707</v>
      </c>
      <c r="AF250" s="19">
        <f t="shared" si="63"/>
        <v>7</v>
      </c>
      <c r="AG250" s="67"/>
      <c r="AH250" s="2"/>
      <c r="AI250" s="2"/>
      <c r="AJ250" s="2"/>
      <c r="AK250" s="2"/>
      <c r="AL250" s="2"/>
    </row>
    <row r="251" spans="1:38" ht="14.45">
      <c r="A251" s="156">
        <v>250</v>
      </c>
      <c r="B251" s="55">
        <v>45715</v>
      </c>
      <c r="C251" s="39" t="s">
        <v>490</v>
      </c>
      <c r="D251" s="14" t="s">
        <v>38</v>
      </c>
      <c r="E251" s="15">
        <v>1105.3800000000001</v>
      </c>
      <c r="F251" s="14" t="s">
        <v>491</v>
      </c>
      <c r="G251" s="14" t="s">
        <v>190</v>
      </c>
      <c r="H251" s="14" t="s">
        <v>40</v>
      </c>
      <c r="I251" s="14" t="s">
        <v>41</v>
      </c>
      <c r="J251" s="97">
        <f t="shared" si="48"/>
        <v>45615</v>
      </c>
      <c r="L251" s="19" t="str">
        <f t="shared" si="49"/>
        <v/>
      </c>
      <c r="M251" s="5">
        <f t="shared" si="50"/>
        <v>45626</v>
      </c>
      <c r="N251" s="4">
        <v>45663</v>
      </c>
      <c r="O251" s="19">
        <f t="shared" si="51"/>
        <v>-37</v>
      </c>
      <c r="P251" s="5">
        <f t="shared" si="52"/>
        <v>45641</v>
      </c>
      <c r="Q251" s="4">
        <v>45673</v>
      </c>
      <c r="R251" s="19">
        <f t="shared" si="53"/>
        <v>-32</v>
      </c>
      <c r="S251" s="5">
        <f t="shared" si="54"/>
        <v>45646</v>
      </c>
      <c r="T251" s="4">
        <v>45674</v>
      </c>
      <c r="U251" s="19">
        <f t="shared" si="55"/>
        <v>-28</v>
      </c>
      <c r="V251" s="5">
        <f t="shared" si="56"/>
        <v>45685</v>
      </c>
      <c r="W251" s="4">
        <v>45674</v>
      </c>
      <c r="X251" s="19">
        <f t="shared" si="57"/>
        <v>11</v>
      </c>
      <c r="Y251" s="51">
        <f t="shared" si="58"/>
        <v>45710</v>
      </c>
      <c r="Z251" s="4">
        <v>45686</v>
      </c>
      <c r="AA251" s="49">
        <f t="shared" si="59"/>
        <v>24</v>
      </c>
      <c r="AB251" s="51">
        <f t="shared" si="60"/>
        <v>45715</v>
      </c>
      <c r="AC251" s="49">
        <f t="shared" si="61"/>
        <v>29</v>
      </c>
      <c r="AD251" s="43">
        <f t="shared" si="62"/>
        <v>45715</v>
      </c>
      <c r="AE251" s="4">
        <v>45686</v>
      </c>
      <c r="AF251" s="19">
        <f t="shared" si="63"/>
        <v>29</v>
      </c>
      <c r="AG251" s="67"/>
      <c r="AH251" s="2"/>
      <c r="AI251" s="2"/>
      <c r="AJ251" s="2"/>
      <c r="AK251" s="2"/>
      <c r="AL251" s="2"/>
    </row>
    <row r="252" spans="1:38" ht="14.45">
      <c r="A252" s="156">
        <v>251</v>
      </c>
      <c r="B252" s="55">
        <v>45716</v>
      </c>
      <c r="C252" s="39" t="s">
        <v>492</v>
      </c>
      <c r="D252" s="14" t="s">
        <v>38</v>
      </c>
      <c r="E252" s="15">
        <v>193.67</v>
      </c>
      <c r="F252" s="14" t="s">
        <v>493</v>
      </c>
      <c r="G252" s="14" t="s">
        <v>190</v>
      </c>
      <c r="H252" s="14" t="s">
        <v>40</v>
      </c>
      <c r="I252" s="14" t="s">
        <v>41</v>
      </c>
      <c r="J252" s="97">
        <f t="shared" si="48"/>
        <v>45616</v>
      </c>
      <c r="L252" s="19" t="str">
        <f t="shared" si="49"/>
        <v/>
      </c>
      <c r="M252" s="5">
        <f t="shared" si="50"/>
        <v>45627</v>
      </c>
      <c r="N252" s="4">
        <v>45663</v>
      </c>
      <c r="O252" s="19">
        <f t="shared" si="51"/>
        <v>-36</v>
      </c>
      <c r="P252" s="5">
        <f t="shared" si="52"/>
        <v>45642</v>
      </c>
      <c r="Q252" s="4">
        <v>45673</v>
      </c>
      <c r="R252" s="19">
        <f t="shared" si="53"/>
        <v>-31</v>
      </c>
      <c r="S252" s="5">
        <f t="shared" si="54"/>
        <v>45647</v>
      </c>
      <c r="T252" s="4">
        <v>45674</v>
      </c>
      <c r="U252" s="19">
        <f t="shared" si="55"/>
        <v>-27</v>
      </c>
      <c r="V252" s="5">
        <f t="shared" si="56"/>
        <v>45686</v>
      </c>
      <c r="W252" s="4">
        <v>45674</v>
      </c>
      <c r="X252" s="19">
        <f t="shared" si="57"/>
        <v>12</v>
      </c>
      <c r="Y252" s="51">
        <f t="shared" si="58"/>
        <v>45711</v>
      </c>
      <c r="Z252" s="4">
        <v>45686</v>
      </c>
      <c r="AA252" s="49">
        <f t="shared" si="59"/>
        <v>25</v>
      </c>
      <c r="AB252" s="51">
        <f t="shared" si="60"/>
        <v>45716</v>
      </c>
      <c r="AC252" s="49">
        <f t="shared" si="61"/>
        <v>30</v>
      </c>
      <c r="AD252" s="43">
        <f t="shared" si="62"/>
        <v>45716</v>
      </c>
      <c r="AE252" s="4">
        <v>45686</v>
      </c>
      <c r="AF252" s="19">
        <f t="shared" si="63"/>
        <v>30</v>
      </c>
      <c r="AG252" s="67"/>
      <c r="AH252" s="2"/>
      <c r="AI252" s="2"/>
      <c r="AJ252" s="2"/>
      <c r="AK252" s="2"/>
      <c r="AL252" s="2"/>
    </row>
    <row r="253" spans="1:38" ht="14.45">
      <c r="A253" s="156">
        <v>252</v>
      </c>
      <c r="B253" s="55">
        <v>45716</v>
      </c>
      <c r="C253" s="39" t="s">
        <v>494</v>
      </c>
      <c r="D253" s="14" t="s">
        <v>38</v>
      </c>
      <c r="E253" s="28">
        <v>231.01</v>
      </c>
      <c r="F253" s="14" t="s">
        <v>495</v>
      </c>
      <c r="G253" s="14" t="s">
        <v>190</v>
      </c>
      <c r="H253" s="14" t="s">
        <v>40</v>
      </c>
      <c r="I253" s="14" t="s">
        <v>41</v>
      </c>
      <c r="J253" s="97">
        <f t="shared" si="48"/>
        <v>45616</v>
      </c>
      <c r="L253" s="19" t="str">
        <f t="shared" si="49"/>
        <v/>
      </c>
      <c r="M253" s="5">
        <f t="shared" si="50"/>
        <v>45627</v>
      </c>
      <c r="N253" s="4">
        <v>45663</v>
      </c>
      <c r="O253" s="19">
        <f t="shared" si="51"/>
        <v>-36</v>
      </c>
      <c r="P253" s="5">
        <f t="shared" si="52"/>
        <v>45642</v>
      </c>
      <c r="Q253" s="4">
        <v>45673</v>
      </c>
      <c r="R253" s="19">
        <f t="shared" si="53"/>
        <v>-31</v>
      </c>
      <c r="S253" s="5">
        <f t="shared" si="54"/>
        <v>45647</v>
      </c>
      <c r="T253" s="4">
        <v>45674</v>
      </c>
      <c r="U253" s="19">
        <f t="shared" si="55"/>
        <v>-27</v>
      </c>
      <c r="V253" s="5">
        <f t="shared" si="56"/>
        <v>45686</v>
      </c>
      <c r="W253" s="4">
        <v>45674</v>
      </c>
      <c r="X253" s="19">
        <f t="shared" si="57"/>
        <v>12</v>
      </c>
      <c r="Y253" s="51">
        <f t="shared" si="58"/>
        <v>45711</v>
      </c>
      <c r="Z253" s="4">
        <v>45686</v>
      </c>
      <c r="AA253" s="49">
        <f t="shared" si="59"/>
        <v>25</v>
      </c>
      <c r="AB253" s="51">
        <f t="shared" si="60"/>
        <v>45716</v>
      </c>
      <c r="AC253" s="49">
        <f t="shared" si="61"/>
        <v>30</v>
      </c>
      <c r="AD253" s="43">
        <f t="shared" si="62"/>
        <v>45716</v>
      </c>
      <c r="AE253" s="4">
        <v>45686</v>
      </c>
      <c r="AF253" s="19">
        <f t="shared" si="63"/>
        <v>30</v>
      </c>
      <c r="AG253" s="67"/>
      <c r="AH253" s="2"/>
      <c r="AI253" s="2"/>
      <c r="AJ253" s="2"/>
      <c r="AK253" s="2"/>
      <c r="AL253" s="2"/>
    </row>
    <row r="254" spans="1:38" ht="14.45">
      <c r="A254" s="156">
        <v>253</v>
      </c>
      <c r="B254" s="54">
        <v>45716</v>
      </c>
      <c r="C254" s="83" t="s">
        <v>496</v>
      </c>
      <c r="D254" s="27" t="s">
        <v>497</v>
      </c>
      <c r="E254" s="26">
        <v>433719.84</v>
      </c>
      <c r="F254" s="21" t="s">
        <v>498</v>
      </c>
      <c r="G254" s="14" t="s">
        <v>35</v>
      </c>
      <c r="H254" s="21" t="s">
        <v>36</v>
      </c>
      <c r="I254" s="21" t="s">
        <v>37</v>
      </c>
      <c r="J254" s="97">
        <f t="shared" si="48"/>
        <v>45616</v>
      </c>
      <c r="L254" s="19" t="str">
        <f t="shared" si="49"/>
        <v/>
      </c>
      <c r="M254" s="5">
        <f t="shared" si="50"/>
        <v>45627</v>
      </c>
      <c r="O254" s="19" t="str">
        <f t="shared" si="51"/>
        <v/>
      </c>
      <c r="P254" s="5">
        <f t="shared" si="52"/>
        <v>45642</v>
      </c>
      <c r="R254" s="19" t="str">
        <f t="shared" si="53"/>
        <v/>
      </c>
      <c r="S254" s="5">
        <f t="shared" si="54"/>
        <v>45647</v>
      </c>
      <c r="T254" s="4">
        <v>45663</v>
      </c>
      <c r="U254" s="19">
        <f t="shared" si="55"/>
        <v>-16</v>
      </c>
      <c r="V254" s="5">
        <f t="shared" si="56"/>
        <v>45686</v>
      </c>
      <c r="W254" s="4">
        <v>45664</v>
      </c>
      <c r="X254" s="19">
        <f t="shared" si="57"/>
        <v>22</v>
      </c>
      <c r="Y254" s="51">
        <f t="shared" si="58"/>
        <v>45711</v>
      </c>
      <c r="AA254" s="49" t="str">
        <f t="shared" si="59"/>
        <v/>
      </c>
      <c r="AB254" s="51">
        <f t="shared" si="60"/>
        <v>45716</v>
      </c>
      <c r="AC254" s="49" t="str">
        <f t="shared" si="61"/>
        <v/>
      </c>
      <c r="AD254" s="43">
        <f t="shared" si="62"/>
        <v>45716</v>
      </c>
      <c r="AF254" s="19" t="str">
        <f t="shared" si="63"/>
        <v/>
      </c>
      <c r="AG254" s="67"/>
      <c r="AH254" s="2"/>
      <c r="AI254" s="2"/>
      <c r="AJ254" s="2"/>
      <c r="AK254" s="2"/>
      <c r="AL254" s="2"/>
    </row>
    <row r="255" spans="1:38" ht="14.45">
      <c r="A255" s="156">
        <v>254</v>
      </c>
      <c r="B255" s="54">
        <v>45716</v>
      </c>
      <c r="C255" s="85"/>
      <c r="D255" s="21" t="s">
        <v>227</v>
      </c>
      <c r="E255" s="15">
        <v>66654.16</v>
      </c>
      <c r="F255" s="21" t="s">
        <v>499</v>
      </c>
      <c r="G255" s="10" t="s">
        <v>120</v>
      </c>
      <c r="H255" s="21" t="s">
        <v>40</v>
      </c>
      <c r="I255" s="21" t="s">
        <v>62</v>
      </c>
      <c r="J255" s="97">
        <f t="shared" si="48"/>
        <v>45616</v>
      </c>
      <c r="L255" s="19" t="str">
        <f t="shared" si="49"/>
        <v/>
      </c>
      <c r="M255" s="5">
        <f t="shared" si="50"/>
        <v>45627</v>
      </c>
      <c r="O255" s="19" t="str">
        <f t="shared" si="51"/>
        <v/>
      </c>
      <c r="P255" s="5">
        <f t="shared" si="52"/>
        <v>45642</v>
      </c>
      <c r="R255" s="19" t="str">
        <f t="shared" si="53"/>
        <v/>
      </c>
      <c r="S255" s="5">
        <f t="shared" si="54"/>
        <v>45647</v>
      </c>
      <c r="T255" s="6">
        <v>45650</v>
      </c>
      <c r="U255" s="19">
        <f t="shared" si="55"/>
        <v>-3</v>
      </c>
      <c r="V255" s="5">
        <f t="shared" si="56"/>
        <v>45686</v>
      </c>
      <c r="W255" s="4">
        <v>45692</v>
      </c>
      <c r="X255" s="19">
        <f t="shared" si="57"/>
        <v>-6</v>
      </c>
      <c r="Y255" s="51">
        <f t="shared" si="58"/>
        <v>45711</v>
      </c>
      <c r="Z255" s="4">
        <v>45719</v>
      </c>
      <c r="AA255" s="49">
        <f t="shared" si="59"/>
        <v>-8</v>
      </c>
      <c r="AB255" s="51">
        <f t="shared" si="60"/>
        <v>45716</v>
      </c>
      <c r="AC255" s="49">
        <f t="shared" si="61"/>
        <v>-3</v>
      </c>
      <c r="AD255" s="43">
        <f t="shared" si="62"/>
        <v>45716</v>
      </c>
      <c r="AE255" s="4">
        <v>45719</v>
      </c>
      <c r="AF255" s="19">
        <f t="shared" si="63"/>
        <v>-3</v>
      </c>
      <c r="AG255" s="67"/>
      <c r="AH255" s="2"/>
      <c r="AI255" s="2"/>
      <c r="AJ255" s="2"/>
      <c r="AK255" s="2"/>
      <c r="AL255" s="2"/>
    </row>
    <row r="256" spans="1:38" ht="14.45">
      <c r="A256" s="156">
        <v>255</v>
      </c>
      <c r="B256" s="55">
        <v>45716</v>
      </c>
      <c r="C256" s="83" t="s">
        <v>500</v>
      </c>
      <c r="D256" s="14" t="s">
        <v>501</v>
      </c>
      <c r="E256" s="15">
        <v>60651.95</v>
      </c>
      <c r="F256" s="14" t="s">
        <v>502</v>
      </c>
      <c r="G256" s="14" t="s">
        <v>35</v>
      </c>
      <c r="H256" s="14" t="s">
        <v>36</v>
      </c>
      <c r="I256" s="14" t="s">
        <v>52</v>
      </c>
      <c r="J256" s="97">
        <f t="shared" si="48"/>
        <v>45616</v>
      </c>
      <c r="L256" s="19" t="str">
        <f t="shared" si="49"/>
        <v/>
      </c>
      <c r="M256" s="5">
        <f t="shared" si="50"/>
        <v>45627</v>
      </c>
      <c r="O256" s="19" t="str">
        <f t="shared" si="51"/>
        <v/>
      </c>
      <c r="P256" s="5">
        <f t="shared" si="52"/>
        <v>45642</v>
      </c>
      <c r="R256" s="19" t="str">
        <f t="shared" si="53"/>
        <v/>
      </c>
      <c r="S256" s="5">
        <f t="shared" si="54"/>
        <v>45647</v>
      </c>
      <c r="U256" s="19" t="str">
        <f t="shared" si="55"/>
        <v/>
      </c>
      <c r="V256" s="5">
        <f t="shared" si="56"/>
        <v>45686</v>
      </c>
      <c r="W256" s="4">
        <v>45702</v>
      </c>
      <c r="X256" s="19">
        <f t="shared" si="57"/>
        <v>-16</v>
      </c>
      <c r="Y256" s="51">
        <f t="shared" si="58"/>
        <v>45711</v>
      </c>
      <c r="Z256" s="4">
        <v>45702</v>
      </c>
      <c r="AA256" s="49">
        <f t="shared" si="59"/>
        <v>9</v>
      </c>
      <c r="AB256" s="51">
        <f t="shared" si="60"/>
        <v>45716</v>
      </c>
      <c r="AC256" s="49">
        <f t="shared" si="61"/>
        <v>14</v>
      </c>
      <c r="AD256" s="43">
        <f t="shared" si="62"/>
        <v>45716</v>
      </c>
      <c r="AE256" s="4">
        <v>45702</v>
      </c>
      <c r="AF256" s="19">
        <f t="shared" si="63"/>
        <v>14</v>
      </c>
      <c r="AG256" s="67"/>
      <c r="AH256" s="2"/>
      <c r="AI256" s="2"/>
      <c r="AJ256" s="2"/>
      <c r="AK256" s="2"/>
      <c r="AL256" s="2"/>
    </row>
    <row r="257" spans="1:38" ht="14.45">
      <c r="A257" s="156">
        <v>256</v>
      </c>
      <c r="B257" s="55">
        <v>45716</v>
      </c>
      <c r="C257" s="84" t="s">
        <v>503</v>
      </c>
      <c r="D257" s="14" t="s">
        <v>504</v>
      </c>
      <c r="E257" s="15">
        <v>7447.65</v>
      </c>
      <c r="F257" s="14" t="s">
        <v>505</v>
      </c>
      <c r="G257" s="14" t="s">
        <v>35</v>
      </c>
      <c r="H257" s="14" t="s">
        <v>36</v>
      </c>
      <c r="I257" s="14" t="s">
        <v>62</v>
      </c>
      <c r="J257" s="97">
        <f t="shared" si="48"/>
        <v>45616</v>
      </c>
      <c r="K257" s="95">
        <v>45664</v>
      </c>
      <c r="L257" s="19">
        <f t="shared" si="49"/>
        <v>-48</v>
      </c>
      <c r="M257" s="5">
        <f t="shared" si="50"/>
        <v>45627</v>
      </c>
      <c r="O257" s="19" t="str">
        <f t="shared" si="51"/>
        <v/>
      </c>
      <c r="P257" s="5">
        <f t="shared" si="52"/>
        <v>45642</v>
      </c>
      <c r="Q257" s="4">
        <v>45719</v>
      </c>
      <c r="R257" s="19">
        <f t="shared" si="53"/>
        <v>-77</v>
      </c>
      <c r="S257" s="5">
        <f t="shared" si="54"/>
        <v>45647</v>
      </c>
      <c r="T257" s="4">
        <v>45663</v>
      </c>
      <c r="U257" s="19">
        <f t="shared" si="55"/>
        <v>-16</v>
      </c>
      <c r="V257" s="5">
        <f t="shared" si="56"/>
        <v>45686</v>
      </c>
      <c r="X257" s="19" t="str">
        <f t="shared" si="57"/>
        <v/>
      </c>
      <c r="Y257" s="51">
        <f t="shared" si="58"/>
        <v>45711</v>
      </c>
      <c r="AA257" s="49" t="str">
        <f t="shared" si="59"/>
        <v/>
      </c>
      <c r="AB257" s="51">
        <f t="shared" si="60"/>
        <v>45716</v>
      </c>
      <c r="AC257" s="49" t="str">
        <f t="shared" si="61"/>
        <v/>
      </c>
      <c r="AD257" s="43">
        <f t="shared" si="62"/>
        <v>45716</v>
      </c>
      <c r="AF257" s="19" t="str">
        <f t="shared" si="63"/>
        <v/>
      </c>
      <c r="AG257" s="67"/>
      <c r="AH257" s="2"/>
      <c r="AI257" s="2"/>
      <c r="AJ257" s="2"/>
      <c r="AK257" s="2"/>
      <c r="AL257" s="2"/>
    </row>
    <row r="258" spans="1:38" ht="14.45">
      <c r="A258" s="156">
        <v>257</v>
      </c>
      <c r="B258" s="55">
        <v>45717</v>
      </c>
      <c r="C258" s="83" t="s">
        <v>506</v>
      </c>
      <c r="D258" s="14" t="s">
        <v>507</v>
      </c>
      <c r="E258" s="15">
        <v>12238.2</v>
      </c>
      <c r="F258" s="14" t="s">
        <v>508</v>
      </c>
      <c r="G258" s="14" t="s">
        <v>35</v>
      </c>
      <c r="H258" s="14" t="s">
        <v>40</v>
      </c>
      <c r="I258" s="14" t="s">
        <v>443</v>
      </c>
      <c r="J258" s="97">
        <f t="shared" ref="J258:J321" si="64">B258-100</f>
        <v>45617</v>
      </c>
      <c r="L258" s="19" t="str">
        <f t="shared" ref="L258:L321" si="65">IF(OR(J258="", K258=""), "", J258-K258)</f>
        <v/>
      </c>
      <c r="M258" s="5">
        <f t="shared" ref="M258:M321" si="66">B258-89</f>
        <v>45628</v>
      </c>
      <c r="O258" s="19" t="str">
        <f t="shared" ref="O258:O321" si="67">IF(OR(M258="", N258=""), "", M258-N258)</f>
        <v/>
      </c>
      <c r="P258" s="5">
        <f t="shared" ref="P258:P321" si="68">B258-74</f>
        <v>45643</v>
      </c>
      <c r="R258" s="19" t="str">
        <f t="shared" ref="R258:R321" si="69">IF(OR(P258="", Q258=""), "", P258-Q258)</f>
        <v/>
      </c>
      <c r="S258" s="5">
        <f t="shared" si="54"/>
        <v>45648</v>
      </c>
      <c r="U258" s="19" t="str">
        <f t="shared" ref="U258:U321" si="70">IF(OR(S258="", T258=""), "", S258-T258)</f>
        <v/>
      </c>
      <c r="V258" s="5">
        <f t="shared" ref="V258:V321" si="71">B258-30</f>
        <v>45687</v>
      </c>
      <c r="W258" s="4">
        <v>45693</v>
      </c>
      <c r="X258" s="19">
        <f t="shared" ref="X258:X321" si="72">IF(OR(V258="", W258=""), "", V258-W258)</f>
        <v>-6</v>
      </c>
      <c r="Y258" s="51">
        <f t="shared" ref="Y258:Y321" si="73">B258-5</f>
        <v>45712</v>
      </c>
      <c r="Z258" s="4">
        <v>45729</v>
      </c>
      <c r="AA258" s="49">
        <f t="shared" ref="AA258:AA321" si="74">IF(OR(Y258="", Z258=""), "", Y258-Z258)</f>
        <v>-17</v>
      </c>
      <c r="AB258" s="51">
        <f t="shared" ref="AB258:AB321" si="75">IF(B258&lt;&gt;"", B258, "")</f>
        <v>45717</v>
      </c>
      <c r="AC258" s="49">
        <f t="shared" ref="AC258:AC321" si="76">IF(OR(AB258="", Z258=""), "", AB258-Z258)</f>
        <v>-12</v>
      </c>
      <c r="AD258" s="43">
        <f t="shared" ref="AD258:AD321" si="77">IF(B258&lt;&gt;"", B258, "")</f>
        <v>45717</v>
      </c>
      <c r="AE258" s="4">
        <v>45729</v>
      </c>
      <c r="AF258" s="19">
        <f t="shared" ref="AF258:AF321" si="78">IF(OR(AD258="", AE258=""), "", AD258-AE258)</f>
        <v>-12</v>
      </c>
      <c r="AG258" s="67"/>
      <c r="AH258" s="2"/>
      <c r="AI258" s="2"/>
      <c r="AJ258" s="2"/>
      <c r="AK258" s="2"/>
      <c r="AL258" s="2"/>
    </row>
    <row r="259" spans="1:38" ht="14.45">
      <c r="A259" s="156">
        <v>258</v>
      </c>
      <c r="B259" s="54">
        <v>45717</v>
      </c>
      <c r="C259" s="80" t="s">
        <v>509</v>
      </c>
      <c r="D259" s="12" t="s">
        <v>510</v>
      </c>
      <c r="E259" s="13">
        <v>65669.91</v>
      </c>
      <c r="F259" s="12" t="s">
        <v>511</v>
      </c>
      <c r="G259" s="12" t="s">
        <v>51</v>
      </c>
      <c r="H259" s="12" t="s">
        <v>40</v>
      </c>
      <c r="I259" s="12" t="s">
        <v>37</v>
      </c>
      <c r="J259" s="97">
        <f t="shared" si="64"/>
        <v>45617</v>
      </c>
      <c r="K259" s="4">
        <v>45625</v>
      </c>
      <c r="L259" s="19">
        <f t="shared" si="65"/>
        <v>-8</v>
      </c>
      <c r="M259" s="5">
        <f t="shared" si="66"/>
        <v>45628</v>
      </c>
      <c r="N259" s="4">
        <v>45628</v>
      </c>
      <c r="O259" s="19">
        <f t="shared" si="67"/>
        <v>0</v>
      </c>
      <c r="P259" s="5">
        <f t="shared" si="68"/>
        <v>45643</v>
      </c>
      <c r="R259" s="19" t="str">
        <f t="shared" si="69"/>
        <v/>
      </c>
      <c r="S259" s="5">
        <v>45657</v>
      </c>
      <c r="U259" s="19" t="str">
        <f t="shared" si="70"/>
        <v/>
      </c>
      <c r="V259" s="5">
        <f t="shared" si="71"/>
        <v>45687</v>
      </c>
      <c r="W259" s="4">
        <v>45700</v>
      </c>
      <c r="X259" s="19">
        <f t="shared" si="72"/>
        <v>-13</v>
      </c>
      <c r="Y259" s="51">
        <f t="shared" si="73"/>
        <v>45712</v>
      </c>
      <c r="Z259" s="4">
        <v>45728</v>
      </c>
      <c r="AA259" s="49">
        <f t="shared" si="74"/>
        <v>-16</v>
      </c>
      <c r="AB259" s="51">
        <f t="shared" si="75"/>
        <v>45717</v>
      </c>
      <c r="AC259" s="49">
        <f t="shared" si="76"/>
        <v>-11</v>
      </c>
      <c r="AD259" s="43">
        <f t="shared" si="77"/>
        <v>45717</v>
      </c>
      <c r="AE259" s="4">
        <v>45728</v>
      </c>
      <c r="AF259" s="19">
        <f t="shared" si="78"/>
        <v>-11</v>
      </c>
      <c r="AG259" s="67"/>
      <c r="AH259" s="2"/>
      <c r="AI259" s="2"/>
      <c r="AJ259" s="2"/>
      <c r="AK259" s="2"/>
      <c r="AL259" s="2"/>
    </row>
    <row r="260" spans="1:38" ht="14.45">
      <c r="A260" s="156">
        <v>259</v>
      </c>
      <c r="B260" s="54">
        <v>45717</v>
      </c>
      <c r="C260" s="33" t="s">
        <v>512</v>
      </c>
      <c r="D260" s="14" t="s">
        <v>513</v>
      </c>
      <c r="E260" s="15">
        <v>65669.84</v>
      </c>
      <c r="F260" s="14" t="s">
        <v>514</v>
      </c>
      <c r="G260" s="14" t="s">
        <v>51</v>
      </c>
      <c r="H260" s="14" t="s">
        <v>40</v>
      </c>
      <c r="I260" s="14" t="s">
        <v>37</v>
      </c>
      <c r="J260" s="97">
        <f t="shared" si="64"/>
        <v>45617</v>
      </c>
      <c r="K260" s="4">
        <v>45625</v>
      </c>
      <c r="L260" s="19">
        <f t="shared" si="65"/>
        <v>-8</v>
      </c>
      <c r="M260" s="5">
        <f t="shared" si="66"/>
        <v>45628</v>
      </c>
      <c r="O260" s="19" t="str">
        <f t="shared" si="67"/>
        <v/>
      </c>
      <c r="P260" s="5">
        <f t="shared" si="68"/>
        <v>45643</v>
      </c>
      <c r="R260" s="19" t="str">
        <f t="shared" si="69"/>
        <v/>
      </c>
      <c r="S260" s="5">
        <v>45657</v>
      </c>
      <c r="U260" s="19" t="str">
        <f t="shared" si="70"/>
        <v/>
      </c>
      <c r="V260" s="5">
        <f t="shared" si="71"/>
        <v>45687</v>
      </c>
      <c r="W260" s="4">
        <v>45700</v>
      </c>
      <c r="X260" s="19">
        <f t="shared" si="72"/>
        <v>-13</v>
      </c>
      <c r="Y260" s="51">
        <f t="shared" si="73"/>
        <v>45712</v>
      </c>
      <c r="Z260" s="4">
        <v>45728</v>
      </c>
      <c r="AA260" s="49">
        <f t="shared" si="74"/>
        <v>-16</v>
      </c>
      <c r="AB260" s="51">
        <f t="shared" si="75"/>
        <v>45717</v>
      </c>
      <c r="AC260" s="49">
        <f t="shared" si="76"/>
        <v>-11</v>
      </c>
      <c r="AD260" s="43">
        <f t="shared" si="77"/>
        <v>45717</v>
      </c>
      <c r="AE260" s="4">
        <v>45728</v>
      </c>
      <c r="AF260" s="19">
        <f t="shared" si="78"/>
        <v>-11</v>
      </c>
      <c r="AG260" s="67"/>
      <c r="AH260" s="2"/>
      <c r="AI260" s="2"/>
      <c r="AJ260" s="2"/>
      <c r="AK260" s="2"/>
      <c r="AL260" s="2"/>
    </row>
    <row r="261" spans="1:38" ht="14.45">
      <c r="A261" s="156">
        <v>260</v>
      </c>
      <c r="B261" s="54">
        <v>45717</v>
      </c>
      <c r="C261" s="33" t="s">
        <v>515</v>
      </c>
      <c r="D261" s="14" t="s">
        <v>77</v>
      </c>
      <c r="E261" s="15">
        <v>22916.87</v>
      </c>
      <c r="F261" s="14" t="s">
        <v>516</v>
      </c>
      <c r="G261" s="14" t="s">
        <v>51</v>
      </c>
      <c r="H261" s="14" t="s">
        <v>40</v>
      </c>
      <c r="I261" s="14" t="s">
        <v>37</v>
      </c>
      <c r="J261" s="97">
        <f t="shared" si="64"/>
        <v>45617</v>
      </c>
      <c r="K261" s="4">
        <v>45625</v>
      </c>
      <c r="L261" s="19">
        <f t="shared" si="65"/>
        <v>-8</v>
      </c>
      <c r="M261" s="5">
        <f t="shared" si="66"/>
        <v>45628</v>
      </c>
      <c r="N261" s="4">
        <v>45628</v>
      </c>
      <c r="O261" s="19">
        <f t="shared" si="67"/>
        <v>0</v>
      </c>
      <c r="P261" s="5">
        <f t="shared" si="68"/>
        <v>45643</v>
      </c>
      <c r="R261" s="19" t="str">
        <f t="shared" si="69"/>
        <v/>
      </c>
      <c r="S261" s="5">
        <f t="shared" ref="S261:S324" si="79">B261-69</f>
        <v>45648</v>
      </c>
      <c r="U261" s="19" t="str">
        <f t="shared" si="70"/>
        <v/>
      </c>
      <c r="V261" s="5">
        <f t="shared" si="71"/>
        <v>45687</v>
      </c>
      <c r="W261" s="4">
        <v>45701</v>
      </c>
      <c r="X261" s="19">
        <f t="shared" si="72"/>
        <v>-14</v>
      </c>
      <c r="Y261" s="51">
        <f t="shared" si="73"/>
        <v>45712</v>
      </c>
      <c r="Z261" s="4">
        <v>45736</v>
      </c>
      <c r="AA261" s="49">
        <f t="shared" si="74"/>
        <v>-24</v>
      </c>
      <c r="AB261" s="51">
        <f t="shared" si="75"/>
        <v>45717</v>
      </c>
      <c r="AC261" s="49">
        <f t="shared" si="76"/>
        <v>-19</v>
      </c>
      <c r="AD261" s="43">
        <f t="shared" si="77"/>
        <v>45717</v>
      </c>
      <c r="AE261" s="4">
        <v>45736</v>
      </c>
      <c r="AF261" s="19">
        <f t="shared" si="78"/>
        <v>-19</v>
      </c>
      <c r="AG261" s="67"/>
      <c r="AH261" s="2"/>
      <c r="AI261" s="2"/>
      <c r="AJ261" s="2"/>
      <c r="AK261" s="2"/>
      <c r="AL261" s="2"/>
    </row>
    <row r="262" spans="1:38" ht="14.45">
      <c r="A262" s="156">
        <v>261</v>
      </c>
      <c r="B262" s="54">
        <v>45717</v>
      </c>
      <c r="C262" s="33" t="s">
        <v>517</v>
      </c>
      <c r="D262" s="14" t="s">
        <v>77</v>
      </c>
      <c r="E262" s="15">
        <v>20812.099999999999</v>
      </c>
      <c r="F262" s="14" t="s">
        <v>518</v>
      </c>
      <c r="G262" s="14" t="s">
        <v>51</v>
      </c>
      <c r="H262" s="14" t="s">
        <v>40</v>
      </c>
      <c r="I262" s="14" t="s">
        <v>93</v>
      </c>
      <c r="J262" s="97">
        <f t="shared" si="64"/>
        <v>45617</v>
      </c>
      <c r="K262" s="4">
        <v>45625</v>
      </c>
      <c r="L262" s="19">
        <f t="shared" si="65"/>
        <v>-8</v>
      </c>
      <c r="M262" s="5">
        <f t="shared" si="66"/>
        <v>45628</v>
      </c>
      <c r="O262" s="19" t="str">
        <f t="shared" si="67"/>
        <v/>
      </c>
      <c r="P262" s="5">
        <f t="shared" si="68"/>
        <v>45643</v>
      </c>
      <c r="R262" s="19" t="str">
        <f t="shared" si="69"/>
        <v/>
      </c>
      <c r="S262" s="5">
        <f t="shared" si="79"/>
        <v>45648</v>
      </c>
      <c r="U262" s="19" t="str">
        <f t="shared" si="70"/>
        <v/>
      </c>
      <c r="V262" s="5">
        <f t="shared" si="71"/>
        <v>45687</v>
      </c>
      <c r="W262" s="4">
        <v>45701</v>
      </c>
      <c r="X262" s="19">
        <f t="shared" si="72"/>
        <v>-14</v>
      </c>
      <c r="Y262" s="51">
        <f t="shared" si="73"/>
        <v>45712</v>
      </c>
      <c r="Z262" s="4">
        <v>45736</v>
      </c>
      <c r="AA262" s="49">
        <f t="shared" si="74"/>
        <v>-24</v>
      </c>
      <c r="AB262" s="51">
        <f t="shared" si="75"/>
        <v>45717</v>
      </c>
      <c r="AC262" s="49">
        <f t="shared" si="76"/>
        <v>-19</v>
      </c>
      <c r="AD262" s="43">
        <f t="shared" si="77"/>
        <v>45717</v>
      </c>
      <c r="AE262" s="4">
        <v>45736</v>
      </c>
      <c r="AF262" s="19">
        <f t="shared" si="78"/>
        <v>-19</v>
      </c>
      <c r="AG262" s="67"/>
      <c r="AH262" s="2"/>
      <c r="AI262" s="2"/>
      <c r="AJ262" s="2"/>
      <c r="AK262" s="2"/>
      <c r="AL262" s="2"/>
    </row>
    <row r="263" spans="1:38" ht="14.45">
      <c r="A263" s="156">
        <v>262</v>
      </c>
      <c r="B263" s="54">
        <v>45717</v>
      </c>
      <c r="C263" s="33" t="s">
        <v>519</v>
      </c>
      <c r="D263" s="14" t="s">
        <v>77</v>
      </c>
      <c r="E263" s="15">
        <v>26357.7</v>
      </c>
      <c r="F263" s="14" t="s">
        <v>520</v>
      </c>
      <c r="G263" s="14" t="s">
        <v>51</v>
      </c>
      <c r="H263" s="14" t="s">
        <v>40</v>
      </c>
      <c r="I263" s="14" t="s">
        <v>37</v>
      </c>
      <c r="J263" s="97">
        <f t="shared" si="64"/>
        <v>45617</v>
      </c>
      <c r="K263" s="4">
        <v>45625</v>
      </c>
      <c r="L263" s="19">
        <f t="shared" si="65"/>
        <v>-8</v>
      </c>
      <c r="M263" s="5">
        <f t="shared" si="66"/>
        <v>45628</v>
      </c>
      <c r="O263" s="19" t="str">
        <f t="shared" si="67"/>
        <v/>
      </c>
      <c r="P263" s="5">
        <f t="shared" si="68"/>
        <v>45643</v>
      </c>
      <c r="R263" s="19" t="str">
        <f t="shared" si="69"/>
        <v/>
      </c>
      <c r="S263" s="5">
        <f t="shared" si="79"/>
        <v>45648</v>
      </c>
      <c r="U263" s="19" t="str">
        <f t="shared" si="70"/>
        <v/>
      </c>
      <c r="V263" s="5">
        <f t="shared" si="71"/>
        <v>45687</v>
      </c>
      <c r="W263" s="4">
        <v>45701</v>
      </c>
      <c r="X263" s="19">
        <f t="shared" si="72"/>
        <v>-14</v>
      </c>
      <c r="Y263" s="51">
        <f t="shared" si="73"/>
        <v>45712</v>
      </c>
      <c r="Z263" s="4">
        <v>45736</v>
      </c>
      <c r="AA263" s="49">
        <f t="shared" si="74"/>
        <v>-24</v>
      </c>
      <c r="AB263" s="51">
        <f t="shared" si="75"/>
        <v>45717</v>
      </c>
      <c r="AC263" s="49">
        <f t="shared" si="76"/>
        <v>-19</v>
      </c>
      <c r="AD263" s="43">
        <f t="shared" si="77"/>
        <v>45717</v>
      </c>
      <c r="AE263" s="4">
        <v>45736</v>
      </c>
      <c r="AF263" s="19">
        <f t="shared" si="78"/>
        <v>-19</v>
      </c>
      <c r="AG263" s="67"/>
      <c r="AH263" s="2"/>
      <c r="AI263" s="2"/>
      <c r="AJ263" s="2"/>
      <c r="AK263" s="2"/>
      <c r="AL263" s="2"/>
    </row>
    <row r="264" spans="1:38" ht="14.45">
      <c r="A264" s="156">
        <v>263</v>
      </c>
      <c r="B264" s="54">
        <v>45717</v>
      </c>
      <c r="C264" s="33" t="s">
        <v>521</v>
      </c>
      <c r="D264" s="14" t="s">
        <v>77</v>
      </c>
      <c r="E264" s="15">
        <v>35851.29</v>
      </c>
      <c r="F264" s="14" t="s">
        <v>522</v>
      </c>
      <c r="G264" s="14" t="s">
        <v>51</v>
      </c>
      <c r="H264" s="14" t="s">
        <v>40</v>
      </c>
      <c r="I264" s="14" t="s">
        <v>428</v>
      </c>
      <c r="J264" s="97">
        <f t="shared" si="64"/>
        <v>45617</v>
      </c>
      <c r="K264" s="4">
        <v>45625</v>
      </c>
      <c r="L264" s="19">
        <f t="shared" si="65"/>
        <v>-8</v>
      </c>
      <c r="M264" s="5">
        <f t="shared" si="66"/>
        <v>45628</v>
      </c>
      <c r="O264" s="19" t="str">
        <f t="shared" si="67"/>
        <v/>
      </c>
      <c r="P264" s="5">
        <f t="shared" si="68"/>
        <v>45643</v>
      </c>
      <c r="R264" s="19" t="str">
        <f t="shared" si="69"/>
        <v/>
      </c>
      <c r="S264" s="5">
        <f t="shared" si="79"/>
        <v>45648</v>
      </c>
      <c r="U264" s="19" t="str">
        <f t="shared" si="70"/>
        <v/>
      </c>
      <c r="V264" s="5">
        <f t="shared" si="71"/>
        <v>45687</v>
      </c>
      <c r="W264" s="4">
        <v>45701</v>
      </c>
      <c r="X264" s="19">
        <f t="shared" si="72"/>
        <v>-14</v>
      </c>
      <c r="Y264" s="51">
        <f t="shared" si="73"/>
        <v>45712</v>
      </c>
      <c r="Z264" s="4">
        <v>45736</v>
      </c>
      <c r="AA264" s="49">
        <f t="shared" si="74"/>
        <v>-24</v>
      </c>
      <c r="AB264" s="51">
        <f t="shared" si="75"/>
        <v>45717</v>
      </c>
      <c r="AC264" s="49">
        <f t="shared" si="76"/>
        <v>-19</v>
      </c>
      <c r="AD264" s="43">
        <f t="shared" si="77"/>
        <v>45717</v>
      </c>
      <c r="AE264" s="4">
        <v>45736</v>
      </c>
      <c r="AF264" s="19">
        <f t="shared" si="78"/>
        <v>-19</v>
      </c>
      <c r="AG264" s="67"/>
      <c r="AH264" s="2"/>
      <c r="AI264" s="2"/>
      <c r="AJ264" s="2"/>
      <c r="AK264" s="2"/>
      <c r="AL264" s="2"/>
    </row>
    <row r="265" spans="1:38" ht="14.45">
      <c r="A265" s="156">
        <v>264</v>
      </c>
      <c r="B265" s="54">
        <v>45717</v>
      </c>
      <c r="C265" s="33" t="s">
        <v>523</v>
      </c>
      <c r="D265" s="14" t="s">
        <v>77</v>
      </c>
      <c r="E265" s="15">
        <v>35712.370000000003</v>
      </c>
      <c r="F265" s="14" t="s">
        <v>524</v>
      </c>
      <c r="G265" s="14" t="s">
        <v>51</v>
      </c>
      <c r="H265" s="14" t="s">
        <v>40</v>
      </c>
      <c r="I265" s="14" t="s">
        <v>428</v>
      </c>
      <c r="J265" s="97">
        <f t="shared" si="64"/>
        <v>45617</v>
      </c>
      <c r="K265" s="4">
        <v>45625</v>
      </c>
      <c r="L265" s="19">
        <f t="shared" si="65"/>
        <v>-8</v>
      </c>
      <c r="M265" s="5">
        <f t="shared" si="66"/>
        <v>45628</v>
      </c>
      <c r="O265" s="19" t="str">
        <f t="shared" si="67"/>
        <v/>
      </c>
      <c r="P265" s="5">
        <f t="shared" si="68"/>
        <v>45643</v>
      </c>
      <c r="R265" s="19" t="str">
        <f t="shared" si="69"/>
        <v/>
      </c>
      <c r="S265" s="5">
        <f t="shared" si="79"/>
        <v>45648</v>
      </c>
      <c r="U265" s="19" t="str">
        <f t="shared" si="70"/>
        <v/>
      </c>
      <c r="V265" s="5">
        <f t="shared" si="71"/>
        <v>45687</v>
      </c>
      <c r="W265" s="4">
        <v>45701</v>
      </c>
      <c r="X265" s="19">
        <f t="shared" si="72"/>
        <v>-14</v>
      </c>
      <c r="Y265" s="51">
        <f t="shared" si="73"/>
        <v>45712</v>
      </c>
      <c r="Z265" s="4">
        <v>45736</v>
      </c>
      <c r="AA265" s="49">
        <f t="shared" si="74"/>
        <v>-24</v>
      </c>
      <c r="AB265" s="51">
        <f t="shared" si="75"/>
        <v>45717</v>
      </c>
      <c r="AC265" s="49">
        <f t="shared" si="76"/>
        <v>-19</v>
      </c>
      <c r="AD265" s="43">
        <f t="shared" si="77"/>
        <v>45717</v>
      </c>
      <c r="AE265" s="4">
        <v>45736</v>
      </c>
      <c r="AF265" s="19">
        <f t="shared" si="78"/>
        <v>-19</v>
      </c>
      <c r="AG265" s="67"/>
      <c r="AH265" s="2"/>
      <c r="AI265" s="2"/>
      <c r="AJ265" s="2"/>
      <c r="AK265" s="2"/>
      <c r="AL265" s="2"/>
    </row>
    <row r="266" spans="1:38" ht="14.45">
      <c r="A266" s="156">
        <v>265</v>
      </c>
      <c r="B266" s="54">
        <v>45717</v>
      </c>
      <c r="C266" s="33" t="s">
        <v>525</v>
      </c>
      <c r="D266" s="14" t="s">
        <v>77</v>
      </c>
      <c r="E266" s="15">
        <v>37407.15</v>
      </c>
      <c r="F266" s="14" t="s">
        <v>526</v>
      </c>
      <c r="G266" s="14" t="s">
        <v>51</v>
      </c>
      <c r="H266" s="14" t="s">
        <v>40</v>
      </c>
      <c r="I266" s="14" t="s">
        <v>428</v>
      </c>
      <c r="J266" s="97">
        <f t="shared" si="64"/>
        <v>45617</v>
      </c>
      <c r="K266" s="4">
        <v>45625</v>
      </c>
      <c r="L266" s="19">
        <f t="shared" si="65"/>
        <v>-8</v>
      </c>
      <c r="M266" s="5">
        <f t="shared" si="66"/>
        <v>45628</v>
      </c>
      <c r="O266" s="19" t="str">
        <f t="shared" si="67"/>
        <v/>
      </c>
      <c r="P266" s="5">
        <f t="shared" si="68"/>
        <v>45643</v>
      </c>
      <c r="R266" s="19" t="str">
        <f t="shared" si="69"/>
        <v/>
      </c>
      <c r="S266" s="5">
        <f t="shared" si="79"/>
        <v>45648</v>
      </c>
      <c r="U266" s="19" t="str">
        <f t="shared" si="70"/>
        <v/>
      </c>
      <c r="V266" s="5">
        <f t="shared" si="71"/>
        <v>45687</v>
      </c>
      <c r="W266" s="4">
        <v>45701</v>
      </c>
      <c r="X266" s="19">
        <f t="shared" si="72"/>
        <v>-14</v>
      </c>
      <c r="Y266" s="51">
        <f t="shared" si="73"/>
        <v>45712</v>
      </c>
      <c r="Z266" s="4">
        <v>45736</v>
      </c>
      <c r="AA266" s="49">
        <f t="shared" si="74"/>
        <v>-24</v>
      </c>
      <c r="AB266" s="51">
        <f t="shared" si="75"/>
        <v>45717</v>
      </c>
      <c r="AC266" s="49">
        <f t="shared" si="76"/>
        <v>-19</v>
      </c>
      <c r="AD266" s="43">
        <f t="shared" si="77"/>
        <v>45717</v>
      </c>
      <c r="AE266" s="4">
        <v>45736</v>
      </c>
      <c r="AF266" s="19">
        <f t="shared" si="78"/>
        <v>-19</v>
      </c>
      <c r="AG266" s="67"/>
      <c r="AH266" s="2"/>
      <c r="AI266" s="2"/>
      <c r="AJ266" s="2"/>
      <c r="AK266" s="2"/>
      <c r="AL266" s="2"/>
    </row>
    <row r="267" spans="1:38" ht="14.45">
      <c r="A267" s="156">
        <v>266</v>
      </c>
      <c r="B267" s="54">
        <v>45717</v>
      </c>
      <c r="C267" s="33" t="s">
        <v>527</v>
      </c>
      <c r="D267" s="14" t="s">
        <v>77</v>
      </c>
      <c r="E267" s="15">
        <v>36722.28</v>
      </c>
      <c r="F267" s="14" t="s">
        <v>528</v>
      </c>
      <c r="G267" s="14" t="s">
        <v>51</v>
      </c>
      <c r="H267" s="14" t="s">
        <v>40</v>
      </c>
      <c r="I267" s="14" t="s">
        <v>428</v>
      </c>
      <c r="J267" s="97">
        <f t="shared" si="64"/>
        <v>45617</v>
      </c>
      <c r="K267" s="4">
        <v>45625</v>
      </c>
      <c r="L267" s="19">
        <f t="shared" si="65"/>
        <v>-8</v>
      </c>
      <c r="M267" s="5">
        <f t="shared" si="66"/>
        <v>45628</v>
      </c>
      <c r="O267" s="19" t="str">
        <f t="shared" si="67"/>
        <v/>
      </c>
      <c r="P267" s="5">
        <f t="shared" si="68"/>
        <v>45643</v>
      </c>
      <c r="R267" s="19" t="str">
        <f t="shared" si="69"/>
        <v/>
      </c>
      <c r="S267" s="5">
        <f t="shared" si="79"/>
        <v>45648</v>
      </c>
      <c r="U267" s="19" t="str">
        <f t="shared" si="70"/>
        <v/>
      </c>
      <c r="V267" s="5">
        <f t="shared" si="71"/>
        <v>45687</v>
      </c>
      <c r="W267" s="4">
        <v>45701</v>
      </c>
      <c r="X267" s="19">
        <f t="shared" si="72"/>
        <v>-14</v>
      </c>
      <c r="Y267" s="51">
        <f t="shared" si="73"/>
        <v>45712</v>
      </c>
      <c r="Z267" s="4">
        <v>45736</v>
      </c>
      <c r="AA267" s="49">
        <f t="shared" si="74"/>
        <v>-24</v>
      </c>
      <c r="AB267" s="51">
        <f t="shared" si="75"/>
        <v>45717</v>
      </c>
      <c r="AC267" s="49">
        <f t="shared" si="76"/>
        <v>-19</v>
      </c>
      <c r="AD267" s="43">
        <f t="shared" si="77"/>
        <v>45717</v>
      </c>
      <c r="AE267" s="4">
        <v>45736</v>
      </c>
      <c r="AF267" s="19">
        <f t="shared" si="78"/>
        <v>-19</v>
      </c>
      <c r="AG267" s="67"/>
      <c r="AH267" s="2"/>
      <c r="AI267" s="2"/>
      <c r="AJ267" s="2"/>
      <c r="AK267" s="2"/>
      <c r="AL267" s="2"/>
    </row>
    <row r="268" spans="1:38" ht="14.45">
      <c r="A268" s="156">
        <v>267</v>
      </c>
      <c r="B268" s="54">
        <v>45717</v>
      </c>
      <c r="C268" s="33" t="s">
        <v>529</v>
      </c>
      <c r="D268" s="14" t="s">
        <v>77</v>
      </c>
      <c r="E268" s="15">
        <v>31890.959999999999</v>
      </c>
      <c r="F268" s="14" t="s">
        <v>530</v>
      </c>
      <c r="G268" s="14" t="s">
        <v>51</v>
      </c>
      <c r="H268" s="14" t="s">
        <v>40</v>
      </c>
      <c r="I268" s="14" t="s">
        <v>428</v>
      </c>
      <c r="J268" s="97">
        <f t="shared" si="64"/>
        <v>45617</v>
      </c>
      <c r="K268" s="4">
        <v>45625</v>
      </c>
      <c r="L268" s="19">
        <f t="shared" si="65"/>
        <v>-8</v>
      </c>
      <c r="M268" s="5">
        <f t="shared" si="66"/>
        <v>45628</v>
      </c>
      <c r="O268" s="19" t="str">
        <f t="shared" si="67"/>
        <v/>
      </c>
      <c r="P268" s="5">
        <f t="shared" si="68"/>
        <v>45643</v>
      </c>
      <c r="R268" s="19" t="str">
        <f t="shared" si="69"/>
        <v/>
      </c>
      <c r="S268" s="5">
        <f t="shared" si="79"/>
        <v>45648</v>
      </c>
      <c r="U268" s="19" t="str">
        <f t="shared" si="70"/>
        <v/>
      </c>
      <c r="V268" s="5">
        <f t="shared" si="71"/>
        <v>45687</v>
      </c>
      <c r="W268" s="4">
        <v>45701</v>
      </c>
      <c r="X268" s="19">
        <f t="shared" si="72"/>
        <v>-14</v>
      </c>
      <c r="Y268" s="51">
        <f t="shared" si="73"/>
        <v>45712</v>
      </c>
      <c r="Z268" s="4">
        <v>45736</v>
      </c>
      <c r="AA268" s="49">
        <f t="shared" si="74"/>
        <v>-24</v>
      </c>
      <c r="AB268" s="51">
        <f t="shared" si="75"/>
        <v>45717</v>
      </c>
      <c r="AC268" s="49">
        <f t="shared" si="76"/>
        <v>-19</v>
      </c>
      <c r="AD268" s="43">
        <f t="shared" si="77"/>
        <v>45717</v>
      </c>
      <c r="AE268" s="4">
        <v>45736</v>
      </c>
      <c r="AF268" s="19">
        <f t="shared" si="78"/>
        <v>-19</v>
      </c>
      <c r="AG268" s="67"/>
      <c r="AH268" s="2"/>
      <c r="AI268" s="2"/>
      <c r="AJ268" s="2"/>
      <c r="AK268" s="2"/>
      <c r="AL268" s="2"/>
    </row>
    <row r="269" spans="1:38" ht="14.45">
      <c r="A269" s="156">
        <v>268</v>
      </c>
      <c r="B269" s="54">
        <v>45717</v>
      </c>
      <c r="C269" s="33" t="s">
        <v>531</v>
      </c>
      <c r="D269" s="14" t="s">
        <v>77</v>
      </c>
      <c r="E269" s="15">
        <v>30400.5</v>
      </c>
      <c r="F269" s="14" t="s">
        <v>532</v>
      </c>
      <c r="G269" s="14" t="s">
        <v>51</v>
      </c>
      <c r="H269" s="14" t="s">
        <v>40</v>
      </c>
      <c r="I269" s="14" t="s">
        <v>428</v>
      </c>
      <c r="J269" s="97">
        <f t="shared" si="64"/>
        <v>45617</v>
      </c>
      <c r="K269" s="4">
        <v>45625</v>
      </c>
      <c r="L269" s="19">
        <f t="shared" si="65"/>
        <v>-8</v>
      </c>
      <c r="M269" s="5">
        <f t="shared" si="66"/>
        <v>45628</v>
      </c>
      <c r="O269" s="19" t="str">
        <f t="shared" si="67"/>
        <v/>
      </c>
      <c r="P269" s="5">
        <f t="shared" si="68"/>
        <v>45643</v>
      </c>
      <c r="R269" s="19" t="str">
        <f t="shared" si="69"/>
        <v/>
      </c>
      <c r="S269" s="5">
        <f t="shared" si="79"/>
        <v>45648</v>
      </c>
      <c r="U269" s="19" t="str">
        <f t="shared" si="70"/>
        <v/>
      </c>
      <c r="V269" s="5">
        <f t="shared" si="71"/>
        <v>45687</v>
      </c>
      <c r="W269" s="4">
        <v>45701</v>
      </c>
      <c r="X269" s="19">
        <f t="shared" si="72"/>
        <v>-14</v>
      </c>
      <c r="Y269" s="51">
        <f t="shared" si="73"/>
        <v>45712</v>
      </c>
      <c r="Z269" s="4">
        <v>45736</v>
      </c>
      <c r="AA269" s="49">
        <f t="shared" si="74"/>
        <v>-24</v>
      </c>
      <c r="AB269" s="51">
        <f t="shared" si="75"/>
        <v>45717</v>
      </c>
      <c r="AC269" s="49">
        <f t="shared" si="76"/>
        <v>-19</v>
      </c>
      <c r="AD269" s="43">
        <f t="shared" si="77"/>
        <v>45717</v>
      </c>
      <c r="AE269" s="4">
        <v>45736</v>
      </c>
      <c r="AF269" s="19">
        <f t="shared" si="78"/>
        <v>-19</v>
      </c>
      <c r="AG269" s="67"/>
      <c r="AH269" s="2"/>
      <c r="AI269" s="2"/>
      <c r="AJ269" s="2"/>
      <c r="AK269" s="2"/>
      <c r="AL269" s="2"/>
    </row>
    <row r="270" spans="1:38" ht="14.45">
      <c r="A270" s="156">
        <v>269</v>
      </c>
      <c r="B270" s="54">
        <v>45717</v>
      </c>
      <c r="C270" s="33" t="s">
        <v>533</v>
      </c>
      <c r="D270" s="14" t="s">
        <v>77</v>
      </c>
      <c r="E270" s="15">
        <v>49526.33</v>
      </c>
      <c r="F270" s="14" t="s">
        <v>534</v>
      </c>
      <c r="G270" s="14" t="s">
        <v>51</v>
      </c>
      <c r="H270" s="14" t="s">
        <v>40</v>
      </c>
      <c r="I270" s="14" t="s">
        <v>428</v>
      </c>
      <c r="J270" s="97">
        <f t="shared" si="64"/>
        <v>45617</v>
      </c>
      <c r="K270" s="4">
        <v>45625</v>
      </c>
      <c r="L270" s="19">
        <f t="shared" si="65"/>
        <v>-8</v>
      </c>
      <c r="M270" s="5">
        <f t="shared" si="66"/>
        <v>45628</v>
      </c>
      <c r="O270" s="19" t="str">
        <f t="shared" si="67"/>
        <v/>
      </c>
      <c r="P270" s="5">
        <f t="shared" si="68"/>
        <v>45643</v>
      </c>
      <c r="R270" s="19" t="str">
        <f t="shared" si="69"/>
        <v/>
      </c>
      <c r="S270" s="5">
        <f t="shared" si="79"/>
        <v>45648</v>
      </c>
      <c r="U270" s="19" t="str">
        <f t="shared" si="70"/>
        <v/>
      </c>
      <c r="V270" s="5">
        <f t="shared" si="71"/>
        <v>45687</v>
      </c>
      <c r="W270" s="4">
        <v>45701</v>
      </c>
      <c r="X270" s="19">
        <f t="shared" si="72"/>
        <v>-14</v>
      </c>
      <c r="Y270" s="51">
        <f t="shared" si="73"/>
        <v>45712</v>
      </c>
      <c r="Z270" s="4">
        <v>45736</v>
      </c>
      <c r="AA270" s="49">
        <f t="shared" si="74"/>
        <v>-24</v>
      </c>
      <c r="AB270" s="51">
        <f t="shared" si="75"/>
        <v>45717</v>
      </c>
      <c r="AC270" s="49">
        <f t="shared" si="76"/>
        <v>-19</v>
      </c>
      <c r="AD270" s="43">
        <f t="shared" si="77"/>
        <v>45717</v>
      </c>
      <c r="AE270" s="4">
        <v>45736</v>
      </c>
      <c r="AF270" s="19">
        <f t="shared" si="78"/>
        <v>-19</v>
      </c>
      <c r="AG270" s="67"/>
      <c r="AH270" s="2"/>
      <c r="AI270" s="2"/>
      <c r="AJ270" s="2"/>
      <c r="AK270" s="2"/>
      <c r="AL270" s="2"/>
    </row>
    <row r="271" spans="1:38" ht="14.45">
      <c r="A271" s="156">
        <v>270</v>
      </c>
      <c r="B271" s="54">
        <v>45717</v>
      </c>
      <c r="C271" s="33" t="s">
        <v>535</v>
      </c>
      <c r="D271" s="14" t="s">
        <v>77</v>
      </c>
      <c r="E271" s="15">
        <v>25571.53</v>
      </c>
      <c r="F271" s="14" t="s">
        <v>536</v>
      </c>
      <c r="G271" s="14" t="s">
        <v>51</v>
      </c>
      <c r="H271" s="14" t="s">
        <v>40</v>
      </c>
      <c r="I271" s="14" t="s">
        <v>428</v>
      </c>
      <c r="J271" s="97">
        <f t="shared" si="64"/>
        <v>45617</v>
      </c>
      <c r="K271" s="4">
        <v>45625</v>
      </c>
      <c r="L271" s="19">
        <f t="shared" si="65"/>
        <v>-8</v>
      </c>
      <c r="M271" s="5">
        <f t="shared" si="66"/>
        <v>45628</v>
      </c>
      <c r="O271" s="19" t="str">
        <f t="shared" si="67"/>
        <v/>
      </c>
      <c r="P271" s="5">
        <f t="shared" si="68"/>
        <v>45643</v>
      </c>
      <c r="R271" s="19" t="str">
        <f t="shared" si="69"/>
        <v/>
      </c>
      <c r="S271" s="5">
        <f t="shared" si="79"/>
        <v>45648</v>
      </c>
      <c r="U271" s="19" t="str">
        <f t="shared" si="70"/>
        <v/>
      </c>
      <c r="V271" s="5">
        <f t="shared" si="71"/>
        <v>45687</v>
      </c>
      <c r="W271" s="4">
        <v>45701</v>
      </c>
      <c r="X271" s="19">
        <f t="shared" si="72"/>
        <v>-14</v>
      </c>
      <c r="Y271" s="51">
        <f t="shared" si="73"/>
        <v>45712</v>
      </c>
      <c r="Z271" s="4">
        <v>45736</v>
      </c>
      <c r="AA271" s="49">
        <f t="shared" si="74"/>
        <v>-24</v>
      </c>
      <c r="AB271" s="51">
        <f t="shared" si="75"/>
        <v>45717</v>
      </c>
      <c r="AC271" s="49">
        <f t="shared" si="76"/>
        <v>-19</v>
      </c>
      <c r="AD271" s="43">
        <f t="shared" si="77"/>
        <v>45717</v>
      </c>
      <c r="AE271" s="4">
        <v>45736</v>
      </c>
      <c r="AF271" s="19">
        <f t="shared" si="78"/>
        <v>-19</v>
      </c>
      <c r="AG271" s="67"/>
      <c r="AH271" s="2"/>
      <c r="AI271" s="2"/>
      <c r="AJ271" s="2"/>
      <c r="AK271" s="2"/>
      <c r="AL271" s="2"/>
    </row>
    <row r="272" spans="1:38" ht="14.45">
      <c r="A272" s="156">
        <v>271</v>
      </c>
      <c r="B272" s="54">
        <v>45717</v>
      </c>
      <c r="C272" s="33" t="s">
        <v>537</v>
      </c>
      <c r="D272" s="14" t="s">
        <v>77</v>
      </c>
      <c r="E272" s="15">
        <v>44167.62</v>
      </c>
      <c r="F272" s="14" t="s">
        <v>538</v>
      </c>
      <c r="G272" s="14" t="s">
        <v>51</v>
      </c>
      <c r="H272" s="14" t="s">
        <v>40</v>
      </c>
      <c r="I272" s="14" t="s">
        <v>428</v>
      </c>
      <c r="J272" s="97">
        <f t="shared" si="64"/>
        <v>45617</v>
      </c>
      <c r="K272" s="4">
        <v>45625</v>
      </c>
      <c r="L272" s="19">
        <f t="shared" si="65"/>
        <v>-8</v>
      </c>
      <c r="M272" s="5">
        <f t="shared" si="66"/>
        <v>45628</v>
      </c>
      <c r="O272" s="19" t="str">
        <f t="shared" si="67"/>
        <v/>
      </c>
      <c r="P272" s="5">
        <f t="shared" si="68"/>
        <v>45643</v>
      </c>
      <c r="R272" s="19" t="str">
        <f t="shared" si="69"/>
        <v/>
      </c>
      <c r="S272" s="5">
        <f t="shared" si="79"/>
        <v>45648</v>
      </c>
      <c r="U272" s="19" t="str">
        <f t="shared" si="70"/>
        <v/>
      </c>
      <c r="V272" s="5">
        <f t="shared" si="71"/>
        <v>45687</v>
      </c>
      <c r="W272" s="4">
        <v>45701</v>
      </c>
      <c r="X272" s="19">
        <f t="shared" si="72"/>
        <v>-14</v>
      </c>
      <c r="Y272" s="51">
        <f t="shared" si="73"/>
        <v>45712</v>
      </c>
      <c r="Z272" s="4">
        <v>45736</v>
      </c>
      <c r="AA272" s="49">
        <f t="shared" si="74"/>
        <v>-24</v>
      </c>
      <c r="AB272" s="51">
        <f t="shared" si="75"/>
        <v>45717</v>
      </c>
      <c r="AC272" s="49">
        <f t="shared" si="76"/>
        <v>-19</v>
      </c>
      <c r="AD272" s="43">
        <f t="shared" si="77"/>
        <v>45717</v>
      </c>
      <c r="AE272" s="4">
        <v>45736</v>
      </c>
      <c r="AF272" s="19">
        <f t="shared" si="78"/>
        <v>-19</v>
      </c>
      <c r="AG272" s="67"/>
      <c r="AH272" s="2"/>
      <c r="AI272" s="2"/>
      <c r="AJ272" s="2"/>
      <c r="AK272" s="2"/>
      <c r="AL272" s="2"/>
    </row>
    <row r="273" spans="1:38" ht="14.45">
      <c r="A273" s="156">
        <v>272</v>
      </c>
      <c r="B273" s="54">
        <v>45717</v>
      </c>
      <c r="C273" s="39" t="s">
        <v>539</v>
      </c>
      <c r="D273" s="14" t="s">
        <v>38</v>
      </c>
      <c r="E273" s="15">
        <v>559.16</v>
      </c>
      <c r="F273" s="14" t="s">
        <v>540</v>
      </c>
      <c r="G273" s="14" t="s">
        <v>190</v>
      </c>
      <c r="H273" s="14" t="s">
        <v>40</v>
      </c>
      <c r="I273" s="14" t="s">
        <v>41</v>
      </c>
      <c r="J273" s="97">
        <f t="shared" si="64"/>
        <v>45617</v>
      </c>
      <c r="L273" s="19" t="str">
        <f t="shared" si="65"/>
        <v/>
      </c>
      <c r="M273" s="5">
        <f t="shared" si="66"/>
        <v>45628</v>
      </c>
      <c r="N273" s="4">
        <v>45335</v>
      </c>
      <c r="O273" s="19">
        <f t="shared" si="67"/>
        <v>293</v>
      </c>
      <c r="P273" s="5">
        <f t="shared" si="68"/>
        <v>45643</v>
      </c>
      <c r="Q273" s="4">
        <v>45701</v>
      </c>
      <c r="R273" s="19">
        <f t="shared" si="69"/>
        <v>-58</v>
      </c>
      <c r="S273" s="5">
        <f t="shared" si="79"/>
        <v>45648</v>
      </c>
      <c r="T273" s="4">
        <v>45716</v>
      </c>
      <c r="U273" s="19">
        <f t="shared" si="70"/>
        <v>-68</v>
      </c>
      <c r="V273" s="5">
        <f t="shared" si="71"/>
        <v>45687</v>
      </c>
      <c r="W273" s="4">
        <v>45724</v>
      </c>
      <c r="X273" s="19">
        <f t="shared" si="72"/>
        <v>-37</v>
      </c>
      <c r="Y273" s="51">
        <f t="shared" si="73"/>
        <v>45712</v>
      </c>
      <c r="Z273" s="4">
        <v>45724</v>
      </c>
      <c r="AA273" s="49">
        <f t="shared" si="74"/>
        <v>-12</v>
      </c>
      <c r="AB273" s="51">
        <f t="shared" si="75"/>
        <v>45717</v>
      </c>
      <c r="AC273" s="49">
        <f t="shared" si="76"/>
        <v>-7</v>
      </c>
      <c r="AD273" s="43">
        <f t="shared" si="77"/>
        <v>45717</v>
      </c>
      <c r="AE273" s="4">
        <v>45724</v>
      </c>
      <c r="AF273" s="19">
        <f t="shared" si="78"/>
        <v>-7</v>
      </c>
      <c r="AG273" s="67"/>
      <c r="AH273" s="2"/>
      <c r="AI273" s="2"/>
      <c r="AJ273" s="2"/>
      <c r="AK273" s="2"/>
      <c r="AL273" s="2"/>
    </row>
    <row r="274" spans="1:38" ht="14.45">
      <c r="A274" s="156">
        <v>273</v>
      </c>
      <c r="B274" s="54">
        <v>45717</v>
      </c>
      <c r="C274" s="33" t="s">
        <v>541</v>
      </c>
      <c r="D274" s="14" t="s">
        <v>542</v>
      </c>
      <c r="E274" s="15">
        <v>269169.62</v>
      </c>
      <c r="F274" s="14" t="s">
        <v>543</v>
      </c>
      <c r="G274" s="14" t="s">
        <v>51</v>
      </c>
      <c r="H274" s="14" t="s">
        <v>40</v>
      </c>
      <c r="I274" s="14" t="s">
        <v>428</v>
      </c>
      <c r="J274" s="97">
        <f t="shared" si="64"/>
        <v>45617</v>
      </c>
      <c r="K274" s="4">
        <v>45625</v>
      </c>
      <c r="L274" s="19">
        <f t="shared" si="65"/>
        <v>-8</v>
      </c>
      <c r="M274" s="5">
        <f t="shared" si="66"/>
        <v>45628</v>
      </c>
      <c r="O274" s="19" t="str">
        <f t="shared" si="67"/>
        <v/>
      </c>
      <c r="P274" s="5">
        <f t="shared" si="68"/>
        <v>45643</v>
      </c>
      <c r="R274" s="19" t="str">
        <f t="shared" si="69"/>
        <v/>
      </c>
      <c r="S274" s="5">
        <f t="shared" si="79"/>
        <v>45648</v>
      </c>
      <c r="T274" s="4">
        <v>45655</v>
      </c>
      <c r="U274" s="19">
        <f t="shared" si="70"/>
        <v>-7</v>
      </c>
      <c r="V274" s="5">
        <f t="shared" si="71"/>
        <v>45687</v>
      </c>
      <c r="W274" s="4">
        <v>45712</v>
      </c>
      <c r="X274" s="19">
        <f t="shared" si="72"/>
        <v>-25</v>
      </c>
      <c r="Y274" s="51">
        <f t="shared" si="73"/>
        <v>45712</v>
      </c>
      <c r="Z274" s="4">
        <v>45790</v>
      </c>
      <c r="AA274" s="49">
        <f t="shared" si="74"/>
        <v>-78</v>
      </c>
      <c r="AB274" s="51">
        <f t="shared" si="75"/>
        <v>45717</v>
      </c>
      <c r="AC274" s="49">
        <f t="shared" si="76"/>
        <v>-73</v>
      </c>
      <c r="AD274" s="43">
        <f t="shared" si="77"/>
        <v>45717</v>
      </c>
      <c r="AE274" s="4">
        <v>45790</v>
      </c>
      <c r="AF274" s="19">
        <f t="shared" si="78"/>
        <v>-73</v>
      </c>
      <c r="AG274" s="67"/>
      <c r="AH274" s="2"/>
      <c r="AI274" s="2"/>
      <c r="AJ274" s="2"/>
      <c r="AK274" s="2"/>
      <c r="AL274" s="2"/>
    </row>
    <row r="275" spans="1:38" ht="14.45">
      <c r="A275" s="156">
        <v>274</v>
      </c>
      <c r="B275" s="54">
        <v>45717</v>
      </c>
      <c r="C275" s="33" t="s">
        <v>541</v>
      </c>
      <c r="D275" s="14" t="s">
        <v>542</v>
      </c>
      <c r="E275" s="15">
        <v>717785.66</v>
      </c>
      <c r="F275" s="14" t="s">
        <v>544</v>
      </c>
      <c r="G275" s="14" t="s">
        <v>51</v>
      </c>
      <c r="H275" s="14" t="s">
        <v>40</v>
      </c>
      <c r="I275" s="14" t="s">
        <v>428</v>
      </c>
      <c r="J275" s="97">
        <f t="shared" si="64"/>
        <v>45617</v>
      </c>
      <c r="K275" s="4">
        <v>45625</v>
      </c>
      <c r="L275" s="19">
        <f t="shared" si="65"/>
        <v>-8</v>
      </c>
      <c r="M275" s="5">
        <f t="shared" si="66"/>
        <v>45628</v>
      </c>
      <c r="O275" s="19" t="str">
        <f t="shared" si="67"/>
        <v/>
      </c>
      <c r="P275" s="5">
        <f t="shared" si="68"/>
        <v>45643</v>
      </c>
      <c r="R275" s="19" t="str">
        <f t="shared" si="69"/>
        <v/>
      </c>
      <c r="S275" s="5">
        <f t="shared" si="79"/>
        <v>45648</v>
      </c>
      <c r="T275" s="4">
        <v>45655</v>
      </c>
      <c r="U275" s="19">
        <f t="shared" si="70"/>
        <v>-7</v>
      </c>
      <c r="V275" s="5">
        <f t="shared" si="71"/>
        <v>45687</v>
      </c>
      <c r="W275" s="4">
        <v>45712</v>
      </c>
      <c r="X275" s="19">
        <f t="shared" si="72"/>
        <v>-25</v>
      </c>
      <c r="Y275" s="51">
        <f t="shared" si="73"/>
        <v>45712</v>
      </c>
      <c r="Z275" s="4">
        <v>45790</v>
      </c>
      <c r="AA275" s="49">
        <f t="shared" si="74"/>
        <v>-78</v>
      </c>
      <c r="AB275" s="51">
        <f t="shared" si="75"/>
        <v>45717</v>
      </c>
      <c r="AC275" s="49">
        <f t="shared" si="76"/>
        <v>-73</v>
      </c>
      <c r="AD275" s="43">
        <f t="shared" si="77"/>
        <v>45717</v>
      </c>
      <c r="AE275" s="4">
        <v>45790</v>
      </c>
      <c r="AF275" s="19">
        <f t="shared" si="78"/>
        <v>-73</v>
      </c>
      <c r="AG275" s="67"/>
      <c r="AH275" s="2"/>
      <c r="AI275" s="2"/>
      <c r="AJ275" s="2"/>
      <c r="AK275" s="2"/>
      <c r="AL275" s="2"/>
    </row>
    <row r="276" spans="1:38" ht="14.45">
      <c r="A276" s="156">
        <v>275</v>
      </c>
      <c r="B276" s="54">
        <v>45717</v>
      </c>
      <c r="C276" s="33" t="s">
        <v>541</v>
      </c>
      <c r="D276" s="14" t="s">
        <v>542</v>
      </c>
      <c r="E276" s="15">
        <v>125905.41</v>
      </c>
      <c r="F276" s="14" t="s">
        <v>545</v>
      </c>
      <c r="G276" s="14" t="s">
        <v>51</v>
      </c>
      <c r="H276" s="14" t="s">
        <v>40</v>
      </c>
      <c r="I276" s="14" t="s">
        <v>428</v>
      </c>
      <c r="J276" s="97">
        <f t="shared" si="64"/>
        <v>45617</v>
      </c>
      <c r="K276" s="4">
        <v>45625</v>
      </c>
      <c r="L276" s="19">
        <f t="shared" si="65"/>
        <v>-8</v>
      </c>
      <c r="M276" s="5">
        <f t="shared" si="66"/>
        <v>45628</v>
      </c>
      <c r="O276" s="19" t="str">
        <f t="shared" si="67"/>
        <v/>
      </c>
      <c r="P276" s="5">
        <f t="shared" si="68"/>
        <v>45643</v>
      </c>
      <c r="R276" s="19" t="str">
        <f t="shared" si="69"/>
        <v/>
      </c>
      <c r="S276" s="5">
        <f t="shared" si="79"/>
        <v>45648</v>
      </c>
      <c r="T276" s="4">
        <v>45655</v>
      </c>
      <c r="U276" s="19">
        <f t="shared" si="70"/>
        <v>-7</v>
      </c>
      <c r="V276" s="5">
        <f t="shared" si="71"/>
        <v>45687</v>
      </c>
      <c r="W276" s="4">
        <v>45712</v>
      </c>
      <c r="X276" s="19">
        <f t="shared" si="72"/>
        <v>-25</v>
      </c>
      <c r="Y276" s="51">
        <f t="shared" si="73"/>
        <v>45712</v>
      </c>
      <c r="Z276" s="4">
        <v>45790</v>
      </c>
      <c r="AA276" s="49">
        <f t="shared" si="74"/>
        <v>-78</v>
      </c>
      <c r="AB276" s="51">
        <f t="shared" si="75"/>
        <v>45717</v>
      </c>
      <c r="AC276" s="49">
        <f t="shared" si="76"/>
        <v>-73</v>
      </c>
      <c r="AD276" s="43">
        <f t="shared" si="77"/>
        <v>45717</v>
      </c>
      <c r="AE276" s="4">
        <v>45790</v>
      </c>
      <c r="AF276" s="19">
        <f t="shared" si="78"/>
        <v>-73</v>
      </c>
      <c r="AG276" s="67"/>
      <c r="AH276" s="2"/>
      <c r="AI276" s="2"/>
      <c r="AJ276" s="2"/>
      <c r="AK276" s="2"/>
      <c r="AL276" s="2"/>
    </row>
    <row r="277" spans="1:38" ht="14.45">
      <c r="A277" s="156">
        <v>276</v>
      </c>
      <c r="B277" s="54">
        <v>45717</v>
      </c>
      <c r="C277" s="33" t="s">
        <v>541</v>
      </c>
      <c r="D277" s="14" t="s">
        <v>542</v>
      </c>
      <c r="E277" s="15">
        <v>251810.81</v>
      </c>
      <c r="F277" s="14" t="s">
        <v>546</v>
      </c>
      <c r="G277" s="14" t="s">
        <v>51</v>
      </c>
      <c r="H277" s="14" t="s">
        <v>40</v>
      </c>
      <c r="I277" s="14" t="s">
        <v>428</v>
      </c>
      <c r="J277" s="97">
        <f t="shared" si="64"/>
        <v>45617</v>
      </c>
      <c r="K277" s="4">
        <v>45625</v>
      </c>
      <c r="L277" s="19">
        <f t="shared" si="65"/>
        <v>-8</v>
      </c>
      <c r="M277" s="5">
        <f t="shared" si="66"/>
        <v>45628</v>
      </c>
      <c r="O277" s="19" t="str">
        <f t="shared" si="67"/>
        <v/>
      </c>
      <c r="P277" s="5">
        <f t="shared" si="68"/>
        <v>45643</v>
      </c>
      <c r="R277" s="19" t="str">
        <f t="shared" si="69"/>
        <v/>
      </c>
      <c r="S277" s="5">
        <f t="shared" si="79"/>
        <v>45648</v>
      </c>
      <c r="T277" s="4">
        <v>45655</v>
      </c>
      <c r="U277" s="19">
        <f t="shared" si="70"/>
        <v>-7</v>
      </c>
      <c r="V277" s="5">
        <f t="shared" si="71"/>
        <v>45687</v>
      </c>
      <c r="W277" s="4">
        <v>45712</v>
      </c>
      <c r="X277" s="19">
        <f t="shared" si="72"/>
        <v>-25</v>
      </c>
      <c r="Y277" s="51">
        <f t="shared" si="73"/>
        <v>45712</v>
      </c>
      <c r="Z277" s="4">
        <v>45790</v>
      </c>
      <c r="AA277" s="49">
        <f t="shared" si="74"/>
        <v>-78</v>
      </c>
      <c r="AB277" s="51">
        <f t="shared" si="75"/>
        <v>45717</v>
      </c>
      <c r="AC277" s="49">
        <f t="shared" si="76"/>
        <v>-73</v>
      </c>
      <c r="AD277" s="43">
        <f t="shared" si="77"/>
        <v>45717</v>
      </c>
      <c r="AE277" s="4">
        <v>45790</v>
      </c>
      <c r="AF277" s="19">
        <f t="shared" si="78"/>
        <v>-73</v>
      </c>
      <c r="AG277" s="67"/>
      <c r="AH277" s="2"/>
      <c r="AI277" s="2"/>
      <c r="AJ277" s="2"/>
      <c r="AK277" s="2"/>
      <c r="AL277" s="2"/>
    </row>
    <row r="278" spans="1:38" ht="14.45">
      <c r="A278" s="156">
        <v>277</v>
      </c>
      <c r="B278" s="54">
        <v>45717</v>
      </c>
      <c r="C278" s="33" t="s">
        <v>541</v>
      </c>
      <c r="D278" s="14" t="s">
        <v>542</v>
      </c>
      <c r="E278" s="15">
        <v>157381.76000000001</v>
      </c>
      <c r="F278" s="14" t="s">
        <v>545</v>
      </c>
      <c r="G278" s="14" t="s">
        <v>51</v>
      </c>
      <c r="H278" s="14" t="s">
        <v>40</v>
      </c>
      <c r="I278" s="14" t="s">
        <v>428</v>
      </c>
      <c r="J278" s="97">
        <f t="shared" si="64"/>
        <v>45617</v>
      </c>
      <c r="K278" s="4">
        <v>45625</v>
      </c>
      <c r="L278" s="19">
        <f t="shared" si="65"/>
        <v>-8</v>
      </c>
      <c r="M278" s="5">
        <f t="shared" si="66"/>
        <v>45628</v>
      </c>
      <c r="O278" s="19" t="str">
        <f t="shared" si="67"/>
        <v/>
      </c>
      <c r="P278" s="5">
        <f t="shared" si="68"/>
        <v>45643</v>
      </c>
      <c r="R278" s="19" t="str">
        <f t="shared" si="69"/>
        <v/>
      </c>
      <c r="S278" s="5">
        <f t="shared" si="79"/>
        <v>45648</v>
      </c>
      <c r="T278" s="4">
        <v>45655</v>
      </c>
      <c r="U278" s="19">
        <f t="shared" si="70"/>
        <v>-7</v>
      </c>
      <c r="V278" s="5">
        <f t="shared" si="71"/>
        <v>45687</v>
      </c>
      <c r="W278" s="4">
        <v>45712</v>
      </c>
      <c r="X278" s="19">
        <f t="shared" si="72"/>
        <v>-25</v>
      </c>
      <c r="Y278" s="51">
        <f t="shared" si="73"/>
        <v>45712</v>
      </c>
      <c r="Z278" s="4">
        <v>45790</v>
      </c>
      <c r="AA278" s="49">
        <f t="shared" si="74"/>
        <v>-78</v>
      </c>
      <c r="AB278" s="51">
        <f t="shared" si="75"/>
        <v>45717</v>
      </c>
      <c r="AC278" s="49">
        <f t="shared" si="76"/>
        <v>-73</v>
      </c>
      <c r="AD278" s="43">
        <f t="shared" si="77"/>
        <v>45717</v>
      </c>
      <c r="AE278" s="4">
        <v>45790</v>
      </c>
      <c r="AF278" s="19">
        <f t="shared" si="78"/>
        <v>-73</v>
      </c>
      <c r="AG278" s="67"/>
      <c r="AH278" s="2"/>
      <c r="AI278" s="2"/>
      <c r="AJ278" s="2"/>
      <c r="AK278" s="2"/>
      <c r="AL278" s="2"/>
    </row>
    <row r="279" spans="1:38" ht="14.45">
      <c r="A279" s="156">
        <v>278</v>
      </c>
      <c r="B279" s="54">
        <v>45717</v>
      </c>
      <c r="C279" s="33" t="s">
        <v>541</v>
      </c>
      <c r="D279" s="14" t="s">
        <v>542</v>
      </c>
      <c r="E279" s="15">
        <v>94429.05</v>
      </c>
      <c r="F279" s="14" t="s">
        <v>545</v>
      </c>
      <c r="G279" s="14" t="s">
        <v>51</v>
      </c>
      <c r="H279" s="14" t="s">
        <v>40</v>
      </c>
      <c r="I279" s="14" t="s">
        <v>428</v>
      </c>
      <c r="J279" s="97">
        <f t="shared" si="64"/>
        <v>45617</v>
      </c>
      <c r="K279" s="4">
        <v>45625</v>
      </c>
      <c r="L279" s="19">
        <f t="shared" si="65"/>
        <v>-8</v>
      </c>
      <c r="M279" s="5">
        <f t="shared" si="66"/>
        <v>45628</v>
      </c>
      <c r="O279" s="19" t="str">
        <f t="shared" si="67"/>
        <v/>
      </c>
      <c r="P279" s="5">
        <f t="shared" si="68"/>
        <v>45643</v>
      </c>
      <c r="R279" s="19" t="str">
        <f t="shared" si="69"/>
        <v/>
      </c>
      <c r="S279" s="5">
        <f t="shared" si="79"/>
        <v>45648</v>
      </c>
      <c r="T279" s="4">
        <v>45655</v>
      </c>
      <c r="U279" s="19">
        <f t="shared" si="70"/>
        <v>-7</v>
      </c>
      <c r="V279" s="5">
        <f t="shared" si="71"/>
        <v>45687</v>
      </c>
      <c r="W279" s="4">
        <v>45712</v>
      </c>
      <c r="X279" s="19">
        <f t="shared" si="72"/>
        <v>-25</v>
      </c>
      <c r="Y279" s="51">
        <f t="shared" si="73"/>
        <v>45712</v>
      </c>
      <c r="Z279" s="4">
        <v>45790</v>
      </c>
      <c r="AA279" s="49">
        <f t="shared" si="74"/>
        <v>-78</v>
      </c>
      <c r="AB279" s="51">
        <f t="shared" si="75"/>
        <v>45717</v>
      </c>
      <c r="AC279" s="49">
        <f t="shared" si="76"/>
        <v>-73</v>
      </c>
      <c r="AD279" s="43">
        <f t="shared" si="77"/>
        <v>45717</v>
      </c>
      <c r="AE279" s="4">
        <v>45790</v>
      </c>
      <c r="AF279" s="19">
        <f t="shared" si="78"/>
        <v>-73</v>
      </c>
      <c r="AG279" s="67"/>
      <c r="AH279" s="2"/>
      <c r="AI279" s="2"/>
      <c r="AJ279" s="2"/>
      <c r="AK279" s="2"/>
      <c r="AL279" s="2"/>
    </row>
    <row r="280" spans="1:38" ht="14.45">
      <c r="A280" s="156">
        <v>279</v>
      </c>
      <c r="B280" s="54">
        <v>45717</v>
      </c>
      <c r="C280" s="33" t="s">
        <v>541</v>
      </c>
      <c r="D280" s="14" t="s">
        <v>542</v>
      </c>
      <c r="E280" s="15">
        <v>358892.83</v>
      </c>
      <c r="F280" s="14" t="s">
        <v>543</v>
      </c>
      <c r="G280" s="14" t="s">
        <v>51</v>
      </c>
      <c r="H280" s="14" t="s">
        <v>40</v>
      </c>
      <c r="I280" s="14" t="s">
        <v>428</v>
      </c>
      <c r="J280" s="97">
        <f t="shared" si="64"/>
        <v>45617</v>
      </c>
      <c r="K280" s="4">
        <v>45625</v>
      </c>
      <c r="L280" s="19">
        <f t="shared" si="65"/>
        <v>-8</v>
      </c>
      <c r="M280" s="5">
        <f t="shared" si="66"/>
        <v>45628</v>
      </c>
      <c r="O280" s="19" t="str">
        <f t="shared" si="67"/>
        <v/>
      </c>
      <c r="P280" s="5">
        <f t="shared" si="68"/>
        <v>45643</v>
      </c>
      <c r="R280" s="19" t="str">
        <f t="shared" si="69"/>
        <v/>
      </c>
      <c r="S280" s="5">
        <f t="shared" si="79"/>
        <v>45648</v>
      </c>
      <c r="T280" s="4">
        <v>45655</v>
      </c>
      <c r="U280" s="19">
        <f t="shared" si="70"/>
        <v>-7</v>
      </c>
      <c r="V280" s="5">
        <f t="shared" si="71"/>
        <v>45687</v>
      </c>
      <c r="W280" s="4">
        <v>45712</v>
      </c>
      <c r="X280" s="19">
        <f t="shared" si="72"/>
        <v>-25</v>
      </c>
      <c r="Y280" s="51">
        <f t="shared" si="73"/>
        <v>45712</v>
      </c>
      <c r="Z280" s="4">
        <v>45790</v>
      </c>
      <c r="AA280" s="49">
        <f t="shared" si="74"/>
        <v>-78</v>
      </c>
      <c r="AB280" s="51">
        <f t="shared" si="75"/>
        <v>45717</v>
      </c>
      <c r="AC280" s="49">
        <f t="shared" si="76"/>
        <v>-73</v>
      </c>
      <c r="AD280" s="43">
        <f t="shared" si="77"/>
        <v>45717</v>
      </c>
      <c r="AE280" s="4">
        <v>45790</v>
      </c>
      <c r="AF280" s="19">
        <f t="shared" si="78"/>
        <v>-73</v>
      </c>
      <c r="AG280" s="67"/>
      <c r="AH280" s="2"/>
      <c r="AI280" s="2"/>
      <c r="AJ280" s="2"/>
      <c r="AK280" s="2"/>
      <c r="AL280" s="2"/>
    </row>
    <row r="281" spans="1:38" ht="14.45">
      <c r="A281" s="156">
        <v>280</v>
      </c>
      <c r="B281" s="54">
        <v>45717</v>
      </c>
      <c r="C281" s="33" t="s">
        <v>541</v>
      </c>
      <c r="D281" s="14" t="s">
        <v>542</v>
      </c>
      <c r="E281" s="15">
        <v>448616.04</v>
      </c>
      <c r="F281" s="14" t="s">
        <v>543</v>
      </c>
      <c r="G281" s="14" t="s">
        <v>51</v>
      </c>
      <c r="H281" s="14" t="s">
        <v>40</v>
      </c>
      <c r="I281" s="14" t="s">
        <v>428</v>
      </c>
      <c r="J281" s="97">
        <f t="shared" si="64"/>
        <v>45617</v>
      </c>
      <c r="K281" s="4">
        <v>45625</v>
      </c>
      <c r="L281" s="19">
        <f t="shared" si="65"/>
        <v>-8</v>
      </c>
      <c r="M281" s="5">
        <f t="shared" si="66"/>
        <v>45628</v>
      </c>
      <c r="O281" s="19" t="str">
        <f t="shared" si="67"/>
        <v/>
      </c>
      <c r="P281" s="5">
        <f t="shared" si="68"/>
        <v>45643</v>
      </c>
      <c r="R281" s="19" t="str">
        <f t="shared" si="69"/>
        <v/>
      </c>
      <c r="S281" s="5">
        <f t="shared" si="79"/>
        <v>45648</v>
      </c>
      <c r="T281" s="4">
        <v>45655</v>
      </c>
      <c r="U281" s="19">
        <f t="shared" si="70"/>
        <v>-7</v>
      </c>
      <c r="V281" s="5">
        <f t="shared" si="71"/>
        <v>45687</v>
      </c>
      <c r="W281" s="4">
        <v>45712</v>
      </c>
      <c r="X281" s="19">
        <f t="shared" si="72"/>
        <v>-25</v>
      </c>
      <c r="Y281" s="51">
        <f t="shared" si="73"/>
        <v>45712</v>
      </c>
      <c r="Z281" s="4">
        <v>45790</v>
      </c>
      <c r="AA281" s="49">
        <f t="shared" si="74"/>
        <v>-78</v>
      </c>
      <c r="AB281" s="51">
        <f t="shared" si="75"/>
        <v>45717</v>
      </c>
      <c r="AC281" s="49">
        <f t="shared" si="76"/>
        <v>-73</v>
      </c>
      <c r="AD281" s="43">
        <f t="shared" si="77"/>
        <v>45717</v>
      </c>
      <c r="AE281" s="4">
        <v>45790</v>
      </c>
      <c r="AF281" s="19">
        <f t="shared" si="78"/>
        <v>-73</v>
      </c>
      <c r="AG281" s="67"/>
      <c r="AH281" s="2"/>
      <c r="AI281" s="2"/>
      <c r="AJ281" s="2"/>
      <c r="AK281" s="2"/>
      <c r="AL281" s="2"/>
    </row>
    <row r="282" spans="1:38" ht="22.15" customHeight="1">
      <c r="A282" s="156">
        <v>281</v>
      </c>
      <c r="B282" s="54">
        <v>45717</v>
      </c>
      <c r="C282" s="33" t="s">
        <v>547</v>
      </c>
      <c r="D282" s="18" t="s">
        <v>548</v>
      </c>
      <c r="E282" s="15">
        <v>41839.29</v>
      </c>
      <c r="F282" s="14" t="s">
        <v>549</v>
      </c>
      <c r="G282" s="14" t="s">
        <v>51</v>
      </c>
      <c r="H282" s="14" t="s">
        <v>40</v>
      </c>
      <c r="I282" s="14" t="s">
        <v>93</v>
      </c>
      <c r="J282" s="97">
        <f t="shared" si="64"/>
        <v>45617</v>
      </c>
      <c r="K282" s="4">
        <v>45625</v>
      </c>
      <c r="L282" s="19">
        <f t="shared" si="65"/>
        <v>-8</v>
      </c>
      <c r="M282" s="5">
        <f t="shared" si="66"/>
        <v>45628</v>
      </c>
      <c r="O282" s="19" t="str">
        <f t="shared" si="67"/>
        <v/>
      </c>
      <c r="P282" s="5">
        <f t="shared" si="68"/>
        <v>45643</v>
      </c>
      <c r="R282" s="19" t="str">
        <f t="shared" si="69"/>
        <v/>
      </c>
      <c r="S282" s="5">
        <f t="shared" si="79"/>
        <v>45648</v>
      </c>
      <c r="T282" s="4">
        <v>45677</v>
      </c>
      <c r="U282" s="19">
        <f t="shared" si="70"/>
        <v>-29</v>
      </c>
      <c r="V282" s="5">
        <f t="shared" si="71"/>
        <v>45687</v>
      </c>
      <c r="W282" s="4">
        <v>45712</v>
      </c>
      <c r="X282" s="19">
        <f t="shared" si="72"/>
        <v>-25</v>
      </c>
      <c r="Y282" s="51">
        <f t="shared" si="73"/>
        <v>45712</v>
      </c>
      <c r="Z282" s="4">
        <v>45761</v>
      </c>
      <c r="AA282" s="49">
        <f t="shared" si="74"/>
        <v>-49</v>
      </c>
      <c r="AB282" s="51">
        <f t="shared" si="75"/>
        <v>45717</v>
      </c>
      <c r="AC282" s="49">
        <f t="shared" si="76"/>
        <v>-44</v>
      </c>
      <c r="AD282" s="43">
        <f t="shared" si="77"/>
        <v>45717</v>
      </c>
      <c r="AE282" s="4">
        <v>45761</v>
      </c>
      <c r="AF282" s="19">
        <f t="shared" si="78"/>
        <v>-44</v>
      </c>
      <c r="AG282" s="67"/>
      <c r="AH282" s="2"/>
      <c r="AI282" s="2"/>
      <c r="AJ282" s="2"/>
      <c r="AK282" s="2"/>
      <c r="AL282" s="2"/>
    </row>
    <row r="283" spans="1:38" ht="14.45">
      <c r="A283" s="156">
        <v>282</v>
      </c>
      <c r="B283" s="54">
        <v>45717</v>
      </c>
      <c r="C283" s="33" t="s">
        <v>550</v>
      </c>
      <c r="D283" s="14" t="s">
        <v>551</v>
      </c>
      <c r="E283" s="15">
        <v>2933.79</v>
      </c>
      <c r="F283" s="14" t="s">
        <v>552</v>
      </c>
      <c r="G283" s="14" t="s">
        <v>51</v>
      </c>
      <c r="H283" s="14" t="s">
        <v>40</v>
      </c>
      <c r="I283" s="14" t="s">
        <v>37</v>
      </c>
      <c r="J283" s="97">
        <f t="shared" si="64"/>
        <v>45617</v>
      </c>
      <c r="K283" s="4">
        <v>45625</v>
      </c>
      <c r="L283" s="19">
        <f t="shared" si="65"/>
        <v>-8</v>
      </c>
      <c r="M283" s="5">
        <f t="shared" si="66"/>
        <v>45628</v>
      </c>
      <c r="O283" s="19" t="str">
        <f t="shared" si="67"/>
        <v/>
      </c>
      <c r="P283" s="5">
        <f t="shared" si="68"/>
        <v>45643</v>
      </c>
      <c r="R283" s="19" t="str">
        <f t="shared" si="69"/>
        <v/>
      </c>
      <c r="S283" s="5">
        <f t="shared" si="79"/>
        <v>45648</v>
      </c>
      <c r="T283" s="4">
        <v>45677</v>
      </c>
      <c r="U283" s="19">
        <f t="shared" si="70"/>
        <v>-29</v>
      </c>
      <c r="V283" s="5">
        <f t="shared" si="71"/>
        <v>45687</v>
      </c>
      <c r="W283" s="4">
        <v>45712</v>
      </c>
      <c r="X283" s="19">
        <f t="shared" si="72"/>
        <v>-25</v>
      </c>
      <c r="Y283" s="51">
        <f t="shared" si="73"/>
        <v>45712</v>
      </c>
      <c r="Z283" s="4">
        <v>45761</v>
      </c>
      <c r="AA283" s="49">
        <f t="shared" si="74"/>
        <v>-49</v>
      </c>
      <c r="AB283" s="51">
        <f t="shared" si="75"/>
        <v>45717</v>
      </c>
      <c r="AC283" s="49">
        <f t="shared" si="76"/>
        <v>-44</v>
      </c>
      <c r="AD283" s="43">
        <f t="shared" si="77"/>
        <v>45717</v>
      </c>
      <c r="AE283" s="4">
        <v>45761</v>
      </c>
      <c r="AF283" s="19">
        <f t="shared" si="78"/>
        <v>-44</v>
      </c>
      <c r="AG283" s="67"/>
      <c r="AH283" s="2"/>
      <c r="AI283" s="2"/>
      <c r="AJ283" s="2"/>
      <c r="AK283" s="2"/>
      <c r="AL283" s="2"/>
    </row>
    <row r="284" spans="1:38" ht="14.45">
      <c r="A284" s="156">
        <v>283</v>
      </c>
      <c r="B284" s="54">
        <v>45717</v>
      </c>
      <c r="C284" s="33" t="s">
        <v>553</v>
      </c>
      <c r="D284" s="14" t="s">
        <v>554</v>
      </c>
      <c r="E284" s="15">
        <v>67476.149999999994</v>
      </c>
      <c r="F284" s="14" t="s">
        <v>555</v>
      </c>
      <c r="G284" s="14" t="s">
        <v>51</v>
      </c>
      <c r="H284" s="14" t="s">
        <v>40</v>
      </c>
      <c r="I284" s="14" t="s">
        <v>93</v>
      </c>
      <c r="J284" s="97">
        <f t="shared" si="64"/>
        <v>45617</v>
      </c>
      <c r="K284" s="4">
        <v>45625</v>
      </c>
      <c r="L284" s="19">
        <f t="shared" si="65"/>
        <v>-8</v>
      </c>
      <c r="M284" s="5">
        <f t="shared" si="66"/>
        <v>45628</v>
      </c>
      <c r="O284" s="19" t="str">
        <f t="shared" si="67"/>
        <v/>
      </c>
      <c r="P284" s="5">
        <f t="shared" si="68"/>
        <v>45643</v>
      </c>
      <c r="R284" s="19" t="str">
        <f t="shared" si="69"/>
        <v/>
      </c>
      <c r="S284" s="5">
        <f t="shared" si="79"/>
        <v>45648</v>
      </c>
      <c r="T284" s="4">
        <v>45677</v>
      </c>
      <c r="U284" s="19">
        <f t="shared" si="70"/>
        <v>-29</v>
      </c>
      <c r="V284" s="5">
        <f t="shared" si="71"/>
        <v>45687</v>
      </c>
      <c r="W284" s="4">
        <v>45712</v>
      </c>
      <c r="X284" s="19">
        <f t="shared" si="72"/>
        <v>-25</v>
      </c>
      <c r="Y284" s="51">
        <f t="shared" si="73"/>
        <v>45712</v>
      </c>
      <c r="Z284" s="4">
        <v>45761</v>
      </c>
      <c r="AA284" s="49">
        <f t="shared" si="74"/>
        <v>-49</v>
      </c>
      <c r="AB284" s="51">
        <f t="shared" si="75"/>
        <v>45717</v>
      </c>
      <c r="AC284" s="49">
        <f t="shared" si="76"/>
        <v>-44</v>
      </c>
      <c r="AD284" s="43">
        <f t="shared" si="77"/>
        <v>45717</v>
      </c>
      <c r="AE284" s="4">
        <v>45761</v>
      </c>
      <c r="AF284" s="19">
        <f t="shared" si="78"/>
        <v>-44</v>
      </c>
      <c r="AG284" s="67"/>
      <c r="AH284" s="2"/>
      <c r="AI284" s="2"/>
      <c r="AJ284" s="2"/>
      <c r="AK284" s="2"/>
      <c r="AL284" s="2"/>
    </row>
    <row r="285" spans="1:38" ht="14.45">
      <c r="A285" s="156">
        <v>284</v>
      </c>
      <c r="B285" s="54">
        <v>45717</v>
      </c>
      <c r="C285" s="81">
        <v>26300210566</v>
      </c>
      <c r="D285" s="14" t="s">
        <v>556</v>
      </c>
      <c r="E285" s="15">
        <v>9447.42</v>
      </c>
      <c r="F285" s="14" t="s">
        <v>557</v>
      </c>
      <c r="G285" s="14" t="s">
        <v>51</v>
      </c>
      <c r="H285" s="14" t="s">
        <v>40</v>
      </c>
      <c r="I285" s="14" t="s">
        <v>37</v>
      </c>
      <c r="J285" s="97">
        <f t="shared" si="64"/>
        <v>45617</v>
      </c>
      <c r="K285" s="4">
        <v>45625</v>
      </c>
      <c r="L285" s="19">
        <f t="shared" si="65"/>
        <v>-8</v>
      </c>
      <c r="M285" s="5">
        <f t="shared" si="66"/>
        <v>45628</v>
      </c>
      <c r="O285" s="19" t="str">
        <f t="shared" si="67"/>
        <v/>
      </c>
      <c r="P285" s="5">
        <f t="shared" si="68"/>
        <v>45643</v>
      </c>
      <c r="R285" s="19" t="str">
        <f t="shared" si="69"/>
        <v/>
      </c>
      <c r="S285" s="5">
        <f t="shared" si="79"/>
        <v>45648</v>
      </c>
      <c r="T285" s="4">
        <v>45677</v>
      </c>
      <c r="U285" s="19">
        <f t="shared" si="70"/>
        <v>-29</v>
      </c>
      <c r="V285" s="5">
        <f t="shared" si="71"/>
        <v>45687</v>
      </c>
      <c r="W285" s="4">
        <v>45712</v>
      </c>
      <c r="X285" s="19">
        <f t="shared" si="72"/>
        <v>-25</v>
      </c>
      <c r="Y285" s="51">
        <f t="shared" si="73"/>
        <v>45712</v>
      </c>
      <c r="Z285" s="4">
        <v>45761</v>
      </c>
      <c r="AA285" s="49">
        <f t="shared" si="74"/>
        <v>-49</v>
      </c>
      <c r="AB285" s="51">
        <f t="shared" si="75"/>
        <v>45717</v>
      </c>
      <c r="AC285" s="49">
        <f t="shared" si="76"/>
        <v>-44</v>
      </c>
      <c r="AD285" s="43">
        <f t="shared" si="77"/>
        <v>45717</v>
      </c>
      <c r="AE285" s="4">
        <v>45761</v>
      </c>
      <c r="AF285" s="19">
        <f t="shared" si="78"/>
        <v>-44</v>
      </c>
      <c r="AG285" s="67"/>
      <c r="AH285" s="2"/>
      <c r="AI285" s="2"/>
      <c r="AJ285" s="2"/>
      <c r="AK285" s="2"/>
      <c r="AL285" s="2"/>
    </row>
    <row r="286" spans="1:38" ht="14.45">
      <c r="A286" s="156">
        <v>285</v>
      </c>
      <c r="B286" s="54">
        <v>45717</v>
      </c>
      <c r="C286" s="33"/>
      <c r="D286" s="14" t="s">
        <v>558</v>
      </c>
      <c r="E286" s="15">
        <v>2638.56</v>
      </c>
      <c r="F286" s="14" t="s">
        <v>559</v>
      </c>
      <c r="G286" s="10" t="s">
        <v>120</v>
      </c>
      <c r="H286" s="14" t="s">
        <v>40</v>
      </c>
      <c r="I286" s="14" t="s">
        <v>93</v>
      </c>
      <c r="J286" s="97">
        <f t="shared" si="64"/>
        <v>45617</v>
      </c>
      <c r="K286" s="95">
        <v>45664</v>
      </c>
      <c r="L286" s="19">
        <f t="shared" si="65"/>
        <v>-47</v>
      </c>
      <c r="M286" s="5">
        <f t="shared" si="66"/>
        <v>45628</v>
      </c>
      <c r="O286" s="19" t="str">
        <f t="shared" si="67"/>
        <v/>
      </c>
      <c r="P286" s="5">
        <f t="shared" si="68"/>
        <v>45643</v>
      </c>
      <c r="R286" s="19" t="str">
        <f t="shared" si="69"/>
        <v/>
      </c>
      <c r="S286" s="5">
        <f t="shared" si="79"/>
        <v>45648</v>
      </c>
      <c r="T286" s="95">
        <v>45666</v>
      </c>
      <c r="U286" s="19">
        <f t="shared" si="70"/>
        <v>-18</v>
      </c>
      <c r="V286" s="5">
        <f t="shared" si="71"/>
        <v>45687</v>
      </c>
      <c r="W286" s="4">
        <v>45698</v>
      </c>
      <c r="X286" s="19">
        <f t="shared" si="72"/>
        <v>-11</v>
      </c>
      <c r="Y286" s="51">
        <f t="shared" si="73"/>
        <v>45712</v>
      </c>
      <c r="Z286" s="4">
        <v>45715</v>
      </c>
      <c r="AA286" s="49">
        <f t="shared" si="74"/>
        <v>-3</v>
      </c>
      <c r="AB286" s="51">
        <f t="shared" si="75"/>
        <v>45717</v>
      </c>
      <c r="AC286" s="49">
        <f t="shared" si="76"/>
        <v>2</v>
      </c>
      <c r="AD286" s="43">
        <f t="shared" si="77"/>
        <v>45717</v>
      </c>
      <c r="AE286" s="4">
        <v>45715</v>
      </c>
      <c r="AF286" s="19">
        <f t="shared" si="78"/>
        <v>2</v>
      </c>
      <c r="AG286" s="67"/>
      <c r="AH286" s="2"/>
      <c r="AI286" s="2"/>
      <c r="AJ286" s="2"/>
      <c r="AK286" s="2"/>
      <c r="AL286" s="2"/>
    </row>
    <row r="287" spans="1:38" ht="14.45">
      <c r="A287" s="156">
        <v>286</v>
      </c>
      <c r="B287" s="54">
        <v>45717</v>
      </c>
      <c r="C287" s="83" t="s">
        <v>560</v>
      </c>
      <c r="D287" s="14" t="s">
        <v>561</v>
      </c>
      <c r="E287" s="15">
        <v>5500</v>
      </c>
      <c r="F287" s="14" t="s">
        <v>562</v>
      </c>
      <c r="G287" s="14" t="s">
        <v>35</v>
      </c>
      <c r="H287" s="14" t="s">
        <v>40</v>
      </c>
      <c r="I287" s="14" t="s">
        <v>62</v>
      </c>
      <c r="J287" s="97">
        <f t="shared" si="64"/>
        <v>45617</v>
      </c>
      <c r="L287" s="19" t="str">
        <f t="shared" si="65"/>
        <v/>
      </c>
      <c r="M287" s="5">
        <f t="shared" si="66"/>
        <v>45628</v>
      </c>
      <c r="O287" s="19" t="str">
        <f t="shared" si="67"/>
        <v/>
      </c>
      <c r="P287" s="5">
        <f t="shared" si="68"/>
        <v>45643</v>
      </c>
      <c r="R287" s="19" t="str">
        <f t="shared" si="69"/>
        <v/>
      </c>
      <c r="S287" s="5">
        <f t="shared" si="79"/>
        <v>45648</v>
      </c>
      <c r="U287" s="19" t="str">
        <f t="shared" si="70"/>
        <v/>
      </c>
      <c r="V287" s="5">
        <f t="shared" si="71"/>
        <v>45687</v>
      </c>
      <c r="W287" s="4">
        <v>45693</v>
      </c>
      <c r="X287" s="19">
        <f t="shared" si="72"/>
        <v>-6</v>
      </c>
      <c r="Y287" s="51">
        <f t="shared" si="73"/>
        <v>45712</v>
      </c>
      <c r="Z287" s="4">
        <v>45727</v>
      </c>
      <c r="AA287" s="49">
        <f t="shared" si="74"/>
        <v>-15</v>
      </c>
      <c r="AB287" s="51">
        <f t="shared" si="75"/>
        <v>45717</v>
      </c>
      <c r="AC287" s="49">
        <f t="shared" si="76"/>
        <v>-10</v>
      </c>
      <c r="AD287" s="43">
        <f t="shared" si="77"/>
        <v>45717</v>
      </c>
      <c r="AE287" s="4">
        <v>45727</v>
      </c>
      <c r="AF287" s="19">
        <f t="shared" si="78"/>
        <v>-10</v>
      </c>
      <c r="AG287" s="67"/>
      <c r="AH287" s="2"/>
      <c r="AI287" s="2"/>
      <c r="AJ287" s="2"/>
      <c r="AK287" s="2"/>
      <c r="AL287" s="2"/>
    </row>
    <row r="288" spans="1:38" ht="14.45">
      <c r="A288" s="156">
        <v>287</v>
      </c>
      <c r="B288" s="54">
        <v>45717</v>
      </c>
      <c r="C288" s="39" t="s">
        <v>563</v>
      </c>
      <c r="D288" s="14" t="s">
        <v>38</v>
      </c>
      <c r="E288" s="15">
        <v>202.39</v>
      </c>
      <c r="F288" s="14" t="s">
        <v>564</v>
      </c>
      <c r="G288" s="14" t="s">
        <v>190</v>
      </c>
      <c r="H288" s="14" t="s">
        <v>40</v>
      </c>
      <c r="I288" s="14" t="s">
        <v>41</v>
      </c>
      <c r="J288" s="97">
        <f t="shared" si="64"/>
        <v>45617</v>
      </c>
      <c r="L288" s="19" t="str">
        <f t="shared" si="65"/>
        <v/>
      </c>
      <c r="M288" s="5">
        <f t="shared" si="66"/>
        <v>45628</v>
      </c>
      <c r="N288" s="4">
        <v>45335</v>
      </c>
      <c r="O288" s="19">
        <f t="shared" si="67"/>
        <v>293</v>
      </c>
      <c r="P288" s="5">
        <f t="shared" si="68"/>
        <v>45643</v>
      </c>
      <c r="Q288" s="4">
        <v>45701</v>
      </c>
      <c r="R288" s="19">
        <f t="shared" si="69"/>
        <v>-58</v>
      </c>
      <c r="S288" s="5">
        <f t="shared" si="79"/>
        <v>45648</v>
      </c>
      <c r="T288" s="4">
        <v>45716</v>
      </c>
      <c r="U288" s="19">
        <f t="shared" si="70"/>
        <v>-68</v>
      </c>
      <c r="V288" s="5">
        <f t="shared" si="71"/>
        <v>45687</v>
      </c>
      <c r="W288" s="4">
        <v>45724</v>
      </c>
      <c r="X288" s="19">
        <f t="shared" si="72"/>
        <v>-37</v>
      </c>
      <c r="Y288" s="51">
        <f t="shared" si="73"/>
        <v>45712</v>
      </c>
      <c r="Z288" s="4">
        <v>45724</v>
      </c>
      <c r="AA288" s="49">
        <f t="shared" si="74"/>
        <v>-12</v>
      </c>
      <c r="AB288" s="51">
        <f t="shared" si="75"/>
        <v>45717</v>
      </c>
      <c r="AC288" s="49">
        <f t="shared" si="76"/>
        <v>-7</v>
      </c>
      <c r="AD288" s="43">
        <f t="shared" si="77"/>
        <v>45717</v>
      </c>
      <c r="AE288" s="4">
        <v>45724</v>
      </c>
      <c r="AF288" s="19">
        <f t="shared" si="78"/>
        <v>-7</v>
      </c>
      <c r="AG288" s="67"/>
      <c r="AH288" s="2"/>
      <c r="AI288" s="2"/>
      <c r="AJ288" s="2"/>
      <c r="AK288" s="2"/>
      <c r="AL288" s="2"/>
    </row>
    <row r="289" spans="1:38" ht="14.45">
      <c r="A289" s="156">
        <v>288</v>
      </c>
      <c r="B289" s="54">
        <v>45717</v>
      </c>
      <c r="C289" s="76" t="s">
        <v>565</v>
      </c>
      <c r="D289" s="14" t="s">
        <v>566</v>
      </c>
      <c r="E289" s="15">
        <v>368.55</v>
      </c>
      <c r="F289" s="14" t="s">
        <v>567</v>
      </c>
      <c r="G289" s="14" t="s">
        <v>46</v>
      </c>
      <c r="H289" s="14" t="s">
        <v>40</v>
      </c>
      <c r="I289" s="14" t="s">
        <v>229</v>
      </c>
      <c r="J289" s="97">
        <f t="shared" si="64"/>
        <v>45617</v>
      </c>
      <c r="K289" s="4">
        <v>45637</v>
      </c>
      <c r="L289" s="19">
        <f t="shared" si="65"/>
        <v>-20</v>
      </c>
      <c r="M289" s="5">
        <f t="shared" si="66"/>
        <v>45628</v>
      </c>
      <c r="O289" s="19" t="str">
        <f t="shared" si="67"/>
        <v/>
      </c>
      <c r="P289" s="5">
        <f t="shared" si="68"/>
        <v>45643</v>
      </c>
      <c r="R289" s="19" t="str">
        <f t="shared" si="69"/>
        <v/>
      </c>
      <c r="S289" s="5">
        <f t="shared" si="79"/>
        <v>45648</v>
      </c>
      <c r="T289" s="4">
        <v>45674</v>
      </c>
      <c r="U289" s="19">
        <f t="shared" si="70"/>
        <v>-26</v>
      </c>
      <c r="V289" s="5">
        <f t="shared" si="71"/>
        <v>45687</v>
      </c>
      <c r="W289" s="4">
        <v>45692</v>
      </c>
      <c r="X289" s="19">
        <f t="shared" si="72"/>
        <v>-5</v>
      </c>
      <c r="Y289" s="51">
        <f t="shared" si="73"/>
        <v>45712</v>
      </c>
      <c r="Z289" s="4">
        <v>45702</v>
      </c>
      <c r="AA289" s="49">
        <f t="shared" si="74"/>
        <v>10</v>
      </c>
      <c r="AB289" s="51">
        <f t="shared" si="75"/>
        <v>45717</v>
      </c>
      <c r="AC289" s="49">
        <f t="shared" si="76"/>
        <v>15</v>
      </c>
      <c r="AD289" s="43">
        <f t="shared" si="77"/>
        <v>45717</v>
      </c>
      <c r="AE289" s="4">
        <v>45702</v>
      </c>
      <c r="AF289" s="19">
        <f t="shared" si="78"/>
        <v>15</v>
      </c>
      <c r="AG289" s="67"/>
      <c r="AH289" s="2"/>
      <c r="AI289" s="2"/>
      <c r="AJ289" s="2"/>
      <c r="AK289" s="2"/>
      <c r="AL289" s="2"/>
    </row>
    <row r="290" spans="1:38" ht="14.45">
      <c r="A290" s="156">
        <v>289</v>
      </c>
      <c r="B290" s="54">
        <v>45717</v>
      </c>
      <c r="C290" s="76" t="s">
        <v>568</v>
      </c>
      <c r="D290" s="14" t="s">
        <v>569</v>
      </c>
      <c r="E290" s="15">
        <v>386.98</v>
      </c>
      <c r="F290" s="14" t="s">
        <v>570</v>
      </c>
      <c r="G290" s="14" t="s">
        <v>46</v>
      </c>
      <c r="H290" s="14" t="s">
        <v>40</v>
      </c>
      <c r="I290" s="14" t="s">
        <v>229</v>
      </c>
      <c r="J290" s="97">
        <f t="shared" si="64"/>
        <v>45617</v>
      </c>
      <c r="K290" s="4">
        <v>45637</v>
      </c>
      <c r="L290" s="19">
        <f t="shared" si="65"/>
        <v>-20</v>
      </c>
      <c r="M290" s="5">
        <f t="shared" si="66"/>
        <v>45628</v>
      </c>
      <c r="O290" s="19" t="str">
        <f t="shared" si="67"/>
        <v/>
      </c>
      <c r="P290" s="5">
        <f t="shared" si="68"/>
        <v>45643</v>
      </c>
      <c r="R290" s="19" t="str">
        <f t="shared" si="69"/>
        <v/>
      </c>
      <c r="S290" s="5">
        <f t="shared" si="79"/>
        <v>45648</v>
      </c>
      <c r="T290" s="4">
        <v>45674</v>
      </c>
      <c r="U290" s="19">
        <f t="shared" si="70"/>
        <v>-26</v>
      </c>
      <c r="V290" s="5">
        <f t="shared" si="71"/>
        <v>45687</v>
      </c>
      <c r="W290" s="4">
        <v>45692</v>
      </c>
      <c r="X290" s="19">
        <f t="shared" si="72"/>
        <v>-5</v>
      </c>
      <c r="Y290" s="51">
        <f t="shared" si="73"/>
        <v>45712</v>
      </c>
      <c r="Z290" s="4">
        <v>45702</v>
      </c>
      <c r="AA290" s="49">
        <f t="shared" si="74"/>
        <v>10</v>
      </c>
      <c r="AB290" s="51">
        <f t="shared" si="75"/>
        <v>45717</v>
      </c>
      <c r="AC290" s="49">
        <f t="shared" si="76"/>
        <v>15</v>
      </c>
      <c r="AD290" s="43">
        <f t="shared" si="77"/>
        <v>45717</v>
      </c>
      <c r="AE290" s="4">
        <v>45702</v>
      </c>
      <c r="AF290" s="19">
        <f t="shared" si="78"/>
        <v>15</v>
      </c>
      <c r="AG290" s="67"/>
      <c r="AH290" s="2"/>
      <c r="AI290" s="2"/>
      <c r="AJ290" s="2"/>
      <c r="AK290" s="2"/>
      <c r="AL290" s="2"/>
    </row>
    <row r="291" spans="1:38" ht="14.45">
      <c r="A291" s="156">
        <v>290</v>
      </c>
      <c r="B291" s="54">
        <v>45720</v>
      </c>
      <c r="C291" s="39" t="s">
        <v>571</v>
      </c>
      <c r="D291" s="14" t="s">
        <v>38</v>
      </c>
      <c r="E291" s="15">
        <v>628.64</v>
      </c>
      <c r="F291" s="14" t="s">
        <v>572</v>
      </c>
      <c r="G291" s="14" t="s">
        <v>190</v>
      </c>
      <c r="H291" s="14" t="s">
        <v>40</v>
      </c>
      <c r="I291" s="14" t="s">
        <v>41</v>
      </c>
      <c r="J291" s="97">
        <f t="shared" si="64"/>
        <v>45620</v>
      </c>
      <c r="L291" s="19" t="str">
        <f t="shared" si="65"/>
        <v/>
      </c>
      <c r="M291" s="5">
        <f t="shared" si="66"/>
        <v>45631</v>
      </c>
      <c r="N291" s="4">
        <v>45335</v>
      </c>
      <c r="O291" s="19">
        <f t="shared" si="67"/>
        <v>296</v>
      </c>
      <c r="P291" s="5">
        <f t="shared" si="68"/>
        <v>45646</v>
      </c>
      <c r="Q291" s="4">
        <v>45701</v>
      </c>
      <c r="R291" s="19">
        <f t="shared" si="69"/>
        <v>-55</v>
      </c>
      <c r="S291" s="5">
        <f t="shared" si="79"/>
        <v>45651</v>
      </c>
      <c r="T291" s="4">
        <v>45716</v>
      </c>
      <c r="U291" s="19">
        <f t="shared" si="70"/>
        <v>-65</v>
      </c>
      <c r="V291" s="5">
        <f t="shared" si="71"/>
        <v>45690</v>
      </c>
      <c r="W291" s="4">
        <v>45724</v>
      </c>
      <c r="X291" s="19">
        <f t="shared" si="72"/>
        <v>-34</v>
      </c>
      <c r="Y291" s="51">
        <f t="shared" si="73"/>
        <v>45715</v>
      </c>
      <c r="Z291" s="4">
        <v>45717</v>
      </c>
      <c r="AA291" s="49">
        <f t="shared" si="74"/>
        <v>-2</v>
      </c>
      <c r="AB291" s="51">
        <f t="shared" si="75"/>
        <v>45720</v>
      </c>
      <c r="AC291" s="49">
        <f t="shared" si="76"/>
        <v>3</v>
      </c>
      <c r="AD291" s="43">
        <f t="shared" si="77"/>
        <v>45720</v>
      </c>
      <c r="AE291" s="4">
        <v>45717</v>
      </c>
      <c r="AF291" s="19">
        <f t="shared" si="78"/>
        <v>3</v>
      </c>
      <c r="AG291" s="67"/>
      <c r="AH291" s="2"/>
      <c r="AI291" s="2"/>
      <c r="AJ291" s="2"/>
      <c r="AK291" s="2"/>
      <c r="AL291" s="2"/>
    </row>
    <row r="292" spans="1:38" ht="14.45">
      <c r="A292" s="156">
        <v>291</v>
      </c>
      <c r="B292" s="55">
        <v>45720</v>
      </c>
      <c r="C292" s="39" t="s">
        <v>573</v>
      </c>
      <c r="D292" s="14" t="s">
        <v>38</v>
      </c>
      <c r="E292" s="15">
        <v>219.7</v>
      </c>
      <c r="F292" s="14" t="s">
        <v>574</v>
      </c>
      <c r="G292" s="14" t="s">
        <v>190</v>
      </c>
      <c r="H292" s="14" t="s">
        <v>40</v>
      </c>
      <c r="I292" s="14" t="s">
        <v>41</v>
      </c>
      <c r="J292" s="97">
        <f t="shared" si="64"/>
        <v>45620</v>
      </c>
      <c r="L292" s="19" t="str">
        <f t="shared" si="65"/>
        <v/>
      </c>
      <c r="M292" s="5">
        <f t="shared" si="66"/>
        <v>45631</v>
      </c>
      <c r="N292" s="4">
        <v>45335</v>
      </c>
      <c r="O292" s="19">
        <f t="shared" si="67"/>
        <v>296</v>
      </c>
      <c r="P292" s="5">
        <f t="shared" si="68"/>
        <v>45646</v>
      </c>
      <c r="Q292" s="4">
        <v>45701</v>
      </c>
      <c r="R292" s="19">
        <f t="shared" si="69"/>
        <v>-55</v>
      </c>
      <c r="S292" s="5">
        <f t="shared" si="79"/>
        <v>45651</v>
      </c>
      <c r="T292" s="4">
        <v>45716</v>
      </c>
      <c r="U292" s="19">
        <f t="shared" si="70"/>
        <v>-65</v>
      </c>
      <c r="V292" s="5">
        <f t="shared" si="71"/>
        <v>45690</v>
      </c>
      <c r="W292" s="4">
        <v>45728</v>
      </c>
      <c r="X292" s="19">
        <f t="shared" si="72"/>
        <v>-38</v>
      </c>
      <c r="Y292" s="51">
        <f t="shared" si="73"/>
        <v>45715</v>
      </c>
      <c r="Z292" s="4">
        <v>45728</v>
      </c>
      <c r="AA292" s="49">
        <f t="shared" si="74"/>
        <v>-13</v>
      </c>
      <c r="AB292" s="51">
        <f t="shared" si="75"/>
        <v>45720</v>
      </c>
      <c r="AC292" s="49">
        <f t="shared" si="76"/>
        <v>-8</v>
      </c>
      <c r="AD292" s="43">
        <f t="shared" si="77"/>
        <v>45720</v>
      </c>
      <c r="AE292" s="4">
        <v>45728</v>
      </c>
      <c r="AF292" s="19">
        <f t="shared" si="78"/>
        <v>-8</v>
      </c>
      <c r="AG292" s="67"/>
      <c r="AH292" s="2"/>
      <c r="AI292" s="2"/>
      <c r="AJ292" s="2"/>
      <c r="AK292" s="2"/>
      <c r="AL292" s="2"/>
    </row>
    <row r="293" spans="1:38" ht="14.45">
      <c r="A293" s="156">
        <v>292</v>
      </c>
      <c r="B293" s="55">
        <v>45720</v>
      </c>
      <c r="C293" s="83" t="s">
        <v>575</v>
      </c>
      <c r="D293" s="14" t="s">
        <v>373</v>
      </c>
      <c r="E293" s="15">
        <v>10600</v>
      </c>
      <c r="F293" s="14" t="s">
        <v>576</v>
      </c>
      <c r="G293" s="14" t="s">
        <v>35</v>
      </c>
      <c r="H293" s="14" t="s">
        <v>40</v>
      </c>
      <c r="I293" s="14" t="s">
        <v>47</v>
      </c>
      <c r="J293" s="97">
        <f t="shared" si="64"/>
        <v>45620</v>
      </c>
      <c r="L293" s="19" t="str">
        <f t="shared" si="65"/>
        <v/>
      </c>
      <c r="M293" s="5">
        <f t="shared" si="66"/>
        <v>45631</v>
      </c>
      <c r="O293" s="19" t="str">
        <f t="shared" si="67"/>
        <v/>
      </c>
      <c r="P293" s="5">
        <f t="shared" si="68"/>
        <v>45646</v>
      </c>
      <c r="R293" s="19" t="str">
        <f t="shared" si="69"/>
        <v/>
      </c>
      <c r="S293" s="5">
        <f t="shared" si="79"/>
        <v>45651</v>
      </c>
      <c r="T293" s="4">
        <v>45505</v>
      </c>
      <c r="U293" s="19">
        <f t="shared" si="70"/>
        <v>146</v>
      </c>
      <c r="V293" s="5">
        <f t="shared" si="71"/>
        <v>45690</v>
      </c>
      <c r="W293" s="4">
        <v>45693</v>
      </c>
      <c r="X293" s="19">
        <f t="shared" si="72"/>
        <v>-3</v>
      </c>
      <c r="Y293" s="51">
        <f t="shared" si="73"/>
        <v>45715</v>
      </c>
      <c r="Z293" s="4">
        <v>45700</v>
      </c>
      <c r="AA293" s="49">
        <f t="shared" si="74"/>
        <v>15</v>
      </c>
      <c r="AB293" s="51">
        <f t="shared" si="75"/>
        <v>45720</v>
      </c>
      <c r="AC293" s="49">
        <f t="shared" si="76"/>
        <v>20</v>
      </c>
      <c r="AD293" s="43">
        <f t="shared" si="77"/>
        <v>45720</v>
      </c>
      <c r="AE293" s="4">
        <v>45700</v>
      </c>
      <c r="AF293" s="19">
        <f t="shared" si="78"/>
        <v>20</v>
      </c>
      <c r="AG293" s="67"/>
      <c r="AH293" s="2"/>
      <c r="AI293" s="2"/>
      <c r="AJ293" s="2"/>
      <c r="AK293" s="2"/>
      <c r="AL293" s="2"/>
    </row>
    <row r="294" spans="1:38" ht="14.45">
      <c r="A294" s="156">
        <v>293</v>
      </c>
      <c r="B294" s="55">
        <v>45720</v>
      </c>
      <c r="C294" s="83" t="s">
        <v>577</v>
      </c>
      <c r="D294" s="14" t="s">
        <v>578</v>
      </c>
      <c r="E294" s="15">
        <v>1575.04</v>
      </c>
      <c r="F294" s="14" t="s">
        <v>579</v>
      </c>
      <c r="G294" s="14" t="s">
        <v>35</v>
      </c>
      <c r="H294" s="14" t="s">
        <v>40</v>
      </c>
      <c r="I294" s="14" t="s">
        <v>62</v>
      </c>
      <c r="J294" s="97">
        <f t="shared" si="64"/>
        <v>45620</v>
      </c>
      <c r="L294" s="19" t="str">
        <f t="shared" si="65"/>
        <v/>
      </c>
      <c r="M294" s="5">
        <f t="shared" si="66"/>
        <v>45631</v>
      </c>
      <c r="O294" s="19" t="str">
        <f t="shared" si="67"/>
        <v/>
      </c>
      <c r="P294" s="5">
        <f t="shared" si="68"/>
        <v>45646</v>
      </c>
      <c r="R294" s="19" t="str">
        <f t="shared" si="69"/>
        <v/>
      </c>
      <c r="S294" s="5">
        <f t="shared" si="79"/>
        <v>45651</v>
      </c>
      <c r="U294" s="19" t="str">
        <f t="shared" si="70"/>
        <v/>
      </c>
      <c r="V294" s="5">
        <f t="shared" si="71"/>
        <v>45690</v>
      </c>
      <c r="W294" s="4">
        <v>45693</v>
      </c>
      <c r="X294" s="19">
        <f t="shared" si="72"/>
        <v>-3</v>
      </c>
      <c r="Y294" s="51">
        <f t="shared" si="73"/>
        <v>45715</v>
      </c>
      <c r="Z294" s="4">
        <v>45701</v>
      </c>
      <c r="AA294" s="49">
        <f t="shared" si="74"/>
        <v>14</v>
      </c>
      <c r="AB294" s="51">
        <f t="shared" si="75"/>
        <v>45720</v>
      </c>
      <c r="AC294" s="49">
        <f t="shared" si="76"/>
        <v>19</v>
      </c>
      <c r="AD294" s="43">
        <f t="shared" si="77"/>
        <v>45720</v>
      </c>
      <c r="AE294" s="4">
        <v>45701</v>
      </c>
      <c r="AF294" s="19">
        <f t="shared" si="78"/>
        <v>19</v>
      </c>
      <c r="AG294" s="67"/>
      <c r="AH294" s="2"/>
      <c r="AI294" s="2"/>
      <c r="AJ294" s="2"/>
      <c r="AK294" s="2"/>
      <c r="AL294" s="2"/>
    </row>
    <row r="295" spans="1:38" ht="14.45">
      <c r="A295" s="156">
        <v>294</v>
      </c>
      <c r="B295" s="55">
        <v>45720</v>
      </c>
      <c r="C295" s="83" t="s">
        <v>580</v>
      </c>
      <c r="D295" s="14" t="s">
        <v>578</v>
      </c>
      <c r="E295" s="15">
        <v>22050.6</v>
      </c>
      <c r="F295" s="14" t="s">
        <v>581</v>
      </c>
      <c r="G295" s="14" t="s">
        <v>35</v>
      </c>
      <c r="H295" s="14" t="s">
        <v>36</v>
      </c>
      <c r="I295" s="14" t="s">
        <v>62</v>
      </c>
      <c r="J295" s="97">
        <f t="shared" si="64"/>
        <v>45620</v>
      </c>
      <c r="L295" s="19" t="str">
        <f t="shared" si="65"/>
        <v/>
      </c>
      <c r="M295" s="5">
        <f t="shared" si="66"/>
        <v>45631</v>
      </c>
      <c r="O295" s="19" t="str">
        <f t="shared" si="67"/>
        <v/>
      </c>
      <c r="P295" s="5">
        <f t="shared" si="68"/>
        <v>45646</v>
      </c>
      <c r="R295" s="19" t="str">
        <f t="shared" si="69"/>
        <v/>
      </c>
      <c r="S295" s="5">
        <f t="shared" si="79"/>
        <v>45651</v>
      </c>
      <c r="U295" s="19" t="str">
        <f t="shared" si="70"/>
        <v/>
      </c>
      <c r="V295" s="5">
        <f t="shared" si="71"/>
        <v>45690</v>
      </c>
      <c r="W295" s="4">
        <v>45693</v>
      </c>
      <c r="X295" s="19">
        <f t="shared" si="72"/>
        <v>-3</v>
      </c>
      <c r="Y295" s="51">
        <f t="shared" si="73"/>
        <v>45715</v>
      </c>
      <c r="Z295" s="4">
        <v>45701</v>
      </c>
      <c r="AA295" s="49">
        <f t="shared" si="74"/>
        <v>14</v>
      </c>
      <c r="AB295" s="51">
        <f t="shared" si="75"/>
        <v>45720</v>
      </c>
      <c r="AC295" s="49">
        <f t="shared" si="76"/>
        <v>19</v>
      </c>
      <c r="AD295" s="43">
        <f t="shared" si="77"/>
        <v>45720</v>
      </c>
      <c r="AE295" s="4">
        <v>45701</v>
      </c>
      <c r="AF295" s="19">
        <f t="shared" si="78"/>
        <v>19</v>
      </c>
      <c r="AG295" s="67"/>
      <c r="AH295" s="2"/>
      <c r="AI295" s="2"/>
      <c r="AJ295" s="2"/>
      <c r="AK295" s="2"/>
      <c r="AL295" s="2"/>
    </row>
    <row r="296" spans="1:38" ht="14.45">
      <c r="A296" s="156">
        <v>295</v>
      </c>
      <c r="B296" s="55">
        <v>45720</v>
      </c>
      <c r="C296" s="34" t="s">
        <v>582</v>
      </c>
      <c r="D296" s="14" t="s">
        <v>583</v>
      </c>
      <c r="E296" s="15">
        <v>12694.26</v>
      </c>
      <c r="F296" s="14" t="s">
        <v>584</v>
      </c>
      <c r="G296" s="14" t="s">
        <v>35</v>
      </c>
      <c r="H296" s="14" t="s">
        <v>36</v>
      </c>
      <c r="I296" s="14" t="s">
        <v>585</v>
      </c>
      <c r="J296" s="97">
        <f t="shared" si="64"/>
        <v>45620</v>
      </c>
      <c r="L296" s="19" t="str">
        <f t="shared" si="65"/>
        <v/>
      </c>
      <c r="M296" s="5">
        <f t="shared" si="66"/>
        <v>45631</v>
      </c>
      <c r="O296" s="19" t="str">
        <f t="shared" si="67"/>
        <v/>
      </c>
      <c r="P296" s="5">
        <f t="shared" si="68"/>
        <v>45646</v>
      </c>
      <c r="R296" s="19" t="str">
        <f t="shared" si="69"/>
        <v/>
      </c>
      <c r="S296" s="5">
        <f t="shared" si="79"/>
        <v>45651</v>
      </c>
      <c r="U296" s="19" t="str">
        <f t="shared" si="70"/>
        <v/>
      </c>
      <c r="V296" s="5">
        <f t="shared" si="71"/>
        <v>45690</v>
      </c>
      <c r="W296" s="4">
        <v>45721</v>
      </c>
      <c r="X296" s="19">
        <f t="shared" si="72"/>
        <v>-31</v>
      </c>
      <c r="Y296" s="51">
        <f t="shared" si="73"/>
        <v>45715</v>
      </c>
      <c r="AA296" s="49" t="str">
        <f t="shared" si="74"/>
        <v/>
      </c>
      <c r="AB296" s="51">
        <f t="shared" si="75"/>
        <v>45720</v>
      </c>
      <c r="AC296" s="49" t="str">
        <f t="shared" si="76"/>
        <v/>
      </c>
      <c r="AD296" s="43">
        <f t="shared" si="77"/>
        <v>45720</v>
      </c>
      <c r="AF296" s="19" t="str">
        <f t="shared" si="78"/>
        <v/>
      </c>
      <c r="AG296" s="67"/>
      <c r="AH296" s="2"/>
      <c r="AI296" s="2"/>
      <c r="AJ296" s="2"/>
      <c r="AK296" s="2"/>
      <c r="AL296" s="2"/>
    </row>
    <row r="297" spans="1:38" ht="14.45">
      <c r="A297" s="156">
        <v>296</v>
      </c>
      <c r="B297" s="55">
        <v>45721</v>
      </c>
      <c r="C297" s="40" t="s">
        <v>586</v>
      </c>
      <c r="D297" s="14" t="s">
        <v>38</v>
      </c>
      <c r="E297" s="15">
        <v>658.25</v>
      </c>
      <c r="F297" s="14" t="s">
        <v>587</v>
      </c>
      <c r="G297" s="14" t="s">
        <v>190</v>
      </c>
      <c r="H297" s="14" t="s">
        <v>40</v>
      </c>
      <c r="I297" s="14" t="s">
        <v>41</v>
      </c>
      <c r="J297" s="97">
        <f t="shared" si="64"/>
        <v>45621</v>
      </c>
      <c r="L297" s="19" t="str">
        <f t="shared" si="65"/>
        <v/>
      </c>
      <c r="M297" s="5">
        <f t="shared" si="66"/>
        <v>45632</v>
      </c>
      <c r="N297" s="4">
        <v>45335</v>
      </c>
      <c r="O297" s="19">
        <f t="shared" si="67"/>
        <v>297</v>
      </c>
      <c r="P297" s="5">
        <f t="shared" si="68"/>
        <v>45647</v>
      </c>
      <c r="Q297" s="4">
        <v>45701</v>
      </c>
      <c r="R297" s="19">
        <f t="shared" si="69"/>
        <v>-54</v>
      </c>
      <c r="S297" s="5">
        <f t="shared" si="79"/>
        <v>45652</v>
      </c>
      <c r="T297" s="4">
        <v>45716</v>
      </c>
      <c r="U297" s="19">
        <f t="shared" si="70"/>
        <v>-64</v>
      </c>
      <c r="V297" s="5">
        <f t="shared" si="71"/>
        <v>45691</v>
      </c>
      <c r="W297" s="4">
        <v>45724</v>
      </c>
      <c r="X297" s="19">
        <f t="shared" si="72"/>
        <v>-33</v>
      </c>
      <c r="Y297" s="51">
        <f t="shared" si="73"/>
        <v>45716</v>
      </c>
      <c r="Z297" s="4">
        <v>45724</v>
      </c>
      <c r="AA297" s="49">
        <f t="shared" si="74"/>
        <v>-8</v>
      </c>
      <c r="AB297" s="51">
        <f t="shared" si="75"/>
        <v>45721</v>
      </c>
      <c r="AC297" s="49">
        <f t="shared" si="76"/>
        <v>-3</v>
      </c>
      <c r="AD297" s="43">
        <f t="shared" si="77"/>
        <v>45721</v>
      </c>
      <c r="AE297" s="4">
        <v>45724</v>
      </c>
      <c r="AF297" s="19">
        <f t="shared" si="78"/>
        <v>-3</v>
      </c>
      <c r="AG297" s="67"/>
      <c r="AH297" s="2"/>
      <c r="AI297" s="2"/>
      <c r="AJ297" s="2"/>
      <c r="AK297" s="2"/>
      <c r="AL297" s="2"/>
    </row>
    <row r="298" spans="1:38" ht="14.45">
      <c r="A298" s="156">
        <v>297</v>
      </c>
      <c r="B298" s="55">
        <v>45721</v>
      </c>
      <c r="C298" s="39" t="s">
        <v>588</v>
      </c>
      <c r="D298" s="14" t="s">
        <v>589</v>
      </c>
      <c r="E298" s="15">
        <v>15317.04</v>
      </c>
      <c r="F298" s="14" t="s">
        <v>590</v>
      </c>
      <c r="G298" s="14" t="s">
        <v>190</v>
      </c>
      <c r="H298" s="14" t="s">
        <v>40</v>
      </c>
      <c r="I298" s="14" t="s">
        <v>93</v>
      </c>
      <c r="J298" s="97">
        <f t="shared" si="64"/>
        <v>45621</v>
      </c>
      <c r="K298" s="4">
        <v>45299</v>
      </c>
      <c r="L298" s="19">
        <f t="shared" si="65"/>
        <v>322</v>
      </c>
      <c r="M298" s="5">
        <f t="shared" si="66"/>
        <v>45632</v>
      </c>
      <c r="O298" s="19" t="str">
        <f t="shared" si="67"/>
        <v/>
      </c>
      <c r="P298" s="5">
        <f t="shared" si="68"/>
        <v>45647</v>
      </c>
      <c r="R298" s="19" t="str">
        <f t="shared" si="69"/>
        <v/>
      </c>
      <c r="S298" s="5">
        <f t="shared" si="79"/>
        <v>45652</v>
      </c>
      <c r="T298" s="4">
        <v>45665</v>
      </c>
      <c r="U298" s="19">
        <f t="shared" si="70"/>
        <v>-13</v>
      </c>
      <c r="V298" s="5">
        <f t="shared" si="71"/>
        <v>45691</v>
      </c>
      <c r="W298" s="4">
        <v>45701</v>
      </c>
      <c r="X298" s="19">
        <f t="shared" si="72"/>
        <v>-10</v>
      </c>
      <c r="Y298" s="51">
        <f t="shared" si="73"/>
        <v>45716</v>
      </c>
      <c r="Z298" s="4">
        <v>45730</v>
      </c>
      <c r="AA298" s="49">
        <f t="shared" si="74"/>
        <v>-14</v>
      </c>
      <c r="AB298" s="51">
        <f t="shared" si="75"/>
        <v>45721</v>
      </c>
      <c r="AC298" s="49">
        <f t="shared" si="76"/>
        <v>-9</v>
      </c>
      <c r="AD298" s="43">
        <f t="shared" si="77"/>
        <v>45721</v>
      </c>
      <c r="AE298" s="4">
        <v>45730</v>
      </c>
      <c r="AF298" s="19">
        <f t="shared" si="78"/>
        <v>-9</v>
      </c>
      <c r="AG298" s="67"/>
      <c r="AH298" s="2"/>
      <c r="AI298" s="2"/>
      <c r="AJ298" s="2"/>
      <c r="AK298" s="2"/>
      <c r="AL298" s="2"/>
    </row>
    <row r="299" spans="1:38" ht="14.45">
      <c r="A299" s="156">
        <v>298</v>
      </c>
      <c r="B299" s="55">
        <v>45722</v>
      </c>
      <c r="C299" s="83">
        <v>601319908</v>
      </c>
      <c r="D299" s="14" t="s">
        <v>423</v>
      </c>
      <c r="E299" s="15">
        <v>6531.6</v>
      </c>
      <c r="F299" s="14" t="s">
        <v>591</v>
      </c>
      <c r="G299" s="14" t="s">
        <v>35</v>
      </c>
      <c r="H299" s="14" t="s">
        <v>36</v>
      </c>
      <c r="I299" s="14" t="s">
        <v>37</v>
      </c>
      <c r="J299" s="97">
        <f t="shared" si="64"/>
        <v>45622</v>
      </c>
      <c r="L299" s="19" t="str">
        <f t="shared" si="65"/>
        <v/>
      </c>
      <c r="M299" s="5">
        <f t="shared" si="66"/>
        <v>45633</v>
      </c>
      <c r="O299" s="19" t="str">
        <f t="shared" si="67"/>
        <v/>
      </c>
      <c r="P299" s="5">
        <f t="shared" si="68"/>
        <v>45648</v>
      </c>
      <c r="R299" s="19" t="str">
        <f t="shared" si="69"/>
        <v/>
      </c>
      <c r="S299" s="5">
        <f t="shared" si="79"/>
        <v>45653</v>
      </c>
      <c r="U299" s="19" t="str">
        <f t="shared" si="70"/>
        <v/>
      </c>
      <c r="V299" s="5">
        <f t="shared" si="71"/>
        <v>45692</v>
      </c>
      <c r="W299" s="4">
        <v>45698</v>
      </c>
      <c r="X299" s="19">
        <f t="shared" si="72"/>
        <v>-6</v>
      </c>
      <c r="Y299" s="51">
        <f t="shared" si="73"/>
        <v>45717</v>
      </c>
      <c r="Z299" s="4">
        <v>45726</v>
      </c>
      <c r="AA299" s="49">
        <f t="shared" si="74"/>
        <v>-9</v>
      </c>
      <c r="AB299" s="51">
        <f t="shared" si="75"/>
        <v>45722</v>
      </c>
      <c r="AC299" s="49">
        <f t="shared" si="76"/>
        <v>-4</v>
      </c>
      <c r="AD299" s="43">
        <f t="shared" si="77"/>
        <v>45722</v>
      </c>
      <c r="AE299" s="4">
        <v>45726</v>
      </c>
      <c r="AF299" s="19">
        <f t="shared" si="78"/>
        <v>-4</v>
      </c>
      <c r="AG299" s="67"/>
      <c r="AH299" s="2"/>
      <c r="AI299" s="2"/>
      <c r="AJ299" s="2"/>
      <c r="AK299" s="2"/>
      <c r="AL299" s="2"/>
    </row>
    <row r="300" spans="1:38" ht="14.45">
      <c r="A300" s="156">
        <v>299</v>
      </c>
      <c r="B300" s="55">
        <v>45722</v>
      </c>
      <c r="C300" s="33"/>
      <c r="D300" s="14" t="s">
        <v>592</v>
      </c>
      <c r="E300" s="15">
        <v>2784.36</v>
      </c>
      <c r="F300" s="14" t="s">
        <v>593</v>
      </c>
      <c r="G300" s="10" t="s">
        <v>120</v>
      </c>
      <c r="H300" s="14" t="s">
        <v>40</v>
      </c>
      <c r="I300" s="14" t="s">
        <v>93</v>
      </c>
      <c r="J300" s="97">
        <f t="shared" si="64"/>
        <v>45622</v>
      </c>
      <c r="K300" s="95">
        <v>45660</v>
      </c>
      <c r="L300" s="19">
        <f t="shared" si="65"/>
        <v>-38</v>
      </c>
      <c r="M300" s="5">
        <f t="shared" si="66"/>
        <v>45633</v>
      </c>
      <c r="O300" s="19" t="str">
        <f t="shared" si="67"/>
        <v/>
      </c>
      <c r="P300" s="5">
        <f t="shared" si="68"/>
        <v>45648</v>
      </c>
      <c r="R300" s="19" t="str">
        <f t="shared" si="69"/>
        <v/>
      </c>
      <c r="S300" s="5">
        <f t="shared" si="79"/>
        <v>45653</v>
      </c>
      <c r="T300" s="95">
        <v>45663</v>
      </c>
      <c r="U300" s="19">
        <f t="shared" si="70"/>
        <v>-10</v>
      </c>
      <c r="V300" s="5">
        <f t="shared" si="71"/>
        <v>45692</v>
      </c>
      <c r="W300" s="4">
        <v>45695</v>
      </c>
      <c r="X300" s="19">
        <f t="shared" si="72"/>
        <v>-3</v>
      </c>
      <c r="Y300" s="51">
        <f t="shared" si="73"/>
        <v>45717</v>
      </c>
      <c r="Z300" s="4">
        <v>45715</v>
      </c>
      <c r="AA300" s="49">
        <f t="shared" si="74"/>
        <v>2</v>
      </c>
      <c r="AB300" s="51">
        <f t="shared" si="75"/>
        <v>45722</v>
      </c>
      <c r="AC300" s="49">
        <f t="shared" si="76"/>
        <v>7</v>
      </c>
      <c r="AD300" s="43">
        <f t="shared" si="77"/>
        <v>45722</v>
      </c>
      <c r="AE300" s="4">
        <v>45715</v>
      </c>
      <c r="AF300" s="19">
        <f t="shared" si="78"/>
        <v>7</v>
      </c>
      <c r="AG300" s="67"/>
      <c r="AH300" s="2"/>
      <c r="AI300" s="2"/>
      <c r="AJ300" s="2"/>
      <c r="AK300" s="2"/>
      <c r="AL300" s="2"/>
    </row>
    <row r="301" spans="1:38" ht="14.45">
      <c r="A301" s="156">
        <v>300</v>
      </c>
      <c r="B301" s="55">
        <v>45722</v>
      </c>
      <c r="C301" s="33"/>
      <c r="D301" s="14" t="s">
        <v>592</v>
      </c>
      <c r="E301" s="15">
        <v>498.31</v>
      </c>
      <c r="F301" s="14" t="s">
        <v>594</v>
      </c>
      <c r="G301" s="10" t="s">
        <v>120</v>
      </c>
      <c r="H301" s="14" t="s">
        <v>40</v>
      </c>
      <c r="I301" s="14" t="s">
        <v>121</v>
      </c>
      <c r="J301" s="97">
        <f t="shared" si="64"/>
        <v>45622</v>
      </c>
      <c r="K301" s="95">
        <v>45660</v>
      </c>
      <c r="L301" s="19">
        <f t="shared" si="65"/>
        <v>-38</v>
      </c>
      <c r="M301" s="5">
        <f t="shared" si="66"/>
        <v>45633</v>
      </c>
      <c r="O301" s="19" t="str">
        <f t="shared" si="67"/>
        <v/>
      </c>
      <c r="P301" s="5">
        <f t="shared" si="68"/>
        <v>45648</v>
      </c>
      <c r="R301" s="19" t="str">
        <f t="shared" si="69"/>
        <v/>
      </c>
      <c r="S301" s="5">
        <f t="shared" si="79"/>
        <v>45653</v>
      </c>
      <c r="T301" s="95">
        <v>45663</v>
      </c>
      <c r="U301" s="19">
        <f t="shared" si="70"/>
        <v>-10</v>
      </c>
      <c r="V301" s="5">
        <f t="shared" si="71"/>
        <v>45692</v>
      </c>
      <c r="W301" s="4">
        <v>45695</v>
      </c>
      <c r="X301" s="19">
        <f t="shared" si="72"/>
        <v>-3</v>
      </c>
      <c r="Y301" s="51">
        <f t="shared" si="73"/>
        <v>45717</v>
      </c>
      <c r="Z301" s="4">
        <v>45715</v>
      </c>
      <c r="AA301" s="49">
        <f t="shared" si="74"/>
        <v>2</v>
      </c>
      <c r="AB301" s="51">
        <f t="shared" si="75"/>
        <v>45722</v>
      </c>
      <c r="AC301" s="49">
        <f t="shared" si="76"/>
        <v>7</v>
      </c>
      <c r="AD301" s="43">
        <f t="shared" si="77"/>
        <v>45722</v>
      </c>
      <c r="AE301" s="4">
        <v>45715</v>
      </c>
      <c r="AF301" s="19">
        <f t="shared" si="78"/>
        <v>7</v>
      </c>
      <c r="AG301" s="67"/>
      <c r="AH301" s="2"/>
      <c r="AI301" s="2"/>
      <c r="AJ301" s="2"/>
      <c r="AK301" s="2"/>
      <c r="AL301" s="2"/>
    </row>
    <row r="302" spans="1:38" ht="14.45">
      <c r="A302" s="156">
        <v>301</v>
      </c>
      <c r="B302" s="57">
        <v>45723</v>
      </c>
      <c r="C302" s="82" t="s">
        <v>595</v>
      </c>
      <c r="D302" s="18" t="s">
        <v>596</v>
      </c>
      <c r="E302" s="15">
        <v>43222.03</v>
      </c>
      <c r="F302" s="14" t="s">
        <v>597</v>
      </c>
      <c r="G302" s="14" t="s">
        <v>51</v>
      </c>
      <c r="H302" s="14" t="s">
        <v>40</v>
      </c>
      <c r="I302" s="14" t="s">
        <v>62</v>
      </c>
      <c r="J302" s="97">
        <f t="shared" si="64"/>
        <v>45623</v>
      </c>
      <c r="L302" s="19" t="str">
        <f t="shared" si="65"/>
        <v/>
      </c>
      <c r="M302" s="5">
        <f t="shared" si="66"/>
        <v>45634</v>
      </c>
      <c r="O302" s="19" t="str">
        <f t="shared" si="67"/>
        <v/>
      </c>
      <c r="P302" s="5">
        <f t="shared" si="68"/>
        <v>45649</v>
      </c>
      <c r="R302" s="19" t="str">
        <f t="shared" si="69"/>
        <v/>
      </c>
      <c r="S302" s="5">
        <f t="shared" si="79"/>
        <v>45654</v>
      </c>
      <c r="U302" s="19" t="str">
        <f t="shared" si="70"/>
        <v/>
      </c>
      <c r="V302" s="5">
        <f t="shared" si="71"/>
        <v>45693</v>
      </c>
      <c r="X302" s="19" t="str">
        <f t="shared" si="72"/>
        <v/>
      </c>
      <c r="Y302" s="51">
        <f t="shared" si="73"/>
        <v>45718</v>
      </c>
      <c r="AA302" s="49" t="str">
        <f t="shared" si="74"/>
        <v/>
      </c>
      <c r="AB302" s="51">
        <f t="shared" si="75"/>
        <v>45723</v>
      </c>
      <c r="AC302" s="49" t="str">
        <f t="shared" si="76"/>
        <v/>
      </c>
      <c r="AD302" s="43">
        <f t="shared" si="77"/>
        <v>45723</v>
      </c>
      <c r="AF302" s="19" t="str">
        <f t="shared" si="78"/>
        <v/>
      </c>
      <c r="AG302" s="67" t="s">
        <v>367</v>
      </c>
      <c r="AH302" s="2"/>
      <c r="AI302" s="2"/>
      <c r="AJ302" s="2"/>
      <c r="AK302" s="2"/>
      <c r="AL302" s="2"/>
    </row>
    <row r="303" spans="1:38" ht="14.45">
      <c r="A303" s="156">
        <v>302</v>
      </c>
      <c r="B303" s="55">
        <v>45723</v>
      </c>
      <c r="C303" s="83" t="s">
        <v>598</v>
      </c>
      <c r="D303" s="14" t="s">
        <v>599</v>
      </c>
      <c r="E303" s="15">
        <v>46558.01</v>
      </c>
      <c r="F303" s="14" t="s">
        <v>600</v>
      </c>
      <c r="G303" s="14" t="s">
        <v>35</v>
      </c>
      <c r="H303" s="14" t="s">
        <v>36</v>
      </c>
      <c r="I303" s="14" t="s">
        <v>37</v>
      </c>
      <c r="J303" s="97">
        <f t="shared" si="64"/>
        <v>45623</v>
      </c>
      <c r="L303" s="19" t="str">
        <f t="shared" si="65"/>
        <v/>
      </c>
      <c r="M303" s="5">
        <f t="shared" si="66"/>
        <v>45634</v>
      </c>
      <c r="O303" s="19" t="str">
        <f t="shared" si="67"/>
        <v/>
      </c>
      <c r="P303" s="5">
        <f t="shared" si="68"/>
        <v>45649</v>
      </c>
      <c r="R303" s="19" t="str">
        <f t="shared" si="69"/>
        <v/>
      </c>
      <c r="S303" s="5">
        <f t="shared" si="79"/>
        <v>45654</v>
      </c>
      <c r="U303" s="19" t="str">
        <f t="shared" si="70"/>
        <v/>
      </c>
      <c r="V303" s="5">
        <f t="shared" si="71"/>
        <v>45693</v>
      </c>
      <c r="W303" s="4">
        <v>45698</v>
      </c>
      <c r="X303" s="19">
        <f t="shared" si="72"/>
        <v>-5</v>
      </c>
      <c r="Y303" s="51">
        <f t="shared" si="73"/>
        <v>45718</v>
      </c>
      <c r="Z303" s="4">
        <v>45726</v>
      </c>
      <c r="AA303" s="49">
        <f t="shared" si="74"/>
        <v>-8</v>
      </c>
      <c r="AB303" s="51">
        <f t="shared" si="75"/>
        <v>45723</v>
      </c>
      <c r="AC303" s="49">
        <f t="shared" si="76"/>
        <v>-3</v>
      </c>
      <c r="AD303" s="43">
        <f t="shared" si="77"/>
        <v>45723</v>
      </c>
      <c r="AE303" s="4">
        <v>45726</v>
      </c>
      <c r="AF303" s="19">
        <f t="shared" si="78"/>
        <v>-3</v>
      </c>
      <c r="AG303" s="67"/>
      <c r="AH303" s="2"/>
      <c r="AI303" s="2"/>
      <c r="AJ303" s="2"/>
      <c r="AK303" s="2"/>
      <c r="AL303" s="2"/>
    </row>
    <row r="304" spans="1:38" ht="14.45">
      <c r="A304" s="156">
        <v>303</v>
      </c>
      <c r="B304" s="55">
        <v>45723</v>
      </c>
      <c r="C304" s="40" t="s">
        <v>601</v>
      </c>
      <c r="D304" s="14" t="s">
        <v>38</v>
      </c>
      <c r="E304" s="15">
        <v>1427.71</v>
      </c>
      <c r="F304" s="14" t="s">
        <v>602</v>
      </c>
      <c r="G304" s="14" t="s">
        <v>190</v>
      </c>
      <c r="H304" s="14" t="s">
        <v>40</v>
      </c>
      <c r="I304" s="14" t="s">
        <v>41</v>
      </c>
      <c r="J304" s="97">
        <f t="shared" si="64"/>
        <v>45623</v>
      </c>
      <c r="L304" s="19" t="str">
        <f t="shared" si="65"/>
        <v/>
      </c>
      <c r="M304" s="5">
        <f t="shared" si="66"/>
        <v>45634</v>
      </c>
      <c r="N304" s="4">
        <v>45335</v>
      </c>
      <c r="O304" s="19">
        <f t="shared" si="67"/>
        <v>299</v>
      </c>
      <c r="P304" s="5">
        <f t="shared" si="68"/>
        <v>45649</v>
      </c>
      <c r="Q304" s="4">
        <v>45701</v>
      </c>
      <c r="R304" s="19">
        <f t="shared" si="69"/>
        <v>-52</v>
      </c>
      <c r="S304" s="5">
        <f t="shared" si="79"/>
        <v>45654</v>
      </c>
      <c r="T304" s="4">
        <v>45716</v>
      </c>
      <c r="U304" s="19">
        <f t="shared" si="70"/>
        <v>-62</v>
      </c>
      <c r="V304" s="5">
        <f t="shared" si="71"/>
        <v>45693</v>
      </c>
      <c r="W304" s="4">
        <v>45724</v>
      </c>
      <c r="X304" s="19">
        <f t="shared" si="72"/>
        <v>-31</v>
      </c>
      <c r="Y304" s="51">
        <f t="shared" si="73"/>
        <v>45718</v>
      </c>
      <c r="Z304" s="4">
        <v>45724</v>
      </c>
      <c r="AA304" s="49">
        <f t="shared" si="74"/>
        <v>-6</v>
      </c>
      <c r="AB304" s="51">
        <f t="shared" si="75"/>
        <v>45723</v>
      </c>
      <c r="AC304" s="49">
        <f t="shared" si="76"/>
        <v>-1</v>
      </c>
      <c r="AD304" s="43">
        <f t="shared" si="77"/>
        <v>45723</v>
      </c>
      <c r="AE304" s="4">
        <v>45724</v>
      </c>
      <c r="AF304" s="19">
        <f t="shared" si="78"/>
        <v>-1</v>
      </c>
      <c r="AG304" s="67"/>
      <c r="AH304" s="2"/>
      <c r="AI304" s="2"/>
      <c r="AJ304" s="2"/>
      <c r="AK304" s="2"/>
      <c r="AL304" s="2"/>
    </row>
    <row r="305" spans="1:38" ht="14.45">
      <c r="A305" s="156">
        <v>304</v>
      </c>
      <c r="B305" s="55">
        <v>45723</v>
      </c>
      <c r="C305" s="39" t="s">
        <v>603</v>
      </c>
      <c r="D305" s="14" t="s">
        <v>38</v>
      </c>
      <c r="E305" s="15">
        <v>728.39</v>
      </c>
      <c r="F305" s="14" t="s">
        <v>604</v>
      </c>
      <c r="G305" s="14" t="s">
        <v>190</v>
      </c>
      <c r="H305" s="14" t="s">
        <v>40</v>
      </c>
      <c r="I305" s="14" t="s">
        <v>41</v>
      </c>
      <c r="J305" s="97">
        <f t="shared" si="64"/>
        <v>45623</v>
      </c>
      <c r="L305" s="19" t="str">
        <f t="shared" si="65"/>
        <v/>
      </c>
      <c r="M305" s="5">
        <f t="shared" si="66"/>
        <v>45634</v>
      </c>
      <c r="N305" s="4">
        <v>45335</v>
      </c>
      <c r="O305" s="19">
        <f t="shared" si="67"/>
        <v>299</v>
      </c>
      <c r="P305" s="5">
        <f t="shared" si="68"/>
        <v>45649</v>
      </c>
      <c r="Q305" s="4">
        <v>45701</v>
      </c>
      <c r="R305" s="19">
        <f t="shared" si="69"/>
        <v>-52</v>
      </c>
      <c r="S305" s="5">
        <f t="shared" si="79"/>
        <v>45654</v>
      </c>
      <c r="T305" s="4">
        <v>45716</v>
      </c>
      <c r="U305" s="19">
        <f t="shared" si="70"/>
        <v>-62</v>
      </c>
      <c r="V305" s="5">
        <f t="shared" si="71"/>
        <v>45693</v>
      </c>
      <c r="W305" s="4">
        <v>45724</v>
      </c>
      <c r="X305" s="19">
        <f t="shared" si="72"/>
        <v>-31</v>
      </c>
      <c r="Y305" s="51">
        <f t="shared" si="73"/>
        <v>45718</v>
      </c>
      <c r="Z305" s="4">
        <v>45724</v>
      </c>
      <c r="AA305" s="49">
        <f t="shared" si="74"/>
        <v>-6</v>
      </c>
      <c r="AB305" s="51">
        <f t="shared" si="75"/>
        <v>45723</v>
      </c>
      <c r="AC305" s="49">
        <f t="shared" si="76"/>
        <v>-1</v>
      </c>
      <c r="AD305" s="43">
        <f t="shared" si="77"/>
        <v>45723</v>
      </c>
      <c r="AE305" s="4">
        <v>45724</v>
      </c>
      <c r="AF305" s="19">
        <f t="shared" si="78"/>
        <v>-1</v>
      </c>
      <c r="AG305" s="67"/>
      <c r="AH305" s="2"/>
      <c r="AI305" s="2"/>
      <c r="AJ305" s="2"/>
      <c r="AK305" s="2"/>
      <c r="AL305" s="2"/>
    </row>
    <row r="306" spans="1:38" ht="14.45">
      <c r="A306" s="156">
        <v>305</v>
      </c>
      <c r="B306" s="55">
        <v>45723</v>
      </c>
      <c r="C306" s="39" t="s">
        <v>605</v>
      </c>
      <c r="D306" s="14" t="s">
        <v>38</v>
      </c>
      <c r="E306" s="15">
        <v>220.11</v>
      </c>
      <c r="F306" s="14" t="s">
        <v>606</v>
      </c>
      <c r="G306" s="14" t="s">
        <v>190</v>
      </c>
      <c r="H306" s="14" t="s">
        <v>40</v>
      </c>
      <c r="I306" s="14" t="s">
        <v>41</v>
      </c>
      <c r="J306" s="97">
        <f t="shared" si="64"/>
        <v>45623</v>
      </c>
      <c r="L306" s="19" t="str">
        <f t="shared" si="65"/>
        <v/>
      </c>
      <c r="M306" s="5">
        <f t="shared" si="66"/>
        <v>45634</v>
      </c>
      <c r="N306" s="4">
        <v>45335</v>
      </c>
      <c r="O306" s="19">
        <f t="shared" si="67"/>
        <v>299</v>
      </c>
      <c r="P306" s="5">
        <f t="shared" si="68"/>
        <v>45649</v>
      </c>
      <c r="Q306" s="4">
        <v>45701</v>
      </c>
      <c r="R306" s="19">
        <f t="shared" si="69"/>
        <v>-52</v>
      </c>
      <c r="S306" s="5">
        <f t="shared" si="79"/>
        <v>45654</v>
      </c>
      <c r="T306" s="4">
        <v>45716</v>
      </c>
      <c r="U306" s="19">
        <f t="shared" si="70"/>
        <v>-62</v>
      </c>
      <c r="V306" s="5">
        <f t="shared" si="71"/>
        <v>45693</v>
      </c>
      <c r="W306" s="4">
        <v>45724</v>
      </c>
      <c r="X306" s="19">
        <f t="shared" si="72"/>
        <v>-31</v>
      </c>
      <c r="Y306" s="51">
        <f t="shared" si="73"/>
        <v>45718</v>
      </c>
      <c r="Z306" s="4">
        <v>45724</v>
      </c>
      <c r="AA306" s="49">
        <f t="shared" si="74"/>
        <v>-6</v>
      </c>
      <c r="AB306" s="51">
        <f t="shared" si="75"/>
        <v>45723</v>
      </c>
      <c r="AC306" s="49">
        <f t="shared" si="76"/>
        <v>-1</v>
      </c>
      <c r="AD306" s="43">
        <f t="shared" si="77"/>
        <v>45723</v>
      </c>
      <c r="AE306" s="4">
        <v>45724</v>
      </c>
      <c r="AF306" s="19">
        <f t="shared" si="78"/>
        <v>-1</v>
      </c>
      <c r="AG306" s="67"/>
      <c r="AH306" s="2"/>
      <c r="AI306" s="2"/>
      <c r="AJ306" s="2"/>
      <c r="AK306" s="2"/>
      <c r="AL306" s="2"/>
    </row>
    <row r="307" spans="1:38" ht="14.45">
      <c r="A307" s="156">
        <v>306</v>
      </c>
      <c r="B307" s="55">
        <v>45724</v>
      </c>
      <c r="C307" s="80"/>
      <c r="D307" s="14" t="s">
        <v>306</v>
      </c>
      <c r="E307" s="15">
        <v>5371.81</v>
      </c>
      <c r="F307" s="14" t="s">
        <v>607</v>
      </c>
      <c r="G307" s="14" t="s">
        <v>46</v>
      </c>
      <c r="H307" s="14" t="s">
        <v>36</v>
      </c>
      <c r="I307" s="14" t="s">
        <v>93</v>
      </c>
      <c r="J307" s="97">
        <f t="shared" si="64"/>
        <v>45624</v>
      </c>
      <c r="L307" s="19" t="str">
        <f t="shared" si="65"/>
        <v/>
      </c>
      <c r="M307" s="5">
        <f t="shared" si="66"/>
        <v>45635</v>
      </c>
      <c r="O307" s="19" t="str">
        <f t="shared" si="67"/>
        <v/>
      </c>
      <c r="P307" s="5">
        <f t="shared" si="68"/>
        <v>45650</v>
      </c>
      <c r="R307" s="19" t="str">
        <f t="shared" si="69"/>
        <v/>
      </c>
      <c r="S307" s="5">
        <f t="shared" si="79"/>
        <v>45655</v>
      </c>
      <c r="T307" s="4">
        <v>45667</v>
      </c>
      <c r="U307" s="19">
        <f t="shared" si="70"/>
        <v>-12</v>
      </c>
      <c r="V307" s="5">
        <f t="shared" si="71"/>
        <v>45694</v>
      </c>
      <c r="W307" s="4">
        <v>45720</v>
      </c>
      <c r="X307" s="19">
        <f t="shared" si="72"/>
        <v>-26</v>
      </c>
      <c r="Y307" s="51">
        <f t="shared" si="73"/>
        <v>45719</v>
      </c>
      <c r="Z307" s="4">
        <v>45720</v>
      </c>
      <c r="AA307" s="49">
        <f t="shared" si="74"/>
        <v>-1</v>
      </c>
      <c r="AB307" s="51">
        <f t="shared" si="75"/>
        <v>45724</v>
      </c>
      <c r="AC307" s="49">
        <f t="shared" si="76"/>
        <v>4</v>
      </c>
      <c r="AD307" s="43">
        <f t="shared" si="77"/>
        <v>45724</v>
      </c>
      <c r="AE307" s="4">
        <v>45720</v>
      </c>
      <c r="AF307" s="19">
        <f t="shared" si="78"/>
        <v>4</v>
      </c>
      <c r="AG307" s="67"/>
      <c r="AH307" s="2"/>
      <c r="AI307" s="2"/>
      <c r="AJ307" s="2"/>
      <c r="AK307" s="2"/>
      <c r="AL307" s="2"/>
    </row>
    <row r="308" spans="1:38" ht="14.45">
      <c r="A308" s="156">
        <v>307</v>
      </c>
      <c r="B308" s="55">
        <v>45724</v>
      </c>
      <c r="C308" s="40" t="s">
        <v>608</v>
      </c>
      <c r="D308" s="14" t="s">
        <v>609</v>
      </c>
      <c r="E308" s="15">
        <v>834.15</v>
      </c>
      <c r="F308" s="14" t="s">
        <v>610</v>
      </c>
      <c r="G308" s="14" t="s">
        <v>190</v>
      </c>
      <c r="H308" s="14" t="s">
        <v>40</v>
      </c>
      <c r="I308" s="14" t="s">
        <v>41</v>
      </c>
      <c r="J308" s="97">
        <f t="shared" si="64"/>
        <v>45624</v>
      </c>
      <c r="K308" s="4">
        <v>45637</v>
      </c>
      <c r="L308" s="19">
        <f t="shared" si="65"/>
        <v>-13</v>
      </c>
      <c r="M308" s="5">
        <f t="shared" si="66"/>
        <v>45635</v>
      </c>
      <c r="O308" s="19" t="str">
        <f t="shared" si="67"/>
        <v/>
      </c>
      <c r="P308" s="5">
        <f t="shared" si="68"/>
        <v>45650</v>
      </c>
      <c r="R308" s="19" t="str">
        <f t="shared" si="69"/>
        <v/>
      </c>
      <c r="S308" s="5">
        <f t="shared" si="79"/>
        <v>45655</v>
      </c>
      <c r="T308" s="4">
        <v>45666</v>
      </c>
      <c r="U308" s="19">
        <f t="shared" si="70"/>
        <v>-11</v>
      </c>
      <c r="V308" s="5">
        <f t="shared" si="71"/>
        <v>45694</v>
      </c>
      <c r="W308" s="4">
        <v>45695</v>
      </c>
      <c r="X308" s="19">
        <f t="shared" si="72"/>
        <v>-1</v>
      </c>
      <c r="Y308" s="51">
        <f t="shared" si="73"/>
        <v>45719</v>
      </c>
      <c r="Z308" s="4">
        <v>45695</v>
      </c>
      <c r="AA308" s="49">
        <f t="shared" si="74"/>
        <v>24</v>
      </c>
      <c r="AB308" s="51">
        <f t="shared" si="75"/>
        <v>45724</v>
      </c>
      <c r="AC308" s="49">
        <f t="shared" si="76"/>
        <v>29</v>
      </c>
      <c r="AD308" s="43">
        <f t="shared" si="77"/>
        <v>45724</v>
      </c>
      <c r="AE308" s="4">
        <v>45695</v>
      </c>
      <c r="AF308" s="19">
        <f t="shared" si="78"/>
        <v>29</v>
      </c>
      <c r="AG308" s="67"/>
      <c r="AH308" s="2"/>
      <c r="AI308" s="2"/>
      <c r="AJ308" s="2"/>
      <c r="AK308" s="2"/>
      <c r="AL308" s="2"/>
    </row>
    <row r="309" spans="1:38" ht="14.45">
      <c r="A309" s="156">
        <v>308</v>
      </c>
      <c r="B309" s="55">
        <v>45724</v>
      </c>
      <c r="C309" s="40" t="s">
        <v>611</v>
      </c>
      <c r="D309" s="14" t="s">
        <v>38</v>
      </c>
      <c r="E309" s="15">
        <v>10676.86</v>
      </c>
      <c r="F309" s="14" t="s">
        <v>612</v>
      </c>
      <c r="G309" s="14" t="s">
        <v>190</v>
      </c>
      <c r="H309" s="14" t="s">
        <v>36</v>
      </c>
      <c r="I309" s="14" t="s">
        <v>37</v>
      </c>
      <c r="J309" s="97">
        <f t="shared" si="64"/>
        <v>45624</v>
      </c>
      <c r="L309" s="19" t="str">
        <f t="shared" si="65"/>
        <v/>
      </c>
      <c r="M309" s="5">
        <f t="shared" si="66"/>
        <v>45635</v>
      </c>
      <c r="N309" s="4">
        <v>45341</v>
      </c>
      <c r="O309" s="19">
        <f t="shared" si="67"/>
        <v>294</v>
      </c>
      <c r="P309" s="5">
        <f t="shared" si="68"/>
        <v>45650</v>
      </c>
      <c r="Q309" s="4">
        <v>45713</v>
      </c>
      <c r="R309" s="19">
        <f t="shared" si="69"/>
        <v>-63</v>
      </c>
      <c r="S309" s="5">
        <f t="shared" si="79"/>
        <v>45655</v>
      </c>
      <c r="T309" s="4">
        <v>45713</v>
      </c>
      <c r="U309" s="19">
        <f t="shared" si="70"/>
        <v>-58</v>
      </c>
      <c r="V309" s="5">
        <f t="shared" si="71"/>
        <v>45694</v>
      </c>
      <c r="W309" s="4">
        <v>45713</v>
      </c>
      <c r="X309" s="19">
        <f t="shared" si="72"/>
        <v>-19</v>
      </c>
      <c r="Y309" s="51">
        <f t="shared" si="73"/>
        <v>45719</v>
      </c>
      <c r="Z309" s="4">
        <v>45723</v>
      </c>
      <c r="AA309" s="49">
        <f t="shared" si="74"/>
        <v>-4</v>
      </c>
      <c r="AB309" s="51">
        <f t="shared" si="75"/>
        <v>45724</v>
      </c>
      <c r="AC309" s="49">
        <f t="shared" si="76"/>
        <v>1</v>
      </c>
      <c r="AD309" s="43">
        <f t="shared" si="77"/>
        <v>45724</v>
      </c>
      <c r="AE309" s="4">
        <v>45723</v>
      </c>
      <c r="AF309" s="19">
        <f t="shared" si="78"/>
        <v>1</v>
      </c>
      <c r="AG309" s="67"/>
      <c r="AH309" s="2"/>
      <c r="AI309" s="2"/>
      <c r="AJ309" s="2"/>
      <c r="AK309" s="2"/>
      <c r="AL309" s="2"/>
    </row>
    <row r="310" spans="1:38" ht="14.45">
      <c r="A310" s="156">
        <v>309</v>
      </c>
      <c r="B310" s="55">
        <v>45724</v>
      </c>
      <c r="C310" s="76" t="s">
        <v>613</v>
      </c>
      <c r="D310" s="14" t="s">
        <v>153</v>
      </c>
      <c r="E310" s="15">
        <v>1779</v>
      </c>
      <c r="F310" s="14" t="s">
        <v>614</v>
      </c>
      <c r="G310" s="14" t="s">
        <v>46</v>
      </c>
      <c r="H310" s="14" t="s">
        <v>40</v>
      </c>
      <c r="I310" s="14" t="s">
        <v>37</v>
      </c>
      <c r="J310" s="97">
        <f t="shared" si="64"/>
        <v>45624</v>
      </c>
      <c r="K310" s="4">
        <v>45637</v>
      </c>
      <c r="L310" s="19">
        <f t="shared" si="65"/>
        <v>-13</v>
      </c>
      <c r="M310" s="5">
        <f t="shared" si="66"/>
        <v>45635</v>
      </c>
      <c r="O310" s="19" t="str">
        <f t="shared" si="67"/>
        <v/>
      </c>
      <c r="P310" s="5">
        <f t="shared" si="68"/>
        <v>45650</v>
      </c>
      <c r="R310" s="19" t="str">
        <f t="shared" si="69"/>
        <v/>
      </c>
      <c r="S310" s="5">
        <f t="shared" si="79"/>
        <v>45655</v>
      </c>
      <c r="T310" s="4">
        <v>45666</v>
      </c>
      <c r="U310" s="19">
        <f t="shared" si="70"/>
        <v>-11</v>
      </c>
      <c r="V310" s="5">
        <f t="shared" si="71"/>
        <v>45694</v>
      </c>
      <c r="W310" s="4">
        <v>45695</v>
      </c>
      <c r="X310" s="19">
        <f t="shared" si="72"/>
        <v>-1</v>
      </c>
      <c r="Y310" s="51">
        <f t="shared" si="73"/>
        <v>45719</v>
      </c>
      <c r="Z310" s="4">
        <v>45715</v>
      </c>
      <c r="AA310" s="49">
        <f t="shared" si="74"/>
        <v>4</v>
      </c>
      <c r="AB310" s="51">
        <f t="shared" si="75"/>
        <v>45724</v>
      </c>
      <c r="AC310" s="49">
        <f t="shared" si="76"/>
        <v>9</v>
      </c>
      <c r="AD310" s="43">
        <f t="shared" si="77"/>
        <v>45724</v>
      </c>
      <c r="AE310" s="4">
        <v>45715</v>
      </c>
      <c r="AF310" s="19">
        <f t="shared" si="78"/>
        <v>9</v>
      </c>
      <c r="AG310" s="67"/>
      <c r="AH310" s="2"/>
      <c r="AI310" s="2"/>
      <c r="AJ310" s="2"/>
      <c r="AK310" s="2"/>
      <c r="AL310" s="2"/>
    </row>
    <row r="311" spans="1:38" ht="14.45">
      <c r="A311" s="156">
        <v>310</v>
      </c>
      <c r="B311" s="55">
        <v>45724</v>
      </c>
      <c r="C311" s="76"/>
      <c r="D311" s="14" t="s">
        <v>153</v>
      </c>
      <c r="E311" s="15">
        <v>173157.87</v>
      </c>
      <c r="F311" s="14" t="s">
        <v>615</v>
      </c>
      <c r="G311" s="14" t="s">
        <v>46</v>
      </c>
      <c r="H311" s="14" t="s">
        <v>40</v>
      </c>
      <c r="I311" s="14" t="s">
        <v>62</v>
      </c>
      <c r="J311" s="97">
        <f t="shared" si="64"/>
        <v>45624</v>
      </c>
      <c r="K311" s="4">
        <v>45637</v>
      </c>
      <c r="L311" s="19">
        <f t="shared" si="65"/>
        <v>-13</v>
      </c>
      <c r="M311" s="5">
        <f t="shared" si="66"/>
        <v>45635</v>
      </c>
      <c r="O311" s="19" t="str">
        <f t="shared" si="67"/>
        <v/>
      </c>
      <c r="P311" s="5">
        <f t="shared" si="68"/>
        <v>45650</v>
      </c>
      <c r="R311" s="19" t="str">
        <f t="shared" si="69"/>
        <v/>
      </c>
      <c r="S311" s="5">
        <f t="shared" si="79"/>
        <v>45655</v>
      </c>
      <c r="T311" s="4">
        <v>45666</v>
      </c>
      <c r="U311" s="19">
        <f t="shared" si="70"/>
        <v>-11</v>
      </c>
      <c r="V311" s="5">
        <f t="shared" si="71"/>
        <v>45694</v>
      </c>
      <c r="W311" s="4">
        <v>45700</v>
      </c>
      <c r="X311" s="19">
        <f t="shared" si="72"/>
        <v>-6</v>
      </c>
      <c r="Y311" s="51">
        <f t="shared" si="73"/>
        <v>45719</v>
      </c>
      <c r="Z311" s="4">
        <v>45768</v>
      </c>
      <c r="AA311" s="49">
        <f t="shared" si="74"/>
        <v>-49</v>
      </c>
      <c r="AB311" s="51">
        <f t="shared" si="75"/>
        <v>45724</v>
      </c>
      <c r="AC311" s="49">
        <f t="shared" si="76"/>
        <v>-44</v>
      </c>
      <c r="AD311" s="43">
        <f t="shared" si="77"/>
        <v>45724</v>
      </c>
      <c r="AE311" s="4">
        <v>45768</v>
      </c>
      <c r="AF311" s="19">
        <f t="shared" si="78"/>
        <v>-44</v>
      </c>
      <c r="AG311" s="67"/>
      <c r="AH311" s="2"/>
      <c r="AI311" s="2"/>
      <c r="AJ311" s="2"/>
      <c r="AK311" s="2"/>
      <c r="AL311" s="2"/>
    </row>
    <row r="312" spans="1:38" ht="14.45">
      <c r="A312" s="156">
        <v>311</v>
      </c>
      <c r="B312" s="55">
        <v>45724</v>
      </c>
      <c r="C312" s="76" t="s">
        <v>616</v>
      </c>
      <c r="D312" s="14" t="s">
        <v>153</v>
      </c>
      <c r="E312" s="15">
        <v>92534.64</v>
      </c>
      <c r="F312" s="14" t="s">
        <v>617</v>
      </c>
      <c r="G312" s="14" t="s">
        <v>46</v>
      </c>
      <c r="H312" s="14" t="s">
        <v>40</v>
      </c>
      <c r="I312" s="14" t="s">
        <v>272</v>
      </c>
      <c r="J312" s="97">
        <f t="shared" si="64"/>
        <v>45624</v>
      </c>
      <c r="K312" s="4">
        <v>45637</v>
      </c>
      <c r="L312" s="19">
        <f t="shared" si="65"/>
        <v>-13</v>
      </c>
      <c r="M312" s="5">
        <f t="shared" si="66"/>
        <v>45635</v>
      </c>
      <c r="O312" s="19" t="str">
        <f t="shared" si="67"/>
        <v/>
      </c>
      <c r="P312" s="5">
        <f t="shared" si="68"/>
        <v>45650</v>
      </c>
      <c r="R312" s="19" t="str">
        <f t="shared" si="69"/>
        <v/>
      </c>
      <c r="S312" s="5">
        <f t="shared" si="79"/>
        <v>45655</v>
      </c>
      <c r="T312" s="4">
        <v>45666</v>
      </c>
      <c r="U312" s="19">
        <f t="shared" si="70"/>
        <v>-11</v>
      </c>
      <c r="V312" s="5">
        <f t="shared" si="71"/>
        <v>45694</v>
      </c>
      <c r="W312" s="4">
        <v>45695</v>
      </c>
      <c r="X312" s="19">
        <f t="shared" si="72"/>
        <v>-1</v>
      </c>
      <c r="Y312" s="51">
        <f t="shared" si="73"/>
        <v>45719</v>
      </c>
      <c r="Z312" s="4">
        <v>45720</v>
      </c>
      <c r="AA312" s="49">
        <f t="shared" si="74"/>
        <v>-1</v>
      </c>
      <c r="AB312" s="51">
        <f t="shared" si="75"/>
        <v>45724</v>
      </c>
      <c r="AC312" s="49">
        <f t="shared" si="76"/>
        <v>4</v>
      </c>
      <c r="AD312" s="43">
        <f t="shared" si="77"/>
        <v>45724</v>
      </c>
      <c r="AE312" s="4">
        <v>45720</v>
      </c>
      <c r="AF312" s="19">
        <f t="shared" si="78"/>
        <v>4</v>
      </c>
      <c r="AG312" s="67"/>
      <c r="AH312" s="2"/>
      <c r="AI312" s="2"/>
      <c r="AJ312" s="2"/>
      <c r="AK312" s="2"/>
      <c r="AL312" s="2"/>
    </row>
    <row r="313" spans="1:38" ht="14.45">
      <c r="A313" s="156">
        <v>312</v>
      </c>
      <c r="B313" s="55">
        <v>45724</v>
      </c>
      <c r="C313" s="77" t="s">
        <v>618</v>
      </c>
      <c r="D313" s="14" t="s">
        <v>153</v>
      </c>
      <c r="E313" s="15">
        <v>40113.4</v>
      </c>
      <c r="F313" s="14" t="s">
        <v>619</v>
      </c>
      <c r="G313" s="14" t="s">
        <v>46</v>
      </c>
      <c r="H313" s="14" t="s">
        <v>40</v>
      </c>
      <c r="I313" s="14" t="s">
        <v>272</v>
      </c>
      <c r="J313" s="97">
        <f t="shared" si="64"/>
        <v>45624</v>
      </c>
      <c r="K313" s="4">
        <v>45637</v>
      </c>
      <c r="L313" s="19">
        <f t="shared" si="65"/>
        <v>-13</v>
      </c>
      <c r="M313" s="5">
        <f t="shared" si="66"/>
        <v>45635</v>
      </c>
      <c r="O313" s="19" t="str">
        <f t="shared" si="67"/>
        <v/>
      </c>
      <c r="P313" s="5">
        <f t="shared" si="68"/>
        <v>45650</v>
      </c>
      <c r="R313" s="19" t="str">
        <f t="shared" si="69"/>
        <v/>
      </c>
      <c r="S313" s="5">
        <f t="shared" si="79"/>
        <v>45655</v>
      </c>
      <c r="T313" s="4">
        <v>45666</v>
      </c>
      <c r="U313" s="19">
        <f t="shared" si="70"/>
        <v>-11</v>
      </c>
      <c r="V313" s="5">
        <f t="shared" si="71"/>
        <v>45694</v>
      </c>
      <c r="W313" s="4">
        <v>45695</v>
      </c>
      <c r="X313" s="19">
        <f t="shared" si="72"/>
        <v>-1</v>
      </c>
      <c r="Y313" s="51">
        <f t="shared" si="73"/>
        <v>45719</v>
      </c>
      <c r="Z313" s="4">
        <v>45720</v>
      </c>
      <c r="AA313" s="49">
        <f t="shared" si="74"/>
        <v>-1</v>
      </c>
      <c r="AB313" s="51">
        <f t="shared" si="75"/>
        <v>45724</v>
      </c>
      <c r="AC313" s="49">
        <f t="shared" si="76"/>
        <v>4</v>
      </c>
      <c r="AD313" s="43">
        <f t="shared" si="77"/>
        <v>45724</v>
      </c>
      <c r="AE313" s="4">
        <v>45720</v>
      </c>
      <c r="AF313" s="19">
        <f t="shared" si="78"/>
        <v>4</v>
      </c>
      <c r="AG313" s="67"/>
      <c r="AH313" s="2"/>
      <c r="AI313" s="2"/>
      <c r="AJ313" s="2"/>
      <c r="AK313" s="2"/>
      <c r="AL313" s="2"/>
    </row>
    <row r="314" spans="1:38" ht="14.45">
      <c r="A314" s="156">
        <v>313</v>
      </c>
      <c r="B314" s="55">
        <v>45724</v>
      </c>
      <c r="C314" s="80"/>
      <c r="D314" s="14" t="s">
        <v>620</v>
      </c>
      <c r="E314" s="15">
        <v>5069.1899999999996</v>
      </c>
      <c r="F314" s="14" t="s">
        <v>621</v>
      </c>
      <c r="G314" s="10" t="s">
        <v>120</v>
      </c>
      <c r="H314" s="14" t="s">
        <v>40</v>
      </c>
      <c r="I314" s="14" t="s">
        <v>93</v>
      </c>
      <c r="J314" s="97">
        <f t="shared" si="64"/>
        <v>45624</v>
      </c>
      <c r="L314" s="19" t="str">
        <f t="shared" si="65"/>
        <v/>
      </c>
      <c r="M314" s="5">
        <f t="shared" si="66"/>
        <v>45635</v>
      </c>
      <c r="O314" s="19" t="str">
        <f t="shared" si="67"/>
        <v/>
      </c>
      <c r="P314" s="5">
        <f t="shared" si="68"/>
        <v>45650</v>
      </c>
      <c r="R314" s="19" t="str">
        <f t="shared" si="69"/>
        <v/>
      </c>
      <c r="S314" s="5">
        <f t="shared" si="79"/>
        <v>45655</v>
      </c>
      <c r="T314" s="4">
        <v>45665</v>
      </c>
      <c r="U314" s="19">
        <f t="shared" si="70"/>
        <v>-10</v>
      </c>
      <c r="V314" s="5">
        <f t="shared" si="71"/>
        <v>45694</v>
      </c>
      <c r="W314" s="4">
        <v>45693</v>
      </c>
      <c r="X314" s="19">
        <f t="shared" si="72"/>
        <v>1</v>
      </c>
      <c r="Y314" s="51">
        <f t="shared" si="73"/>
        <v>45719</v>
      </c>
      <c r="Z314" s="4">
        <v>45734</v>
      </c>
      <c r="AA314" s="49">
        <f t="shared" si="74"/>
        <v>-15</v>
      </c>
      <c r="AB314" s="51">
        <f t="shared" si="75"/>
        <v>45724</v>
      </c>
      <c r="AC314" s="49">
        <f t="shared" si="76"/>
        <v>-10</v>
      </c>
      <c r="AD314" s="43">
        <f t="shared" si="77"/>
        <v>45724</v>
      </c>
      <c r="AE314" s="4">
        <v>45734</v>
      </c>
      <c r="AF314" s="19">
        <f t="shared" si="78"/>
        <v>-10</v>
      </c>
      <c r="AG314" s="67"/>
      <c r="AH314" s="2"/>
      <c r="AI314" s="2"/>
      <c r="AJ314" s="2"/>
      <c r="AK314" s="2"/>
      <c r="AL314" s="2"/>
    </row>
    <row r="315" spans="1:38" ht="14.45">
      <c r="A315" s="156">
        <v>314</v>
      </c>
      <c r="B315" s="55">
        <v>45724</v>
      </c>
      <c r="C315" s="77" t="s">
        <v>622</v>
      </c>
      <c r="D315" s="14" t="s">
        <v>350</v>
      </c>
      <c r="E315" s="15">
        <v>11009.76</v>
      </c>
      <c r="F315" s="14" t="s">
        <v>623</v>
      </c>
      <c r="G315" s="14" t="s">
        <v>46</v>
      </c>
      <c r="H315" s="14" t="s">
        <v>40</v>
      </c>
      <c r="I315" s="14" t="s">
        <v>272</v>
      </c>
      <c r="J315" s="97">
        <f t="shared" si="64"/>
        <v>45624</v>
      </c>
      <c r="K315" s="4">
        <v>45637</v>
      </c>
      <c r="L315" s="19">
        <f t="shared" si="65"/>
        <v>-13</v>
      </c>
      <c r="M315" s="5">
        <f t="shared" si="66"/>
        <v>45635</v>
      </c>
      <c r="O315" s="19" t="str">
        <f t="shared" si="67"/>
        <v/>
      </c>
      <c r="P315" s="5">
        <f t="shared" si="68"/>
        <v>45650</v>
      </c>
      <c r="R315" s="19" t="str">
        <f t="shared" si="69"/>
        <v/>
      </c>
      <c r="S315" s="5">
        <f t="shared" si="79"/>
        <v>45655</v>
      </c>
      <c r="T315" s="4">
        <v>45666</v>
      </c>
      <c r="U315" s="19">
        <f t="shared" si="70"/>
        <v>-11</v>
      </c>
      <c r="V315" s="5">
        <f t="shared" si="71"/>
        <v>45694</v>
      </c>
      <c r="W315" s="4">
        <v>45695</v>
      </c>
      <c r="X315" s="19">
        <f t="shared" si="72"/>
        <v>-1</v>
      </c>
      <c r="Y315" s="51">
        <f t="shared" si="73"/>
        <v>45719</v>
      </c>
      <c r="Z315" s="4">
        <v>45720</v>
      </c>
      <c r="AA315" s="49">
        <f t="shared" si="74"/>
        <v>-1</v>
      </c>
      <c r="AB315" s="51">
        <f t="shared" si="75"/>
        <v>45724</v>
      </c>
      <c r="AC315" s="49">
        <f t="shared" si="76"/>
        <v>4</v>
      </c>
      <c r="AD315" s="43">
        <f t="shared" si="77"/>
        <v>45724</v>
      </c>
      <c r="AE315" s="4">
        <v>45720</v>
      </c>
      <c r="AF315" s="19">
        <f t="shared" si="78"/>
        <v>4</v>
      </c>
      <c r="AG315" s="67"/>
      <c r="AH315" s="2"/>
      <c r="AI315" s="2"/>
      <c r="AJ315" s="2"/>
      <c r="AK315" s="2"/>
      <c r="AL315" s="2"/>
    </row>
    <row r="316" spans="1:38" ht="14.45">
      <c r="A316" s="156">
        <v>315</v>
      </c>
      <c r="B316" s="55">
        <v>45725</v>
      </c>
      <c r="C316" s="76" t="s">
        <v>624</v>
      </c>
      <c r="D316" s="14" t="s">
        <v>625</v>
      </c>
      <c r="E316" s="15">
        <v>2749.03</v>
      </c>
      <c r="F316" s="14" t="s">
        <v>626</v>
      </c>
      <c r="G316" s="14" t="s">
        <v>46</v>
      </c>
      <c r="H316" s="14" t="s">
        <v>40</v>
      </c>
      <c r="I316" s="14" t="s">
        <v>229</v>
      </c>
      <c r="J316" s="97">
        <f t="shared" si="64"/>
        <v>45625</v>
      </c>
      <c r="K316" s="4">
        <v>45637</v>
      </c>
      <c r="L316" s="19">
        <f t="shared" si="65"/>
        <v>-12</v>
      </c>
      <c r="M316" s="5">
        <f t="shared" si="66"/>
        <v>45636</v>
      </c>
      <c r="O316" s="19" t="str">
        <f t="shared" si="67"/>
        <v/>
      </c>
      <c r="P316" s="5">
        <f t="shared" si="68"/>
        <v>45651</v>
      </c>
      <c r="R316" s="19" t="str">
        <f t="shared" si="69"/>
        <v/>
      </c>
      <c r="S316" s="5">
        <f t="shared" si="79"/>
        <v>45656</v>
      </c>
      <c r="T316" s="4">
        <v>45674</v>
      </c>
      <c r="U316" s="19">
        <f t="shared" si="70"/>
        <v>-18</v>
      </c>
      <c r="V316" s="5">
        <f t="shared" si="71"/>
        <v>45695</v>
      </c>
      <c r="W316" s="4">
        <v>45698</v>
      </c>
      <c r="X316" s="19">
        <f t="shared" si="72"/>
        <v>-3</v>
      </c>
      <c r="Y316" s="51">
        <f t="shared" si="73"/>
        <v>45720</v>
      </c>
      <c r="Z316" s="4">
        <v>45723</v>
      </c>
      <c r="AA316" s="49">
        <f t="shared" si="74"/>
        <v>-3</v>
      </c>
      <c r="AB316" s="51">
        <f t="shared" si="75"/>
        <v>45725</v>
      </c>
      <c r="AC316" s="49">
        <f t="shared" si="76"/>
        <v>2</v>
      </c>
      <c r="AD316" s="43">
        <f t="shared" si="77"/>
        <v>45725</v>
      </c>
      <c r="AE316" s="4">
        <v>45723</v>
      </c>
      <c r="AF316" s="19">
        <f t="shared" si="78"/>
        <v>2</v>
      </c>
      <c r="AG316" s="67"/>
      <c r="AH316" s="2"/>
      <c r="AI316" s="2"/>
      <c r="AJ316" s="2"/>
      <c r="AK316" s="2"/>
      <c r="AL316" s="2"/>
    </row>
    <row r="317" spans="1:38" ht="14.45">
      <c r="A317" s="156">
        <v>316</v>
      </c>
      <c r="B317" s="55">
        <v>45725</v>
      </c>
      <c r="C317" s="80"/>
      <c r="D317" s="14" t="s">
        <v>627</v>
      </c>
      <c r="E317" s="15">
        <v>2966.59</v>
      </c>
      <c r="F317" s="14" t="s">
        <v>628</v>
      </c>
      <c r="G317" s="10" t="s">
        <v>120</v>
      </c>
      <c r="H317" s="14" t="s">
        <v>40</v>
      </c>
      <c r="I317" s="14" t="s">
        <v>93</v>
      </c>
      <c r="J317" s="97">
        <f t="shared" si="64"/>
        <v>45625</v>
      </c>
      <c r="L317" s="19" t="str">
        <f t="shared" si="65"/>
        <v/>
      </c>
      <c r="M317" s="5">
        <f t="shared" si="66"/>
        <v>45636</v>
      </c>
      <c r="O317" s="19" t="str">
        <f t="shared" si="67"/>
        <v/>
      </c>
      <c r="P317" s="5">
        <f t="shared" si="68"/>
        <v>45651</v>
      </c>
      <c r="R317" s="19" t="str">
        <f t="shared" si="69"/>
        <v/>
      </c>
      <c r="S317" s="5">
        <f t="shared" si="79"/>
        <v>45656</v>
      </c>
      <c r="T317" s="4">
        <v>45665</v>
      </c>
      <c r="U317" s="19">
        <f t="shared" si="70"/>
        <v>-9</v>
      </c>
      <c r="V317" s="5">
        <f t="shared" si="71"/>
        <v>45695</v>
      </c>
      <c r="W317" s="4">
        <v>45694</v>
      </c>
      <c r="X317" s="19">
        <f t="shared" si="72"/>
        <v>1</v>
      </c>
      <c r="Y317" s="51">
        <f t="shared" si="73"/>
        <v>45720</v>
      </c>
      <c r="Z317" s="4">
        <v>45719</v>
      </c>
      <c r="AA317" s="49">
        <f t="shared" si="74"/>
        <v>1</v>
      </c>
      <c r="AB317" s="51">
        <f t="shared" si="75"/>
        <v>45725</v>
      </c>
      <c r="AC317" s="49">
        <f t="shared" si="76"/>
        <v>6</v>
      </c>
      <c r="AD317" s="43">
        <f t="shared" si="77"/>
        <v>45725</v>
      </c>
      <c r="AE317" s="4">
        <v>45719</v>
      </c>
      <c r="AF317" s="19">
        <f t="shared" si="78"/>
        <v>6</v>
      </c>
      <c r="AG317" s="67"/>
      <c r="AH317" s="2"/>
      <c r="AI317" s="2"/>
      <c r="AJ317" s="2"/>
      <c r="AK317" s="2"/>
      <c r="AL317" s="2"/>
    </row>
    <row r="318" spans="1:38" ht="14.45">
      <c r="A318" s="156">
        <v>317</v>
      </c>
      <c r="B318" s="55">
        <v>45725</v>
      </c>
      <c r="C318" s="33"/>
      <c r="D318" s="14" t="s">
        <v>629</v>
      </c>
      <c r="E318" s="15">
        <v>1407.13</v>
      </c>
      <c r="F318" s="14" t="s">
        <v>630</v>
      </c>
      <c r="G318" s="14" t="s">
        <v>46</v>
      </c>
      <c r="H318" s="14" t="s">
        <v>40</v>
      </c>
      <c r="I318" s="14" t="s">
        <v>235</v>
      </c>
      <c r="J318" s="97">
        <f t="shared" si="64"/>
        <v>45625</v>
      </c>
      <c r="K318" s="95">
        <v>45664</v>
      </c>
      <c r="L318" s="19">
        <f t="shared" si="65"/>
        <v>-39</v>
      </c>
      <c r="M318" s="5">
        <f t="shared" si="66"/>
        <v>45636</v>
      </c>
      <c r="N318" s="4">
        <v>45673</v>
      </c>
      <c r="O318" s="19">
        <f t="shared" si="67"/>
        <v>-37</v>
      </c>
      <c r="P318" s="5">
        <f t="shared" si="68"/>
        <v>45651</v>
      </c>
      <c r="Q318" s="4">
        <v>45678</v>
      </c>
      <c r="R318" s="19">
        <f t="shared" si="69"/>
        <v>-27</v>
      </c>
      <c r="S318" s="5">
        <f t="shared" si="79"/>
        <v>45656</v>
      </c>
      <c r="T318" s="95">
        <v>45678</v>
      </c>
      <c r="U318" s="19">
        <f t="shared" si="70"/>
        <v>-22</v>
      </c>
      <c r="V318" s="5">
        <f t="shared" si="71"/>
        <v>45695</v>
      </c>
      <c r="W318" s="4">
        <v>45714</v>
      </c>
      <c r="X318" s="19">
        <f t="shared" si="72"/>
        <v>-19</v>
      </c>
      <c r="Y318" s="51">
        <f t="shared" si="73"/>
        <v>45720</v>
      </c>
      <c r="Z318" s="4">
        <v>45721</v>
      </c>
      <c r="AA318" s="49">
        <f t="shared" si="74"/>
        <v>-1</v>
      </c>
      <c r="AB318" s="51">
        <f t="shared" si="75"/>
        <v>45725</v>
      </c>
      <c r="AC318" s="49">
        <f t="shared" si="76"/>
        <v>4</v>
      </c>
      <c r="AD318" s="43">
        <f t="shared" si="77"/>
        <v>45725</v>
      </c>
      <c r="AE318" s="4">
        <v>45721</v>
      </c>
      <c r="AF318" s="19">
        <f t="shared" si="78"/>
        <v>4</v>
      </c>
      <c r="AG318" s="67"/>
      <c r="AH318" s="2"/>
      <c r="AI318" s="2"/>
      <c r="AJ318" s="2"/>
      <c r="AK318" s="2"/>
      <c r="AL318" s="2"/>
    </row>
    <row r="319" spans="1:38" ht="14.45">
      <c r="A319" s="156">
        <v>318</v>
      </c>
      <c r="B319" s="55">
        <v>45727</v>
      </c>
      <c r="C319" s="33"/>
      <c r="D319" s="14" t="s">
        <v>631</v>
      </c>
      <c r="E319" s="15">
        <v>5070.1400000000003</v>
      </c>
      <c r="F319" s="14" t="s">
        <v>632</v>
      </c>
      <c r="G319" s="10" t="s">
        <v>120</v>
      </c>
      <c r="H319" s="14" t="s">
        <v>40</v>
      </c>
      <c r="I319" s="14" t="s">
        <v>37</v>
      </c>
      <c r="J319" s="97">
        <f t="shared" si="64"/>
        <v>45627</v>
      </c>
      <c r="K319" s="95">
        <v>45664</v>
      </c>
      <c r="L319" s="19">
        <f t="shared" si="65"/>
        <v>-37</v>
      </c>
      <c r="M319" s="5">
        <f t="shared" si="66"/>
        <v>45638</v>
      </c>
      <c r="N319" s="4">
        <v>45706</v>
      </c>
      <c r="O319" s="19">
        <f t="shared" si="67"/>
        <v>-68</v>
      </c>
      <c r="P319" s="5">
        <f t="shared" si="68"/>
        <v>45653</v>
      </c>
      <c r="Q319" s="4">
        <v>45712</v>
      </c>
      <c r="R319" s="19">
        <f t="shared" si="69"/>
        <v>-59</v>
      </c>
      <c r="S319" s="5">
        <f t="shared" si="79"/>
        <v>45658</v>
      </c>
      <c r="T319" s="95">
        <v>45664</v>
      </c>
      <c r="U319" s="19">
        <f t="shared" si="70"/>
        <v>-6</v>
      </c>
      <c r="V319" s="5">
        <f t="shared" si="71"/>
        <v>45697</v>
      </c>
      <c r="W319" s="4">
        <v>45716</v>
      </c>
      <c r="X319" s="19">
        <f t="shared" si="72"/>
        <v>-19</v>
      </c>
      <c r="Y319" s="51">
        <f t="shared" si="73"/>
        <v>45722</v>
      </c>
      <c r="Z319" s="4">
        <v>45726</v>
      </c>
      <c r="AA319" s="49">
        <f t="shared" si="74"/>
        <v>-4</v>
      </c>
      <c r="AB319" s="51">
        <f t="shared" si="75"/>
        <v>45727</v>
      </c>
      <c r="AC319" s="49">
        <f t="shared" si="76"/>
        <v>1</v>
      </c>
      <c r="AD319" s="43">
        <f t="shared" si="77"/>
        <v>45727</v>
      </c>
      <c r="AE319" s="4">
        <v>45726</v>
      </c>
      <c r="AF319" s="19">
        <f t="shared" si="78"/>
        <v>1</v>
      </c>
      <c r="AG319" s="67"/>
      <c r="AH319" s="2"/>
      <c r="AI319" s="2"/>
      <c r="AJ319" s="2"/>
      <c r="AK319" s="2"/>
      <c r="AL319" s="2"/>
    </row>
    <row r="320" spans="1:38" ht="14.45">
      <c r="A320" s="156">
        <v>319</v>
      </c>
      <c r="B320" s="55">
        <v>45727</v>
      </c>
      <c r="C320" s="86">
        <v>111625941</v>
      </c>
      <c r="D320" s="14" t="s">
        <v>633</v>
      </c>
      <c r="E320" s="15">
        <v>30296.560000000001</v>
      </c>
      <c r="F320" s="14" t="s">
        <v>37</v>
      </c>
      <c r="G320" s="14" t="s">
        <v>35</v>
      </c>
      <c r="H320" s="14" t="s">
        <v>36</v>
      </c>
      <c r="I320" s="14" t="s">
        <v>37</v>
      </c>
      <c r="J320" s="97">
        <f t="shared" si="64"/>
        <v>45627</v>
      </c>
      <c r="L320" s="19" t="str">
        <f t="shared" si="65"/>
        <v/>
      </c>
      <c r="M320" s="5">
        <f t="shared" si="66"/>
        <v>45638</v>
      </c>
      <c r="O320" s="19" t="str">
        <f t="shared" si="67"/>
        <v/>
      </c>
      <c r="P320" s="5">
        <f t="shared" si="68"/>
        <v>45653</v>
      </c>
      <c r="R320" s="19" t="str">
        <f t="shared" si="69"/>
        <v/>
      </c>
      <c r="S320" s="5">
        <f t="shared" si="79"/>
        <v>45658</v>
      </c>
      <c r="U320" s="19" t="str">
        <f t="shared" si="70"/>
        <v/>
      </c>
      <c r="V320" s="5">
        <f t="shared" si="71"/>
        <v>45697</v>
      </c>
      <c r="W320" s="4">
        <v>45701</v>
      </c>
      <c r="X320" s="19">
        <f t="shared" si="72"/>
        <v>-4</v>
      </c>
      <c r="Y320" s="51">
        <f t="shared" si="73"/>
        <v>45722</v>
      </c>
      <c r="Z320" s="4">
        <v>45712</v>
      </c>
      <c r="AA320" s="49">
        <f t="shared" si="74"/>
        <v>10</v>
      </c>
      <c r="AB320" s="51">
        <f t="shared" si="75"/>
        <v>45727</v>
      </c>
      <c r="AC320" s="49">
        <f t="shared" si="76"/>
        <v>15</v>
      </c>
      <c r="AD320" s="43">
        <f t="shared" si="77"/>
        <v>45727</v>
      </c>
      <c r="AE320" s="4">
        <v>45712</v>
      </c>
      <c r="AF320" s="19">
        <f t="shared" si="78"/>
        <v>15</v>
      </c>
      <c r="AG320" s="67"/>
      <c r="AH320" s="2"/>
      <c r="AI320" s="2"/>
      <c r="AJ320" s="2"/>
      <c r="AK320" s="2"/>
      <c r="AL320" s="2"/>
    </row>
    <row r="321" spans="1:38" ht="14.45">
      <c r="A321" s="156">
        <v>320</v>
      </c>
      <c r="B321" s="55">
        <v>45727</v>
      </c>
      <c r="C321" s="80" t="s">
        <v>634</v>
      </c>
      <c r="D321" s="14" t="s">
        <v>635</v>
      </c>
      <c r="E321" s="15">
        <v>533.77</v>
      </c>
      <c r="F321" s="14" t="s">
        <v>636</v>
      </c>
      <c r="G321" s="14" t="s">
        <v>51</v>
      </c>
      <c r="H321" s="14" t="s">
        <v>40</v>
      </c>
      <c r="I321" s="14" t="s">
        <v>62</v>
      </c>
      <c r="J321" s="97">
        <f t="shared" si="64"/>
        <v>45627</v>
      </c>
      <c r="L321" s="19" t="str">
        <f t="shared" si="65"/>
        <v/>
      </c>
      <c r="M321" s="5">
        <f t="shared" si="66"/>
        <v>45638</v>
      </c>
      <c r="O321" s="19" t="str">
        <f t="shared" si="67"/>
        <v/>
      </c>
      <c r="P321" s="5">
        <f t="shared" si="68"/>
        <v>45653</v>
      </c>
      <c r="R321" s="19" t="str">
        <f t="shared" si="69"/>
        <v/>
      </c>
      <c r="S321" s="5">
        <f t="shared" si="79"/>
        <v>45658</v>
      </c>
      <c r="U321" s="19" t="str">
        <f t="shared" si="70"/>
        <v/>
      </c>
      <c r="V321" s="5">
        <f t="shared" si="71"/>
        <v>45697</v>
      </c>
      <c r="X321" s="19" t="str">
        <f t="shared" si="72"/>
        <v/>
      </c>
      <c r="Y321" s="51">
        <f t="shared" si="73"/>
        <v>45722</v>
      </c>
      <c r="AA321" s="49" t="str">
        <f t="shared" si="74"/>
        <v/>
      </c>
      <c r="AB321" s="51">
        <f t="shared" si="75"/>
        <v>45727</v>
      </c>
      <c r="AC321" s="49" t="str">
        <f t="shared" si="76"/>
        <v/>
      </c>
      <c r="AD321" s="43">
        <f t="shared" si="77"/>
        <v>45727</v>
      </c>
      <c r="AF321" s="19" t="str">
        <f t="shared" si="78"/>
        <v/>
      </c>
      <c r="AG321" s="67"/>
      <c r="AH321" s="2"/>
      <c r="AI321" s="2"/>
      <c r="AJ321" s="2"/>
      <c r="AK321" s="2"/>
      <c r="AL321" s="2"/>
    </row>
    <row r="322" spans="1:38" ht="14.45">
      <c r="A322" s="156">
        <v>321</v>
      </c>
      <c r="B322" s="55">
        <v>45728</v>
      </c>
      <c r="C322" s="86" t="s">
        <v>637</v>
      </c>
      <c r="D322" s="14" t="s">
        <v>111</v>
      </c>
      <c r="E322" s="15">
        <v>3115.63</v>
      </c>
      <c r="F322" s="14" t="s">
        <v>638</v>
      </c>
      <c r="G322" s="14" t="s">
        <v>35</v>
      </c>
      <c r="H322" s="14" t="s">
        <v>36</v>
      </c>
      <c r="I322" s="14" t="s">
        <v>41</v>
      </c>
      <c r="J322" s="97">
        <f t="shared" ref="J322:J385" si="80">B322-100</f>
        <v>45628</v>
      </c>
      <c r="L322" s="19" t="str">
        <f t="shared" ref="L322:L385" si="81">IF(OR(J322="", K322=""), "", J322-K322)</f>
        <v/>
      </c>
      <c r="M322" s="5">
        <f t="shared" ref="M322:M385" si="82">B322-89</f>
        <v>45639</v>
      </c>
      <c r="O322" s="19" t="str">
        <f t="shared" ref="O322:O385" si="83">IF(OR(M322="", N322=""), "", M322-N322)</f>
        <v/>
      </c>
      <c r="P322" s="5">
        <f t="shared" ref="P322:P385" si="84">B322-74</f>
        <v>45654</v>
      </c>
      <c r="R322" s="19" t="str">
        <f t="shared" ref="R322:R385" si="85">IF(OR(P322="", Q322=""), "", P322-Q322)</f>
        <v/>
      </c>
      <c r="S322" s="5">
        <f t="shared" si="79"/>
        <v>45659</v>
      </c>
      <c r="U322" s="19" t="str">
        <f t="shared" ref="U322:U385" si="86">IF(OR(S322="", T322=""), "", S322-T322)</f>
        <v/>
      </c>
      <c r="V322" s="5">
        <f t="shared" ref="V322:V385" si="87">B322-30</f>
        <v>45698</v>
      </c>
      <c r="W322" s="4">
        <v>45705</v>
      </c>
      <c r="X322" s="19">
        <f t="shared" ref="X322:X385" si="88">IF(OR(V322="", W322=""), "", V322-W322)</f>
        <v>-7</v>
      </c>
      <c r="Y322" s="51">
        <f t="shared" ref="Y322:Y385" si="89">B322-5</f>
        <v>45723</v>
      </c>
      <c r="Z322" s="4">
        <v>45730</v>
      </c>
      <c r="AA322" s="49">
        <f t="shared" ref="AA322:AA385" si="90">IF(OR(Y322="", Z322=""), "", Y322-Z322)</f>
        <v>-7</v>
      </c>
      <c r="AB322" s="51">
        <f t="shared" ref="AB322:AB385" si="91">IF(B322&lt;&gt;"", B322, "")</f>
        <v>45728</v>
      </c>
      <c r="AC322" s="49">
        <f t="shared" ref="AC322:AC385" si="92">IF(OR(AB322="", Z322=""), "", AB322-Z322)</f>
        <v>-2</v>
      </c>
      <c r="AD322" s="43">
        <f t="shared" ref="AD322:AD385" si="93">IF(B322&lt;&gt;"", B322, "")</f>
        <v>45728</v>
      </c>
      <c r="AE322" s="4">
        <v>45730</v>
      </c>
      <c r="AF322" s="19">
        <f t="shared" ref="AF322:AF385" si="94">IF(OR(AD322="", AE322=""), "", AD322-AE322)</f>
        <v>-2</v>
      </c>
      <c r="AG322" s="67"/>
      <c r="AH322" s="2"/>
      <c r="AI322" s="2"/>
      <c r="AJ322" s="2"/>
      <c r="AK322" s="2"/>
      <c r="AL322" s="2"/>
    </row>
    <row r="323" spans="1:38" ht="14.45">
      <c r="A323" s="156">
        <v>322</v>
      </c>
      <c r="B323" s="55">
        <v>45728</v>
      </c>
      <c r="C323" s="39" t="s">
        <v>639</v>
      </c>
      <c r="D323" s="14" t="s">
        <v>177</v>
      </c>
      <c r="E323" s="15">
        <v>64705.88</v>
      </c>
      <c r="F323" s="14" t="s">
        <v>640</v>
      </c>
      <c r="G323" s="14" t="s">
        <v>120</v>
      </c>
      <c r="H323" s="14" t="s">
        <v>40</v>
      </c>
      <c r="I323" s="14" t="s">
        <v>62</v>
      </c>
      <c r="J323" s="97">
        <f t="shared" si="80"/>
        <v>45628</v>
      </c>
      <c r="K323" s="4">
        <v>45642</v>
      </c>
      <c r="L323" s="19">
        <f t="shared" si="81"/>
        <v>-14</v>
      </c>
      <c r="M323" s="5">
        <f t="shared" si="82"/>
        <v>45639</v>
      </c>
      <c r="O323" s="19" t="str">
        <f t="shared" si="83"/>
        <v/>
      </c>
      <c r="P323" s="5">
        <f t="shared" si="84"/>
        <v>45654</v>
      </c>
      <c r="R323" s="19" t="str">
        <f t="shared" si="85"/>
        <v/>
      </c>
      <c r="S323" s="5">
        <f t="shared" si="79"/>
        <v>45659</v>
      </c>
      <c r="T323" s="4">
        <v>45644</v>
      </c>
      <c r="U323" s="19">
        <f t="shared" si="86"/>
        <v>15</v>
      </c>
      <c r="V323" s="5">
        <f t="shared" si="87"/>
        <v>45698</v>
      </c>
      <c r="W323" s="4">
        <v>45701</v>
      </c>
      <c r="X323" s="19">
        <f t="shared" si="88"/>
        <v>-3</v>
      </c>
      <c r="Y323" s="51">
        <f t="shared" si="89"/>
        <v>45723</v>
      </c>
      <c r="Z323" s="4">
        <v>45735</v>
      </c>
      <c r="AA323" s="49">
        <f t="shared" si="90"/>
        <v>-12</v>
      </c>
      <c r="AB323" s="51">
        <f t="shared" si="91"/>
        <v>45728</v>
      </c>
      <c r="AC323" s="49">
        <f t="shared" si="92"/>
        <v>-7</v>
      </c>
      <c r="AD323" s="43">
        <f t="shared" si="93"/>
        <v>45728</v>
      </c>
      <c r="AE323" s="4">
        <v>45735</v>
      </c>
      <c r="AF323" s="19">
        <f t="shared" si="94"/>
        <v>-7</v>
      </c>
      <c r="AG323" s="67"/>
      <c r="AH323" s="2"/>
      <c r="AI323" s="2"/>
      <c r="AJ323" s="2"/>
      <c r="AK323" s="2"/>
      <c r="AL323" s="2"/>
    </row>
    <row r="324" spans="1:38" ht="14.45">
      <c r="A324" s="156">
        <v>323</v>
      </c>
      <c r="B324" s="55">
        <v>45729</v>
      </c>
      <c r="C324" s="86" t="s">
        <v>641</v>
      </c>
      <c r="D324" s="14" t="s">
        <v>642</v>
      </c>
      <c r="E324" s="15">
        <v>31152.75</v>
      </c>
      <c r="F324" s="14" t="s">
        <v>643</v>
      </c>
      <c r="G324" s="14" t="s">
        <v>35</v>
      </c>
      <c r="H324" s="14" t="s">
        <v>36</v>
      </c>
      <c r="I324" s="14" t="s">
        <v>37</v>
      </c>
      <c r="J324" s="97">
        <f t="shared" si="80"/>
        <v>45629</v>
      </c>
      <c r="L324" s="19" t="str">
        <f t="shared" si="81"/>
        <v/>
      </c>
      <c r="M324" s="5">
        <f t="shared" si="82"/>
        <v>45640</v>
      </c>
      <c r="O324" s="19" t="str">
        <f t="shared" si="83"/>
        <v/>
      </c>
      <c r="P324" s="5">
        <f t="shared" si="84"/>
        <v>45655</v>
      </c>
      <c r="R324" s="19" t="str">
        <f t="shared" si="85"/>
        <v/>
      </c>
      <c r="S324" s="5">
        <f t="shared" si="79"/>
        <v>45660</v>
      </c>
      <c r="U324" s="19" t="str">
        <f t="shared" si="86"/>
        <v/>
      </c>
      <c r="V324" s="5">
        <f t="shared" si="87"/>
        <v>45699</v>
      </c>
      <c r="W324" s="4">
        <v>45716</v>
      </c>
      <c r="X324" s="19">
        <f t="shared" si="88"/>
        <v>-17</v>
      </c>
      <c r="Y324" s="51">
        <f t="shared" si="89"/>
        <v>45724</v>
      </c>
      <c r="Z324" s="4">
        <v>45727</v>
      </c>
      <c r="AA324" s="49">
        <f t="shared" si="90"/>
        <v>-3</v>
      </c>
      <c r="AB324" s="51">
        <f t="shared" si="91"/>
        <v>45729</v>
      </c>
      <c r="AC324" s="49">
        <f t="shared" si="92"/>
        <v>2</v>
      </c>
      <c r="AD324" s="43">
        <f t="shared" si="93"/>
        <v>45729</v>
      </c>
      <c r="AE324" s="4">
        <v>45727</v>
      </c>
      <c r="AF324" s="19">
        <f t="shared" si="94"/>
        <v>2</v>
      </c>
      <c r="AG324" s="67"/>
      <c r="AH324" s="2"/>
      <c r="AI324" s="2"/>
      <c r="AJ324" s="2"/>
      <c r="AK324" s="2"/>
      <c r="AL324" s="2"/>
    </row>
    <row r="325" spans="1:38" ht="14.45">
      <c r="A325" s="156">
        <v>324</v>
      </c>
      <c r="B325" s="55">
        <v>45729</v>
      </c>
      <c r="C325" s="39" t="s">
        <v>644</v>
      </c>
      <c r="D325" s="14" t="s">
        <v>38</v>
      </c>
      <c r="E325" s="15">
        <v>2427.27</v>
      </c>
      <c r="F325" s="14" t="s">
        <v>645</v>
      </c>
      <c r="G325" s="14" t="s">
        <v>190</v>
      </c>
      <c r="H325" s="14" t="s">
        <v>40</v>
      </c>
      <c r="I325" s="14" t="s">
        <v>41</v>
      </c>
      <c r="J325" s="97">
        <f t="shared" si="80"/>
        <v>45629</v>
      </c>
      <c r="L325" s="19" t="str">
        <f t="shared" si="81"/>
        <v/>
      </c>
      <c r="M325" s="5">
        <f t="shared" si="82"/>
        <v>45640</v>
      </c>
      <c r="N325" s="4">
        <v>45335</v>
      </c>
      <c r="O325" s="19">
        <f t="shared" si="83"/>
        <v>305</v>
      </c>
      <c r="P325" s="5">
        <f t="shared" si="84"/>
        <v>45655</v>
      </c>
      <c r="Q325" s="4">
        <v>45701</v>
      </c>
      <c r="R325" s="19">
        <f t="shared" si="85"/>
        <v>-46</v>
      </c>
      <c r="S325" s="5">
        <f t="shared" ref="S325:S388" si="95">B325-69</f>
        <v>45660</v>
      </c>
      <c r="T325" s="4">
        <v>45716</v>
      </c>
      <c r="U325" s="19">
        <f t="shared" si="86"/>
        <v>-56</v>
      </c>
      <c r="V325" s="5">
        <f t="shared" si="87"/>
        <v>45699</v>
      </c>
      <c r="W325" s="4">
        <v>45724</v>
      </c>
      <c r="X325" s="19">
        <f t="shared" si="88"/>
        <v>-25</v>
      </c>
      <c r="Y325" s="51">
        <f t="shared" si="89"/>
        <v>45724</v>
      </c>
      <c r="Z325" s="4">
        <v>45724</v>
      </c>
      <c r="AA325" s="49">
        <f t="shared" si="90"/>
        <v>0</v>
      </c>
      <c r="AB325" s="51">
        <f t="shared" si="91"/>
        <v>45729</v>
      </c>
      <c r="AC325" s="49">
        <f t="shared" si="92"/>
        <v>5</v>
      </c>
      <c r="AD325" s="43">
        <f t="shared" si="93"/>
        <v>45729</v>
      </c>
      <c r="AE325" s="4">
        <v>45724</v>
      </c>
      <c r="AF325" s="19">
        <f t="shared" si="94"/>
        <v>5</v>
      </c>
      <c r="AG325" s="67"/>
      <c r="AH325" s="2"/>
      <c r="AI325" s="2"/>
      <c r="AJ325" s="2"/>
      <c r="AK325" s="2"/>
      <c r="AL325" s="2"/>
    </row>
    <row r="326" spans="1:38" ht="14.45">
      <c r="A326" s="156">
        <v>325</v>
      </c>
      <c r="B326" s="55">
        <v>45729</v>
      </c>
      <c r="C326" s="40" t="s">
        <v>646</v>
      </c>
      <c r="D326" s="14" t="s">
        <v>38</v>
      </c>
      <c r="E326" s="15">
        <v>314.31</v>
      </c>
      <c r="F326" s="14" t="s">
        <v>647</v>
      </c>
      <c r="G326" s="14" t="s">
        <v>190</v>
      </c>
      <c r="H326" s="14" t="s">
        <v>40</v>
      </c>
      <c r="I326" s="14" t="s">
        <v>41</v>
      </c>
      <c r="J326" s="97">
        <f t="shared" si="80"/>
        <v>45629</v>
      </c>
      <c r="L326" s="19" t="str">
        <f t="shared" si="81"/>
        <v/>
      </c>
      <c r="M326" s="5">
        <f t="shared" si="82"/>
        <v>45640</v>
      </c>
      <c r="N326" s="4">
        <v>45335</v>
      </c>
      <c r="O326" s="19">
        <f t="shared" si="83"/>
        <v>305</v>
      </c>
      <c r="P326" s="5">
        <f t="shared" si="84"/>
        <v>45655</v>
      </c>
      <c r="Q326" s="4">
        <v>45701</v>
      </c>
      <c r="R326" s="19">
        <f t="shared" si="85"/>
        <v>-46</v>
      </c>
      <c r="S326" s="5">
        <f t="shared" si="95"/>
        <v>45660</v>
      </c>
      <c r="T326" s="4">
        <v>45716</v>
      </c>
      <c r="U326" s="19">
        <f t="shared" si="86"/>
        <v>-56</v>
      </c>
      <c r="V326" s="5">
        <f t="shared" si="87"/>
        <v>45699</v>
      </c>
      <c r="W326" s="4">
        <v>45724</v>
      </c>
      <c r="X326" s="19">
        <f t="shared" si="88"/>
        <v>-25</v>
      </c>
      <c r="Y326" s="51">
        <f t="shared" si="89"/>
        <v>45724</v>
      </c>
      <c r="Z326" s="4">
        <v>45724</v>
      </c>
      <c r="AA326" s="49">
        <f t="shared" si="90"/>
        <v>0</v>
      </c>
      <c r="AB326" s="51">
        <f t="shared" si="91"/>
        <v>45729</v>
      </c>
      <c r="AC326" s="49">
        <f t="shared" si="92"/>
        <v>5</v>
      </c>
      <c r="AD326" s="43">
        <f t="shared" si="93"/>
        <v>45729</v>
      </c>
      <c r="AE326" s="4">
        <v>45724</v>
      </c>
      <c r="AF326" s="19">
        <f t="shared" si="94"/>
        <v>5</v>
      </c>
      <c r="AG326" s="67"/>
      <c r="AH326" s="2"/>
      <c r="AI326" s="2"/>
      <c r="AJ326" s="2"/>
      <c r="AK326" s="2"/>
      <c r="AL326" s="2"/>
    </row>
    <row r="327" spans="1:38" ht="14.45">
      <c r="A327" s="156">
        <v>326</v>
      </c>
      <c r="B327" s="55">
        <v>45730</v>
      </c>
      <c r="C327" s="80"/>
      <c r="D327" s="14" t="s">
        <v>90</v>
      </c>
      <c r="E327" s="15">
        <v>18884.310000000001</v>
      </c>
      <c r="F327" s="14" t="s">
        <v>648</v>
      </c>
      <c r="G327" s="10" t="s">
        <v>120</v>
      </c>
      <c r="H327" s="14" t="s">
        <v>40</v>
      </c>
      <c r="I327" s="14" t="s">
        <v>93</v>
      </c>
      <c r="J327" s="97">
        <f t="shared" si="80"/>
        <v>45630</v>
      </c>
      <c r="K327" s="95">
        <v>45660</v>
      </c>
      <c r="L327" s="19">
        <f t="shared" si="81"/>
        <v>-30</v>
      </c>
      <c r="M327" s="5">
        <f t="shared" si="82"/>
        <v>45641</v>
      </c>
      <c r="O327" s="19" t="str">
        <f t="shared" si="83"/>
        <v/>
      </c>
      <c r="P327" s="5">
        <f t="shared" si="84"/>
        <v>45656</v>
      </c>
      <c r="R327" s="19" t="str">
        <f t="shared" si="85"/>
        <v/>
      </c>
      <c r="S327" s="5">
        <f t="shared" si="95"/>
        <v>45661</v>
      </c>
      <c r="T327" s="95">
        <v>45664</v>
      </c>
      <c r="U327" s="19">
        <f t="shared" si="86"/>
        <v>-3</v>
      </c>
      <c r="V327" s="5">
        <f t="shared" si="87"/>
        <v>45700</v>
      </c>
      <c r="W327" s="4">
        <v>45714</v>
      </c>
      <c r="X327" s="19">
        <f t="shared" si="88"/>
        <v>-14</v>
      </c>
      <c r="Y327" s="51">
        <f t="shared" si="89"/>
        <v>45725</v>
      </c>
      <c r="Z327" s="4">
        <v>45768</v>
      </c>
      <c r="AA327" s="49">
        <f t="shared" si="90"/>
        <v>-43</v>
      </c>
      <c r="AB327" s="51">
        <f t="shared" si="91"/>
        <v>45730</v>
      </c>
      <c r="AC327" s="49">
        <f t="shared" si="92"/>
        <v>-38</v>
      </c>
      <c r="AD327" s="43">
        <f t="shared" si="93"/>
        <v>45730</v>
      </c>
      <c r="AE327" s="4">
        <v>45768</v>
      </c>
      <c r="AF327" s="19">
        <f t="shared" si="94"/>
        <v>-38</v>
      </c>
      <c r="AG327" s="67"/>
      <c r="AH327" s="2"/>
      <c r="AI327" s="2"/>
      <c r="AJ327" s="2"/>
      <c r="AK327" s="2"/>
      <c r="AL327" s="2"/>
    </row>
    <row r="328" spans="1:38" ht="14.45">
      <c r="A328" s="156">
        <v>327</v>
      </c>
      <c r="B328" s="55">
        <v>45731</v>
      </c>
      <c r="C328" s="80"/>
      <c r="D328" s="14" t="s">
        <v>347</v>
      </c>
      <c r="E328" s="15">
        <v>13797</v>
      </c>
      <c r="F328" s="14" t="s">
        <v>649</v>
      </c>
      <c r="G328" s="14" t="s">
        <v>35</v>
      </c>
      <c r="H328" s="14" t="s">
        <v>36</v>
      </c>
      <c r="I328" s="14" t="s">
        <v>47</v>
      </c>
      <c r="J328" s="97">
        <f t="shared" si="80"/>
        <v>45631</v>
      </c>
      <c r="L328" s="19" t="str">
        <f t="shared" si="81"/>
        <v/>
      </c>
      <c r="M328" s="5">
        <f t="shared" si="82"/>
        <v>45642</v>
      </c>
      <c r="O328" s="19" t="str">
        <f t="shared" si="83"/>
        <v/>
      </c>
      <c r="P328" s="5">
        <f t="shared" si="84"/>
        <v>45657</v>
      </c>
      <c r="R328" s="19" t="str">
        <f t="shared" si="85"/>
        <v/>
      </c>
      <c r="S328" s="5">
        <f t="shared" si="95"/>
        <v>45662</v>
      </c>
      <c r="U328" s="19" t="str">
        <f t="shared" si="86"/>
        <v/>
      </c>
      <c r="V328" s="5">
        <f t="shared" si="87"/>
        <v>45701</v>
      </c>
      <c r="X328" s="19" t="str">
        <f t="shared" si="88"/>
        <v/>
      </c>
      <c r="Y328" s="51">
        <f t="shared" si="89"/>
        <v>45726</v>
      </c>
      <c r="AA328" s="49" t="str">
        <f t="shared" si="90"/>
        <v/>
      </c>
      <c r="AB328" s="51">
        <f t="shared" si="91"/>
        <v>45731</v>
      </c>
      <c r="AC328" s="49" t="str">
        <f t="shared" si="92"/>
        <v/>
      </c>
      <c r="AD328" s="43">
        <f t="shared" si="93"/>
        <v>45731</v>
      </c>
      <c r="AF328" s="19" t="str">
        <f t="shared" si="94"/>
        <v/>
      </c>
      <c r="AG328" s="67"/>
      <c r="AH328" s="2"/>
      <c r="AI328" s="2"/>
      <c r="AJ328" s="2"/>
      <c r="AK328" s="2"/>
      <c r="AL328" s="2"/>
    </row>
    <row r="329" spans="1:38" ht="14.45">
      <c r="A329" s="156">
        <v>328</v>
      </c>
      <c r="B329" s="55">
        <v>45731</v>
      </c>
      <c r="C329" s="40" t="s">
        <v>650</v>
      </c>
      <c r="D329" s="14" t="s">
        <v>609</v>
      </c>
      <c r="E329" s="15">
        <v>25448.34</v>
      </c>
      <c r="F329" s="14" t="s">
        <v>651</v>
      </c>
      <c r="G329" s="14" t="s">
        <v>190</v>
      </c>
      <c r="H329" s="14" t="s">
        <v>40</v>
      </c>
      <c r="I329" s="14" t="s">
        <v>93</v>
      </c>
      <c r="J329" s="97">
        <f t="shared" si="80"/>
        <v>45631</v>
      </c>
      <c r="K329" s="4">
        <v>45637</v>
      </c>
      <c r="L329" s="19">
        <f t="shared" si="81"/>
        <v>-6</v>
      </c>
      <c r="M329" s="5">
        <f t="shared" si="82"/>
        <v>45642</v>
      </c>
      <c r="O329" s="19" t="str">
        <f t="shared" si="83"/>
        <v/>
      </c>
      <c r="P329" s="5">
        <f t="shared" si="84"/>
        <v>45657</v>
      </c>
      <c r="R329" s="19" t="str">
        <f t="shared" si="85"/>
        <v/>
      </c>
      <c r="S329" s="5">
        <f t="shared" si="95"/>
        <v>45662</v>
      </c>
      <c r="T329" s="4">
        <v>45666</v>
      </c>
      <c r="U329" s="19">
        <f t="shared" si="86"/>
        <v>-4</v>
      </c>
      <c r="V329" s="5">
        <f t="shared" si="87"/>
        <v>45701</v>
      </c>
      <c r="W329" s="4">
        <v>45730</v>
      </c>
      <c r="X329" s="19">
        <f t="shared" si="88"/>
        <v>-29</v>
      </c>
      <c r="Y329" s="51">
        <f t="shared" si="89"/>
        <v>45726</v>
      </c>
      <c r="Z329" s="4">
        <v>45730</v>
      </c>
      <c r="AA329" s="49">
        <f t="shared" si="90"/>
        <v>-4</v>
      </c>
      <c r="AB329" s="51">
        <f t="shared" si="91"/>
        <v>45731</v>
      </c>
      <c r="AC329" s="49">
        <f t="shared" si="92"/>
        <v>1</v>
      </c>
      <c r="AD329" s="43">
        <f t="shared" si="93"/>
        <v>45731</v>
      </c>
      <c r="AE329" s="4">
        <v>45730</v>
      </c>
      <c r="AF329" s="19">
        <f t="shared" si="94"/>
        <v>1</v>
      </c>
      <c r="AG329" s="67"/>
      <c r="AH329" s="2"/>
      <c r="AI329" s="2"/>
      <c r="AJ329" s="2"/>
      <c r="AK329" s="2"/>
      <c r="AL329" s="2"/>
    </row>
    <row r="330" spans="1:38" ht="14.45">
      <c r="A330" s="156">
        <v>329</v>
      </c>
      <c r="B330" s="55">
        <v>45731</v>
      </c>
      <c r="C330" s="86" t="s">
        <v>652</v>
      </c>
      <c r="D330" s="14" t="s">
        <v>504</v>
      </c>
      <c r="E330" s="15">
        <v>7249.61</v>
      </c>
      <c r="F330" s="14" t="s">
        <v>653</v>
      </c>
      <c r="G330" s="14" t="s">
        <v>35</v>
      </c>
      <c r="H330" s="14" t="s">
        <v>36</v>
      </c>
      <c r="I330" s="14" t="s">
        <v>62</v>
      </c>
      <c r="J330" s="97">
        <f t="shared" si="80"/>
        <v>45631</v>
      </c>
      <c r="L330" s="19" t="str">
        <f t="shared" si="81"/>
        <v/>
      </c>
      <c r="M330" s="5">
        <f t="shared" si="82"/>
        <v>45642</v>
      </c>
      <c r="O330" s="19" t="str">
        <f t="shared" si="83"/>
        <v/>
      </c>
      <c r="P330" s="5">
        <f t="shared" si="84"/>
        <v>45657</v>
      </c>
      <c r="R330" s="19" t="str">
        <f t="shared" si="85"/>
        <v/>
      </c>
      <c r="S330" s="5">
        <f t="shared" si="95"/>
        <v>45662</v>
      </c>
      <c r="U330" s="19" t="str">
        <f t="shared" si="86"/>
        <v/>
      </c>
      <c r="V330" s="5">
        <f t="shared" si="87"/>
        <v>45701</v>
      </c>
      <c r="X330" s="19" t="str">
        <f t="shared" si="88"/>
        <v/>
      </c>
      <c r="Y330" s="51">
        <f t="shared" si="89"/>
        <v>45726</v>
      </c>
      <c r="AA330" s="49" t="str">
        <f t="shared" si="90"/>
        <v/>
      </c>
      <c r="AB330" s="51">
        <f t="shared" si="91"/>
        <v>45731</v>
      </c>
      <c r="AC330" s="49" t="str">
        <f t="shared" si="92"/>
        <v/>
      </c>
      <c r="AD330" s="43">
        <f t="shared" si="93"/>
        <v>45731</v>
      </c>
      <c r="AF330" s="19" t="str">
        <f t="shared" si="94"/>
        <v/>
      </c>
      <c r="AG330" s="67"/>
      <c r="AH330" s="2"/>
      <c r="AI330" s="2"/>
      <c r="AJ330" s="2"/>
      <c r="AK330" s="2"/>
      <c r="AL330" s="2"/>
    </row>
    <row r="331" spans="1:38" ht="14.45">
      <c r="A331" s="156">
        <v>330</v>
      </c>
      <c r="B331" s="55">
        <v>45733</v>
      </c>
      <c r="C331" s="39" t="s">
        <v>654</v>
      </c>
      <c r="D331" s="14" t="s">
        <v>38</v>
      </c>
      <c r="E331" s="15">
        <v>1338.37</v>
      </c>
      <c r="F331" s="14" t="s">
        <v>655</v>
      </c>
      <c r="G331" s="14" t="s">
        <v>190</v>
      </c>
      <c r="H331" s="14" t="s">
        <v>40</v>
      </c>
      <c r="I331" s="14" t="s">
        <v>41</v>
      </c>
      <c r="J331" s="97">
        <f t="shared" si="80"/>
        <v>45633</v>
      </c>
      <c r="L331" s="19" t="str">
        <f t="shared" si="81"/>
        <v/>
      </c>
      <c r="M331" s="5">
        <f t="shared" si="82"/>
        <v>45644</v>
      </c>
      <c r="N331" s="4">
        <v>45335</v>
      </c>
      <c r="O331" s="19">
        <f t="shared" si="83"/>
        <v>309</v>
      </c>
      <c r="P331" s="5">
        <f t="shared" si="84"/>
        <v>45659</v>
      </c>
      <c r="Q331" s="4">
        <v>45701</v>
      </c>
      <c r="R331" s="19">
        <f t="shared" si="85"/>
        <v>-42</v>
      </c>
      <c r="S331" s="5">
        <f t="shared" si="95"/>
        <v>45664</v>
      </c>
      <c r="T331" s="4">
        <v>45716</v>
      </c>
      <c r="U331" s="19">
        <f t="shared" si="86"/>
        <v>-52</v>
      </c>
      <c r="V331" s="5">
        <f t="shared" si="87"/>
        <v>45703</v>
      </c>
      <c r="W331" s="4">
        <v>45724</v>
      </c>
      <c r="X331" s="19">
        <f t="shared" si="88"/>
        <v>-21</v>
      </c>
      <c r="Y331" s="51">
        <f t="shared" si="89"/>
        <v>45728</v>
      </c>
      <c r="Z331" s="4">
        <v>45724</v>
      </c>
      <c r="AA331" s="49">
        <f t="shared" si="90"/>
        <v>4</v>
      </c>
      <c r="AB331" s="51">
        <f t="shared" si="91"/>
        <v>45733</v>
      </c>
      <c r="AC331" s="49">
        <f t="shared" si="92"/>
        <v>9</v>
      </c>
      <c r="AD331" s="43">
        <f t="shared" si="93"/>
        <v>45733</v>
      </c>
      <c r="AE331" s="4">
        <v>45724</v>
      </c>
      <c r="AF331" s="19">
        <f t="shared" si="94"/>
        <v>9</v>
      </c>
      <c r="AG331" s="67"/>
      <c r="AH331" s="2"/>
      <c r="AI331" s="2"/>
      <c r="AJ331" s="2"/>
      <c r="AK331" s="2"/>
      <c r="AL331" s="2"/>
    </row>
    <row r="332" spans="1:38" ht="14.45">
      <c r="A332" s="156">
        <v>331</v>
      </c>
      <c r="B332" s="55">
        <v>45734</v>
      </c>
      <c r="C332" s="40" t="s">
        <v>656</v>
      </c>
      <c r="D332" s="14" t="s">
        <v>38</v>
      </c>
      <c r="E332" s="15">
        <v>186.51</v>
      </c>
      <c r="F332" s="14" t="s">
        <v>657</v>
      </c>
      <c r="G332" s="14" t="s">
        <v>190</v>
      </c>
      <c r="H332" s="14" t="s">
        <v>40</v>
      </c>
      <c r="I332" s="14" t="s">
        <v>41</v>
      </c>
      <c r="J332" s="97">
        <f t="shared" si="80"/>
        <v>45634</v>
      </c>
      <c r="L332" s="19" t="str">
        <f t="shared" si="81"/>
        <v/>
      </c>
      <c r="M332" s="5">
        <f t="shared" si="82"/>
        <v>45645</v>
      </c>
      <c r="N332" s="4">
        <v>45335</v>
      </c>
      <c r="O332" s="19">
        <f t="shared" si="83"/>
        <v>310</v>
      </c>
      <c r="P332" s="5">
        <f t="shared" si="84"/>
        <v>45660</v>
      </c>
      <c r="Q332" s="4">
        <v>45701</v>
      </c>
      <c r="R332" s="19">
        <f t="shared" si="85"/>
        <v>-41</v>
      </c>
      <c r="S332" s="5">
        <f t="shared" si="95"/>
        <v>45665</v>
      </c>
      <c r="T332" s="4">
        <v>45716</v>
      </c>
      <c r="U332" s="19">
        <f t="shared" si="86"/>
        <v>-51</v>
      </c>
      <c r="V332" s="5">
        <f t="shared" si="87"/>
        <v>45704</v>
      </c>
      <c r="W332" s="4">
        <v>45728</v>
      </c>
      <c r="X332" s="19">
        <f t="shared" si="88"/>
        <v>-24</v>
      </c>
      <c r="Y332" s="51">
        <f t="shared" si="89"/>
        <v>45729</v>
      </c>
      <c r="Z332" s="4">
        <v>45728</v>
      </c>
      <c r="AA332" s="49">
        <f t="shared" si="90"/>
        <v>1</v>
      </c>
      <c r="AB332" s="51">
        <f t="shared" si="91"/>
        <v>45734</v>
      </c>
      <c r="AC332" s="49">
        <f t="shared" si="92"/>
        <v>6</v>
      </c>
      <c r="AD332" s="43">
        <f t="shared" si="93"/>
        <v>45734</v>
      </c>
      <c r="AE332" s="4">
        <v>45728</v>
      </c>
      <c r="AF332" s="19">
        <f t="shared" si="94"/>
        <v>6</v>
      </c>
      <c r="AG332" s="67"/>
      <c r="AH332" s="2"/>
      <c r="AI332" s="2"/>
      <c r="AJ332" s="2"/>
      <c r="AK332" s="2"/>
      <c r="AL332" s="2"/>
    </row>
    <row r="333" spans="1:38" ht="14.45">
      <c r="A333" s="156">
        <v>332</v>
      </c>
      <c r="B333" s="55">
        <v>45735</v>
      </c>
      <c r="C333" s="83">
        <v>111583389</v>
      </c>
      <c r="D333" s="14" t="s">
        <v>658</v>
      </c>
      <c r="E333" s="15">
        <v>52042.15</v>
      </c>
      <c r="F333" s="14" t="s">
        <v>659</v>
      </c>
      <c r="G333" s="14" t="s">
        <v>35</v>
      </c>
      <c r="H333" s="14" t="s">
        <v>36</v>
      </c>
      <c r="I333" s="14" t="s">
        <v>37</v>
      </c>
      <c r="J333" s="97">
        <f t="shared" si="80"/>
        <v>45635</v>
      </c>
      <c r="L333" s="19" t="str">
        <f t="shared" si="81"/>
        <v/>
      </c>
      <c r="M333" s="5">
        <f t="shared" si="82"/>
        <v>45646</v>
      </c>
      <c r="O333" s="19" t="str">
        <f t="shared" si="83"/>
        <v/>
      </c>
      <c r="P333" s="5">
        <f t="shared" si="84"/>
        <v>45661</v>
      </c>
      <c r="R333" s="19" t="str">
        <f t="shared" si="85"/>
        <v/>
      </c>
      <c r="S333" s="5">
        <f t="shared" si="95"/>
        <v>45666</v>
      </c>
      <c r="T333" s="4">
        <v>45667</v>
      </c>
      <c r="U333" s="19">
        <f t="shared" si="86"/>
        <v>-1</v>
      </c>
      <c r="V333" s="5">
        <f t="shared" si="87"/>
        <v>45705</v>
      </c>
      <c r="W333" s="4">
        <v>45693</v>
      </c>
      <c r="X333" s="19">
        <f t="shared" si="88"/>
        <v>12</v>
      </c>
      <c r="Y333" s="51">
        <f t="shared" si="89"/>
        <v>45730</v>
      </c>
      <c r="Z333" s="4">
        <v>45723</v>
      </c>
      <c r="AA333" s="49">
        <f t="shared" si="90"/>
        <v>7</v>
      </c>
      <c r="AB333" s="51">
        <f t="shared" si="91"/>
        <v>45735</v>
      </c>
      <c r="AC333" s="49">
        <f t="shared" si="92"/>
        <v>12</v>
      </c>
      <c r="AD333" s="43">
        <f t="shared" si="93"/>
        <v>45735</v>
      </c>
      <c r="AE333" s="4">
        <v>45723</v>
      </c>
      <c r="AF333" s="19">
        <f t="shared" si="94"/>
        <v>12</v>
      </c>
      <c r="AG333" s="67"/>
      <c r="AH333" s="2"/>
      <c r="AI333" s="2"/>
      <c r="AJ333" s="2"/>
      <c r="AK333" s="2"/>
      <c r="AL333" s="2"/>
    </row>
    <row r="334" spans="1:38" ht="14.45">
      <c r="A334" s="156">
        <v>333</v>
      </c>
      <c r="B334" s="55">
        <v>45735</v>
      </c>
      <c r="C334" s="83" t="s">
        <v>660</v>
      </c>
      <c r="D334" s="14" t="s">
        <v>661</v>
      </c>
      <c r="E334" s="15">
        <v>11718.99</v>
      </c>
      <c r="F334" s="14" t="s">
        <v>662</v>
      </c>
      <c r="G334" s="14" t="s">
        <v>35</v>
      </c>
      <c r="H334" s="14" t="s">
        <v>36</v>
      </c>
      <c r="I334" s="14" t="s">
        <v>37</v>
      </c>
      <c r="J334" s="97">
        <f t="shared" si="80"/>
        <v>45635</v>
      </c>
      <c r="L334" s="19" t="str">
        <f t="shared" si="81"/>
        <v/>
      </c>
      <c r="M334" s="5">
        <f t="shared" si="82"/>
        <v>45646</v>
      </c>
      <c r="O334" s="19" t="str">
        <f t="shared" si="83"/>
        <v/>
      </c>
      <c r="P334" s="5">
        <f t="shared" si="84"/>
        <v>45661</v>
      </c>
      <c r="R334" s="19" t="str">
        <f t="shared" si="85"/>
        <v/>
      </c>
      <c r="S334" s="5">
        <f t="shared" si="95"/>
        <v>45666</v>
      </c>
      <c r="T334" s="4">
        <v>45667</v>
      </c>
      <c r="U334" s="19">
        <f t="shared" si="86"/>
        <v>-1</v>
      </c>
      <c r="V334" s="5">
        <f t="shared" si="87"/>
        <v>45705</v>
      </c>
      <c r="W334" s="4">
        <v>45701</v>
      </c>
      <c r="X334" s="19">
        <f t="shared" si="88"/>
        <v>4</v>
      </c>
      <c r="Y334" s="51">
        <f t="shared" si="89"/>
        <v>45730</v>
      </c>
      <c r="Z334" s="4">
        <v>45723</v>
      </c>
      <c r="AA334" s="49">
        <f t="shared" si="90"/>
        <v>7</v>
      </c>
      <c r="AB334" s="51">
        <f t="shared" si="91"/>
        <v>45735</v>
      </c>
      <c r="AC334" s="49">
        <f t="shared" si="92"/>
        <v>12</v>
      </c>
      <c r="AD334" s="43">
        <f t="shared" si="93"/>
        <v>45735</v>
      </c>
      <c r="AE334" s="4">
        <v>45723</v>
      </c>
      <c r="AF334" s="19">
        <f t="shared" si="94"/>
        <v>12</v>
      </c>
      <c r="AG334" s="67"/>
      <c r="AH334" s="2"/>
      <c r="AI334" s="2"/>
      <c r="AJ334" s="2"/>
      <c r="AK334" s="2"/>
      <c r="AL334" s="2"/>
    </row>
    <row r="335" spans="1:38" ht="14.45">
      <c r="A335" s="156">
        <v>334</v>
      </c>
      <c r="B335" s="57">
        <v>45735</v>
      </c>
      <c r="C335" s="39"/>
      <c r="D335" s="16" t="s">
        <v>663</v>
      </c>
      <c r="E335" s="17">
        <v>517</v>
      </c>
      <c r="F335" s="16" t="s">
        <v>664</v>
      </c>
      <c r="G335" s="16" t="s">
        <v>46</v>
      </c>
      <c r="H335" s="16" t="s">
        <v>40</v>
      </c>
      <c r="I335" s="16" t="s">
        <v>229</v>
      </c>
      <c r="J335" s="98">
        <f t="shared" si="80"/>
        <v>45635</v>
      </c>
      <c r="K335" s="7">
        <v>45667</v>
      </c>
      <c r="L335" s="19">
        <f t="shared" si="81"/>
        <v>-32</v>
      </c>
      <c r="M335" s="20">
        <f t="shared" si="82"/>
        <v>45646</v>
      </c>
      <c r="N335" s="7"/>
      <c r="O335" s="19" t="str">
        <f t="shared" si="83"/>
        <v/>
      </c>
      <c r="P335" s="20">
        <f t="shared" si="84"/>
        <v>45661</v>
      </c>
      <c r="Q335" s="7"/>
      <c r="R335" s="19" t="str">
        <f t="shared" si="85"/>
        <v/>
      </c>
      <c r="S335" s="20">
        <f t="shared" si="95"/>
        <v>45666</v>
      </c>
      <c r="T335" s="7">
        <v>45674</v>
      </c>
      <c r="U335" s="19">
        <f t="shared" si="86"/>
        <v>-8</v>
      </c>
      <c r="V335" s="5">
        <f t="shared" si="87"/>
        <v>45705</v>
      </c>
      <c r="W335" s="7">
        <v>45709</v>
      </c>
      <c r="X335" s="19">
        <f t="shared" si="88"/>
        <v>-4</v>
      </c>
      <c r="Y335" s="51">
        <f t="shared" si="89"/>
        <v>45730</v>
      </c>
      <c r="Z335" s="7">
        <v>45709</v>
      </c>
      <c r="AA335" s="49">
        <f t="shared" si="90"/>
        <v>21</v>
      </c>
      <c r="AB335" s="51">
        <f t="shared" si="91"/>
        <v>45735</v>
      </c>
      <c r="AC335" s="49">
        <f t="shared" si="92"/>
        <v>26</v>
      </c>
      <c r="AD335" s="43">
        <f t="shared" si="93"/>
        <v>45735</v>
      </c>
      <c r="AE335" s="7">
        <v>45709</v>
      </c>
      <c r="AF335" s="19">
        <f t="shared" si="94"/>
        <v>26</v>
      </c>
      <c r="AG335" s="67"/>
      <c r="AH335" s="2"/>
      <c r="AI335" s="2"/>
      <c r="AJ335" s="2"/>
      <c r="AK335" s="2"/>
      <c r="AL335" s="2"/>
    </row>
    <row r="336" spans="1:38" s="46" customFormat="1" ht="14.45">
      <c r="A336" s="156">
        <v>335</v>
      </c>
      <c r="B336" s="55">
        <v>45737</v>
      </c>
      <c r="C336" s="87"/>
      <c r="D336" s="14" t="s">
        <v>665</v>
      </c>
      <c r="E336" s="15">
        <v>19160.009999999998</v>
      </c>
      <c r="F336" s="14" t="s">
        <v>666</v>
      </c>
      <c r="G336" s="10" t="s">
        <v>120</v>
      </c>
      <c r="H336" s="14" t="s">
        <v>40</v>
      </c>
      <c r="I336" s="14" t="s">
        <v>93</v>
      </c>
      <c r="J336" s="97">
        <f t="shared" si="80"/>
        <v>45637</v>
      </c>
      <c r="K336" s="4"/>
      <c r="L336" s="19" t="str">
        <f t="shared" si="81"/>
        <v/>
      </c>
      <c r="M336" s="5">
        <f t="shared" si="82"/>
        <v>45648</v>
      </c>
      <c r="N336" s="4"/>
      <c r="O336" s="19" t="str">
        <f t="shared" si="83"/>
        <v/>
      </c>
      <c r="P336" s="5">
        <f t="shared" si="84"/>
        <v>45663</v>
      </c>
      <c r="Q336" s="4"/>
      <c r="R336" s="19" t="str">
        <f t="shared" si="85"/>
        <v/>
      </c>
      <c r="S336" s="5">
        <f t="shared" si="95"/>
        <v>45668</v>
      </c>
      <c r="T336" s="4">
        <v>45664</v>
      </c>
      <c r="U336" s="19">
        <f t="shared" si="86"/>
        <v>4</v>
      </c>
      <c r="V336" s="5">
        <f t="shared" si="87"/>
        <v>45707</v>
      </c>
      <c r="W336" s="4">
        <v>45694</v>
      </c>
      <c r="X336" s="19">
        <f t="shared" si="88"/>
        <v>13</v>
      </c>
      <c r="Y336" s="51">
        <f t="shared" si="89"/>
        <v>45732</v>
      </c>
      <c r="Z336" s="4">
        <v>45713</v>
      </c>
      <c r="AA336" s="49">
        <f t="shared" si="90"/>
        <v>19</v>
      </c>
      <c r="AB336" s="51">
        <f t="shared" si="91"/>
        <v>45737</v>
      </c>
      <c r="AC336" s="49">
        <f t="shared" si="92"/>
        <v>24</v>
      </c>
      <c r="AD336" s="43">
        <f t="shared" si="93"/>
        <v>45737</v>
      </c>
      <c r="AE336" s="4">
        <v>45713</v>
      </c>
      <c r="AF336" s="19">
        <f t="shared" si="94"/>
        <v>24</v>
      </c>
      <c r="AG336" s="69"/>
      <c r="AH336" s="45"/>
      <c r="AI336" s="45"/>
      <c r="AJ336" s="45"/>
      <c r="AK336" s="45"/>
      <c r="AL336" s="45"/>
    </row>
    <row r="337" spans="1:38" ht="14.45">
      <c r="A337" s="156">
        <v>336</v>
      </c>
      <c r="B337" s="55">
        <v>45737</v>
      </c>
      <c r="C337" s="86" t="s">
        <v>667</v>
      </c>
      <c r="D337" s="14" t="s">
        <v>668</v>
      </c>
      <c r="E337" s="15">
        <v>10884.69</v>
      </c>
      <c r="F337" s="14" t="s">
        <v>669</v>
      </c>
      <c r="G337" s="14" t="s">
        <v>35</v>
      </c>
      <c r="H337" s="14" t="s">
        <v>36</v>
      </c>
      <c r="I337" s="14" t="s">
        <v>62</v>
      </c>
      <c r="J337" s="97">
        <f t="shared" si="80"/>
        <v>45637</v>
      </c>
      <c r="L337" s="19" t="str">
        <f t="shared" si="81"/>
        <v/>
      </c>
      <c r="M337" s="5">
        <f t="shared" si="82"/>
        <v>45648</v>
      </c>
      <c r="O337" s="19" t="str">
        <f t="shared" si="83"/>
        <v/>
      </c>
      <c r="P337" s="5">
        <f t="shared" si="84"/>
        <v>45663</v>
      </c>
      <c r="R337" s="19" t="str">
        <f t="shared" si="85"/>
        <v/>
      </c>
      <c r="S337" s="5">
        <f t="shared" si="95"/>
        <v>45668</v>
      </c>
      <c r="U337" s="19" t="str">
        <f t="shared" si="86"/>
        <v/>
      </c>
      <c r="V337" s="5">
        <f t="shared" si="87"/>
        <v>45707</v>
      </c>
      <c r="W337" s="4">
        <v>45706</v>
      </c>
      <c r="X337" s="19">
        <f t="shared" si="88"/>
        <v>1</v>
      </c>
      <c r="Y337" s="51">
        <f t="shared" si="89"/>
        <v>45732</v>
      </c>
      <c r="Z337" s="4">
        <v>45736</v>
      </c>
      <c r="AA337" s="49">
        <f t="shared" si="90"/>
        <v>-4</v>
      </c>
      <c r="AB337" s="51">
        <f t="shared" si="91"/>
        <v>45737</v>
      </c>
      <c r="AC337" s="49">
        <f t="shared" si="92"/>
        <v>1</v>
      </c>
      <c r="AD337" s="43">
        <f t="shared" si="93"/>
        <v>45737</v>
      </c>
      <c r="AE337" s="4">
        <v>45736</v>
      </c>
      <c r="AF337" s="19">
        <f t="shared" si="94"/>
        <v>1</v>
      </c>
      <c r="AG337" s="67"/>
      <c r="AH337" s="2"/>
      <c r="AI337" s="2"/>
      <c r="AJ337" s="2"/>
      <c r="AK337" s="2"/>
      <c r="AL337" s="2"/>
    </row>
    <row r="338" spans="1:38" ht="14.45">
      <c r="A338" s="156">
        <v>337</v>
      </c>
      <c r="B338" s="55">
        <v>45738</v>
      </c>
      <c r="C338" s="83" t="s">
        <v>670</v>
      </c>
      <c r="D338" s="14" t="s">
        <v>671</v>
      </c>
      <c r="E338" s="15">
        <v>897.33</v>
      </c>
      <c r="F338" s="14" t="s">
        <v>672</v>
      </c>
      <c r="G338" s="14" t="s">
        <v>35</v>
      </c>
      <c r="H338" s="14" t="s">
        <v>40</v>
      </c>
      <c r="I338" s="14" t="s">
        <v>93</v>
      </c>
      <c r="J338" s="97">
        <f t="shared" si="80"/>
        <v>45638</v>
      </c>
      <c r="L338" s="19" t="str">
        <f t="shared" si="81"/>
        <v/>
      </c>
      <c r="M338" s="5">
        <f t="shared" si="82"/>
        <v>45649</v>
      </c>
      <c r="O338" s="19" t="str">
        <f t="shared" si="83"/>
        <v/>
      </c>
      <c r="P338" s="5">
        <f t="shared" si="84"/>
        <v>45664</v>
      </c>
      <c r="R338" s="19" t="str">
        <f t="shared" si="85"/>
        <v/>
      </c>
      <c r="S338" s="5">
        <f t="shared" si="95"/>
        <v>45669</v>
      </c>
      <c r="U338" s="19" t="str">
        <f t="shared" si="86"/>
        <v/>
      </c>
      <c r="V338" s="5">
        <f t="shared" si="87"/>
        <v>45708</v>
      </c>
      <c r="W338" s="4">
        <v>45720</v>
      </c>
      <c r="X338" s="19">
        <f t="shared" si="88"/>
        <v>-12</v>
      </c>
      <c r="Y338" s="51">
        <f t="shared" si="89"/>
        <v>45733</v>
      </c>
      <c r="Z338" s="4">
        <v>45741</v>
      </c>
      <c r="AA338" s="49">
        <f t="shared" si="90"/>
        <v>-8</v>
      </c>
      <c r="AB338" s="51">
        <f t="shared" si="91"/>
        <v>45738</v>
      </c>
      <c r="AC338" s="49">
        <f t="shared" si="92"/>
        <v>-3</v>
      </c>
      <c r="AD338" s="43">
        <f t="shared" si="93"/>
        <v>45738</v>
      </c>
      <c r="AE338" s="4">
        <v>45741</v>
      </c>
      <c r="AF338" s="19">
        <f t="shared" si="94"/>
        <v>-3</v>
      </c>
      <c r="AG338" s="67"/>
      <c r="AH338" s="2"/>
      <c r="AI338" s="2"/>
      <c r="AJ338" s="2"/>
      <c r="AK338" s="2"/>
      <c r="AL338" s="2"/>
    </row>
    <row r="339" spans="1:38" s="9" customFormat="1" ht="14.45">
      <c r="A339" s="156">
        <v>338</v>
      </c>
      <c r="B339" s="57">
        <v>45738</v>
      </c>
      <c r="C339" s="80"/>
      <c r="D339" s="16" t="s">
        <v>673</v>
      </c>
      <c r="E339" s="17">
        <v>3226.91</v>
      </c>
      <c r="F339" s="16" t="s">
        <v>674</v>
      </c>
      <c r="G339" s="16" t="s">
        <v>46</v>
      </c>
      <c r="H339" s="16" t="s">
        <v>40</v>
      </c>
      <c r="I339" s="16" t="s">
        <v>229</v>
      </c>
      <c r="J339" s="98">
        <f t="shared" si="80"/>
        <v>45638</v>
      </c>
      <c r="K339" s="7">
        <v>45667</v>
      </c>
      <c r="L339" s="19">
        <f t="shared" si="81"/>
        <v>-29</v>
      </c>
      <c r="M339" s="20">
        <f t="shared" si="82"/>
        <v>45649</v>
      </c>
      <c r="N339" s="7"/>
      <c r="O339" s="19" t="str">
        <f t="shared" si="83"/>
        <v/>
      </c>
      <c r="P339" s="20">
        <f t="shared" si="84"/>
        <v>45664</v>
      </c>
      <c r="Q339" s="7"/>
      <c r="R339" s="19" t="str">
        <f t="shared" si="85"/>
        <v/>
      </c>
      <c r="S339" s="20">
        <f t="shared" si="95"/>
        <v>45669</v>
      </c>
      <c r="T339" s="7">
        <v>45674</v>
      </c>
      <c r="U339" s="19">
        <f t="shared" si="86"/>
        <v>-5</v>
      </c>
      <c r="V339" s="5">
        <f t="shared" si="87"/>
        <v>45708</v>
      </c>
      <c r="W339" s="7">
        <v>45707</v>
      </c>
      <c r="X339" s="19">
        <f t="shared" si="88"/>
        <v>1</v>
      </c>
      <c r="Y339" s="51">
        <f t="shared" si="89"/>
        <v>45733</v>
      </c>
      <c r="Z339" s="7">
        <v>45707</v>
      </c>
      <c r="AA339" s="49">
        <f t="shared" si="90"/>
        <v>26</v>
      </c>
      <c r="AB339" s="51">
        <f t="shared" si="91"/>
        <v>45738</v>
      </c>
      <c r="AC339" s="49">
        <f t="shared" si="92"/>
        <v>31</v>
      </c>
      <c r="AD339" s="43">
        <f t="shared" si="93"/>
        <v>45738</v>
      </c>
      <c r="AE339" s="7">
        <v>45707</v>
      </c>
      <c r="AF339" s="19">
        <f t="shared" si="94"/>
        <v>31</v>
      </c>
      <c r="AG339" s="68"/>
      <c r="AH339" s="8"/>
      <c r="AI339" s="8"/>
      <c r="AJ339" s="8"/>
      <c r="AK339" s="8"/>
      <c r="AL339" s="8"/>
    </row>
    <row r="340" spans="1:38" ht="14.45">
      <c r="A340" s="156">
        <v>339</v>
      </c>
      <c r="B340" s="55">
        <v>45739</v>
      </c>
      <c r="C340" s="33" t="s">
        <v>675</v>
      </c>
      <c r="D340" s="14" t="s">
        <v>504</v>
      </c>
      <c r="E340" s="15">
        <v>8789.65</v>
      </c>
      <c r="F340" s="14" t="s">
        <v>676</v>
      </c>
      <c r="G340" s="14" t="s">
        <v>35</v>
      </c>
      <c r="H340" s="14" t="s">
        <v>36</v>
      </c>
      <c r="I340" s="14" t="s">
        <v>52</v>
      </c>
      <c r="J340" s="97">
        <f t="shared" si="80"/>
        <v>45639</v>
      </c>
      <c r="L340" s="19" t="str">
        <f t="shared" si="81"/>
        <v/>
      </c>
      <c r="M340" s="5">
        <f t="shared" si="82"/>
        <v>45650</v>
      </c>
      <c r="O340" s="19" t="str">
        <f t="shared" si="83"/>
        <v/>
      </c>
      <c r="P340" s="5">
        <f t="shared" si="84"/>
        <v>45665</v>
      </c>
      <c r="R340" s="19" t="str">
        <f t="shared" si="85"/>
        <v/>
      </c>
      <c r="S340" s="5">
        <f t="shared" si="95"/>
        <v>45670</v>
      </c>
      <c r="U340" s="19" t="str">
        <f t="shared" si="86"/>
        <v/>
      </c>
      <c r="V340" s="5">
        <f t="shared" si="87"/>
        <v>45709</v>
      </c>
      <c r="X340" s="19" t="str">
        <f t="shared" si="88"/>
        <v/>
      </c>
      <c r="Y340" s="51">
        <f t="shared" si="89"/>
        <v>45734</v>
      </c>
      <c r="AA340" s="49" t="str">
        <f t="shared" si="90"/>
        <v/>
      </c>
      <c r="AB340" s="51">
        <f t="shared" si="91"/>
        <v>45739</v>
      </c>
      <c r="AC340" s="49" t="str">
        <f t="shared" si="92"/>
        <v/>
      </c>
      <c r="AD340" s="43">
        <f t="shared" si="93"/>
        <v>45739</v>
      </c>
      <c r="AF340" s="19" t="str">
        <f t="shared" si="94"/>
        <v/>
      </c>
      <c r="AG340" s="67"/>
      <c r="AH340" s="2"/>
      <c r="AI340" s="2"/>
      <c r="AJ340" s="2"/>
      <c r="AK340" s="2"/>
      <c r="AL340" s="2"/>
    </row>
    <row r="341" spans="1:38" ht="14.45">
      <c r="A341" s="156">
        <v>340</v>
      </c>
      <c r="B341" s="55">
        <v>45740</v>
      </c>
      <c r="C341" s="77" t="s">
        <v>677</v>
      </c>
      <c r="D341" s="14" t="s">
        <v>678</v>
      </c>
      <c r="E341" s="15">
        <v>135666.88</v>
      </c>
      <c r="F341" s="14" t="s">
        <v>679</v>
      </c>
      <c r="G341" s="14" t="s">
        <v>46</v>
      </c>
      <c r="H341" s="14" t="s">
        <v>40</v>
      </c>
      <c r="I341" s="14" t="s">
        <v>229</v>
      </c>
      <c r="J341" s="97">
        <f t="shared" si="80"/>
        <v>45640</v>
      </c>
      <c r="K341" s="4">
        <v>45667</v>
      </c>
      <c r="L341" s="19">
        <f t="shared" si="81"/>
        <v>-27</v>
      </c>
      <c r="M341" s="5">
        <f t="shared" si="82"/>
        <v>45651</v>
      </c>
      <c r="O341" s="19" t="str">
        <f t="shared" si="83"/>
        <v/>
      </c>
      <c r="P341" s="5">
        <f t="shared" si="84"/>
        <v>45666</v>
      </c>
      <c r="R341" s="19" t="str">
        <f t="shared" si="85"/>
        <v/>
      </c>
      <c r="S341" s="5">
        <f t="shared" si="95"/>
        <v>45671</v>
      </c>
      <c r="T341" s="4">
        <v>45616</v>
      </c>
      <c r="U341" s="19">
        <f t="shared" si="86"/>
        <v>55</v>
      </c>
      <c r="V341" s="5">
        <f t="shared" si="87"/>
        <v>45710</v>
      </c>
      <c r="W341" s="4">
        <v>45719</v>
      </c>
      <c r="X341" s="19">
        <f t="shared" si="88"/>
        <v>-9</v>
      </c>
      <c r="Y341" s="51">
        <f t="shared" si="89"/>
        <v>45735</v>
      </c>
      <c r="Z341" s="4">
        <v>45728</v>
      </c>
      <c r="AA341" s="49">
        <f t="shared" si="90"/>
        <v>7</v>
      </c>
      <c r="AB341" s="51">
        <f t="shared" si="91"/>
        <v>45740</v>
      </c>
      <c r="AC341" s="49">
        <f t="shared" si="92"/>
        <v>12</v>
      </c>
      <c r="AD341" s="43">
        <f t="shared" si="93"/>
        <v>45740</v>
      </c>
      <c r="AE341" s="4">
        <v>45728</v>
      </c>
      <c r="AF341" s="19">
        <f t="shared" si="94"/>
        <v>12</v>
      </c>
      <c r="AG341" s="67"/>
      <c r="AH341" s="2"/>
      <c r="AI341" s="2"/>
      <c r="AJ341" s="2"/>
      <c r="AK341" s="2"/>
      <c r="AL341" s="2"/>
    </row>
    <row r="342" spans="1:38" ht="14.45">
      <c r="A342" s="156">
        <v>341</v>
      </c>
      <c r="B342" s="55">
        <v>45740</v>
      </c>
      <c r="C342" s="76" t="s">
        <v>680</v>
      </c>
      <c r="D342" s="14" t="s">
        <v>681</v>
      </c>
      <c r="E342" s="15">
        <v>73150.570000000007</v>
      </c>
      <c r="F342" s="14" t="s">
        <v>682</v>
      </c>
      <c r="G342" s="14" t="s">
        <v>46</v>
      </c>
      <c r="H342" s="14" t="s">
        <v>40</v>
      </c>
      <c r="I342" s="14" t="s">
        <v>229</v>
      </c>
      <c r="J342" s="97">
        <f t="shared" si="80"/>
        <v>45640</v>
      </c>
      <c r="K342" s="4">
        <v>45667</v>
      </c>
      <c r="L342" s="19">
        <f t="shared" si="81"/>
        <v>-27</v>
      </c>
      <c r="M342" s="5">
        <f t="shared" si="82"/>
        <v>45651</v>
      </c>
      <c r="O342" s="19" t="str">
        <f t="shared" si="83"/>
        <v/>
      </c>
      <c r="P342" s="5">
        <f t="shared" si="84"/>
        <v>45666</v>
      </c>
      <c r="R342" s="19" t="str">
        <f t="shared" si="85"/>
        <v/>
      </c>
      <c r="S342" s="5">
        <f t="shared" si="95"/>
        <v>45671</v>
      </c>
      <c r="T342" s="4">
        <v>45616</v>
      </c>
      <c r="U342" s="19">
        <f t="shared" si="86"/>
        <v>55</v>
      </c>
      <c r="V342" s="5">
        <f t="shared" si="87"/>
        <v>45710</v>
      </c>
      <c r="W342" s="4">
        <v>45719</v>
      </c>
      <c r="X342" s="19">
        <f t="shared" si="88"/>
        <v>-9</v>
      </c>
      <c r="Y342" s="51">
        <f t="shared" si="89"/>
        <v>45735</v>
      </c>
      <c r="Z342" s="4">
        <v>45729</v>
      </c>
      <c r="AA342" s="49">
        <f t="shared" si="90"/>
        <v>6</v>
      </c>
      <c r="AB342" s="51">
        <f t="shared" si="91"/>
        <v>45740</v>
      </c>
      <c r="AC342" s="49">
        <f t="shared" si="92"/>
        <v>11</v>
      </c>
      <c r="AD342" s="43">
        <f t="shared" si="93"/>
        <v>45740</v>
      </c>
      <c r="AE342" s="4">
        <v>45729</v>
      </c>
      <c r="AF342" s="19">
        <f t="shared" si="94"/>
        <v>11</v>
      </c>
      <c r="AG342" s="67"/>
      <c r="AH342" s="2"/>
      <c r="AI342" s="2"/>
      <c r="AJ342" s="2"/>
      <c r="AK342" s="2"/>
      <c r="AL342" s="2"/>
    </row>
    <row r="343" spans="1:38" ht="14.45">
      <c r="A343" s="156">
        <v>342</v>
      </c>
      <c r="B343" s="55">
        <v>45740</v>
      </c>
      <c r="C343" s="76" t="s">
        <v>683</v>
      </c>
      <c r="D343" s="14" t="s">
        <v>684</v>
      </c>
      <c r="E343" s="15">
        <v>85920.86</v>
      </c>
      <c r="F343" s="14" t="s">
        <v>685</v>
      </c>
      <c r="G343" s="14" t="s">
        <v>46</v>
      </c>
      <c r="H343" s="14" t="s">
        <v>40</v>
      </c>
      <c r="I343" s="14" t="s">
        <v>229</v>
      </c>
      <c r="J343" s="97">
        <f t="shared" si="80"/>
        <v>45640</v>
      </c>
      <c r="K343" s="4">
        <v>45667</v>
      </c>
      <c r="L343" s="19">
        <f t="shared" si="81"/>
        <v>-27</v>
      </c>
      <c r="M343" s="5">
        <f t="shared" si="82"/>
        <v>45651</v>
      </c>
      <c r="O343" s="19" t="str">
        <f t="shared" si="83"/>
        <v/>
      </c>
      <c r="P343" s="5">
        <f t="shared" si="84"/>
        <v>45666</v>
      </c>
      <c r="R343" s="19" t="str">
        <f t="shared" si="85"/>
        <v/>
      </c>
      <c r="S343" s="5">
        <f t="shared" si="95"/>
        <v>45671</v>
      </c>
      <c r="T343" s="4">
        <v>45616</v>
      </c>
      <c r="U343" s="19">
        <f t="shared" si="86"/>
        <v>55</v>
      </c>
      <c r="V343" s="5">
        <f t="shared" si="87"/>
        <v>45710</v>
      </c>
      <c r="W343" s="4">
        <v>45719</v>
      </c>
      <c r="X343" s="19">
        <f t="shared" si="88"/>
        <v>-9</v>
      </c>
      <c r="Y343" s="51">
        <f t="shared" si="89"/>
        <v>45735</v>
      </c>
      <c r="Z343" s="4">
        <v>45728</v>
      </c>
      <c r="AA343" s="49">
        <f t="shared" si="90"/>
        <v>7</v>
      </c>
      <c r="AB343" s="51">
        <f t="shared" si="91"/>
        <v>45740</v>
      </c>
      <c r="AC343" s="49">
        <f t="shared" si="92"/>
        <v>12</v>
      </c>
      <c r="AD343" s="43">
        <f t="shared" si="93"/>
        <v>45740</v>
      </c>
      <c r="AE343" s="4">
        <v>45728</v>
      </c>
      <c r="AF343" s="19">
        <f t="shared" si="94"/>
        <v>12</v>
      </c>
      <c r="AG343" s="67"/>
      <c r="AH343" s="2"/>
      <c r="AI343" s="2"/>
      <c r="AJ343" s="2"/>
      <c r="AK343" s="2"/>
      <c r="AL343" s="2"/>
    </row>
    <row r="344" spans="1:38" ht="14.45">
      <c r="A344" s="156">
        <v>343</v>
      </c>
      <c r="B344" s="55">
        <v>45740</v>
      </c>
      <c r="C344" s="39" t="s">
        <v>686</v>
      </c>
      <c r="D344" s="14" t="s">
        <v>38</v>
      </c>
      <c r="E344" s="15">
        <v>391.57</v>
      </c>
      <c r="F344" s="14" t="s">
        <v>687</v>
      </c>
      <c r="G344" s="14" t="s">
        <v>190</v>
      </c>
      <c r="H344" s="14" t="s">
        <v>40</v>
      </c>
      <c r="I344" s="14" t="s">
        <v>41</v>
      </c>
      <c r="J344" s="97">
        <f t="shared" si="80"/>
        <v>45640</v>
      </c>
      <c r="L344" s="19" t="str">
        <f t="shared" si="81"/>
        <v/>
      </c>
      <c r="M344" s="5">
        <f t="shared" si="82"/>
        <v>45651</v>
      </c>
      <c r="N344" s="4">
        <v>45335</v>
      </c>
      <c r="O344" s="19">
        <f t="shared" si="83"/>
        <v>316</v>
      </c>
      <c r="P344" s="5">
        <f t="shared" si="84"/>
        <v>45666</v>
      </c>
      <c r="Q344" s="4">
        <v>45701</v>
      </c>
      <c r="R344" s="19">
        <f t="shared" si="85"/>
        <v>-35</v>
      </c>
      <c r="S344" s="5">
        <f t="shared" si="95"/>
        <v>45671</v>
      </c>
      <c r="T344" s="4">
        <v>45716</v>
      </c>
      <c r="U344" s="19">
        <f t="shared" si="86"/>
        <v>-45</v>
      </c>
      <c r="V344" s="5">
        <f t="shared" si="87"/>
        <v>45710</v>
      </c>
      <c r="W344" s="4">
        <v>45724</v>
      </c>
      <c r="X344" s="19">
        <f t="shared" si="88"/>
        <v>-14</v>
      </c>
      <c r="Y344" s="51">
        <f t="shared" si="89"/>
        <v>45735</v>
      </c>
      <c r="Z344" s="4">
        <v>45724</v>
      </c>
      <c r="AA344" s="49">
        <f t="shared" si="90"/>
        <v>11</v>
      </c>
      <c r="AB344" s="51">
        <f t="shared" si="91"/>
        <v>45740</v>
      </c>
      <c r="AC344" s="49">
        <f t="shared" si="92"/>
        <v>16</v>
      </c>
      <c r="AD344" s="43">
        <f t="shared" si="93"/>
        <v>45740</v>
      </c>
      <c r="AE344" s="4">
        <v>45724</v>
      </c>
      <c r="AF344" s="19">
        <f t="shared" si="94"/>
        <v>16</v>
      </c>
      <c r="AG344" s="67"/>
      <c r="AH344" s="2"/>
      <c r="AI344" s="2"/>
      <c r="AJ344" s="2"/>
      <c r="AK344" s="2"/>
      <c r="AL344" s="2"/>
    </row>
    <row r="345" spans="1:38" ht="14.45">
      <c r="A345" s="156">
        <v>344</v>
      </c>
      <c r="B345" s="55">
        <v>45740</v>
      </c>
      <c r="C345" s="77" t="s">
        <v>688</v>
      </c>
      <c r="D345" s="14" t="s">
        <v>689</v>
      </c>
      <c r="E345" s="15">
        <v>28317</v>
      </c>
      <c r="F345" s="14" t="s">
        <v>690</v>
      </c>
      <c r="G345" s="14" t="s">
        <v>46</v>
      </c>
      <c r="H345" s="14" t="s">
        <v>40</v>
      </c>
      <c r="I345" s="14" t="s">
        <v>323</v>
      </c>
      <c r="J345" s="97">
        <f t="shared" si="80"/>
        <v>45640</v>
      </c>
      <c r="K345" s="4">
        <v>45667</v>
      </c>
      <c r="L345" s="19">
        <f t="shared" si="81"/>
        <v>-27</v>
      </c>
      <c r="M345" s="5">
        <f t="shared" si="82"/>
        <v>45651</v>
      </c>
      <c r="O345" s="19" t="str">
        <f t="shared" si="83"/>
        <v/>
      </c>
      <c r="P345" s="5">
        <f t="shared" si="84"/>
        <v>45666</v>
      </c>
      <c r="R345" s="19" t="str">
        <f t="shared" si="85"/>
        <v/>
      </c>
      <c r="S345" s="5">
        <f t="shared" si="95"/>
        <v>45671</v>
      </c>
      <c r="T345" s="4">
        <v>45679</v>
      </c>
      <c r="U345" s="19">
        <f t="shared" si="86"/>
        <v>-8</v>
      </c>
      <c r="V345" s="5">
        <f t="shared" si="87"/>
        <v>45710</v>
      </c>
      <c r="W345" s="4">
        <v>45705</v>
      </c>
      <c r="X345" s="19">
        <f t="shared" si="88"/>
        <v>5</v>
      </c>
      <c r="Y345" s="51">
        <f t="shared" si="89"/>
        <v>45735</v>
      </c>
      <c r="Z345" s="4">
        <v>45742</v>
      </c>
      <c r="AA345" s="49">
        <f t="shared" si="90"/>
        <v>-7</v>
      </c>
      <c r="AB345" s="51">
        <f t="shared" si="91"/>
        <v>45740</v>
      </c>
      <c r="AC345" s="49">
        <f t="shared" si="92"/>
        <v>-2</v>
      </c>
      <c r="AD345" s="43">
        <f t="shared" si="93"/>
        <v>45740</v>
      </c>
      <c r="AE345" s="4">
        <v>45742</v>
      </c>
      <c r="AF345" s="19">
        <f t="shared" si="94"/>
        <v>-2</v>
      </c>
      <c r="AG345" s="67"/>
      <c r="AH345" s="2"/>
      <c r="AI345" s="2"/>
      <c r="AJ345" s="2"/>
      <c r="AK345" s="2"/>
      <c r="AL345" s="2"/>
    </row>
    <row r="346" spans="1:38" ht="14.45">
      <c r="A346" s="156">
        <v>345</v>
      </c>
      <c r="B346" s="55">
        <v>45740</v>
      </c>
      <c r="C346" s="83">
        <v>605355221</v>
      </c>
      <c r="D346" s="14" t="s">
        <v>633</v>
      </c>
      <c r="E346" s="15">
        <v>1053.4000000000001</v>
      </c>
      <c r="F346" s="14" t="s">
        <v>691</v>
      </c>
      <c r="G346" s="14" t="s">
        <v>35</v>
      </c>
      <c r="H346" s="14" t="s">
        <v>40</v>
      </c>
      <c r="I346" s="14" t="s">
        <v>62</v>
      </c>
      <c r="J346" s="97">
        <f t="shared" si="80"/>
        <v>45640</v>
      </c>
      <c r="L346" s="19" t="str">
        <f t="shared" si="81"/>
        <v/>
      </c>
      <c r="M346" s="5">
        <f t="shared" si="82"/>
        <v>45651</v>
      </c>
      <c r="O346" s="19" t="str">
        <f t="shared" si="83"/>
        <v/>
      </c>
      <c r="P346" s="5">
        <f t="shared" si="84"/>
        <v>45666</v>
      </c>
      <c r="R346" s="19" t="str">
        <f t="shared" si="85"/>
        <v/>
      </c>
      <c r="S346" s="5">
        <f t="shared" si="95"/>
        <v>45671</v>
      </c>
      <c r="U346" s="19" t="str">
        <f t="shared" si="86"/>
        <v/>
      </c>
      <c r="V346" s="5">
        <f t="shared" si="87"/>
        <v>45710</v>
      </c>
      <c r="W346" s="4">
        <v>45708</v>
      </c>
      <c r="X346" s="19">
        <f t="shared" si="88"/>
        <v>2</v>
      </c>
      <c r="Y346" s="51">
        <f t="shared" si="89"/>
        <v>45735</v>
      </c>
      <c r="Z346" s="4">
        <v>45727</v>
      </c>
      <c r="AA346" s="49">
        <f t="shared" si="90"/>
        <v>8</v>
      </c>
      <c r="AB346" s="51">
        <f t="shared" si="91"/>
        <v>45740</v>
      </c>
      <c r="AC346" s="49">
        <f t="shared" si="92"/>
        <v>13</v>
      </c>
      <c r="AD346" s="43">
        <f t="shared" si="93"/>
        <v>45740</v>
      </c>
      <c r="AE346" s="4">
        <v>45727</v>
      </c>
      <c r="AF346" s="19">
        <f t="shared" si="94"/>
        <v>13</v>
      </c>
      <c r="AG346" s="67"/>
      <c r="AH346" s="2"/>
      <c r="AI346" s="2"/>
      <c r="AJ346" s="2"/>
      <c r="AK346" s="2"/>
      <c r="AL346" s="2"/>
    </row>
    <row r="347" spans="1:38" ht="14.45">
      <c r="A347" s="156">
        <v>346</v>
      </c>
      <c r="B347" s="55">
        <v>45741</v>
      </c>
      <c r="C347" s="39" t="s">
        <v>692</v>
      </c>
      <c r="D347" s="14" t="s">
        <v>38</v>
      </c>
      <c r="E347" s="15">
        <v>1485.01</v>
      </c>
      <c r="F347" s="14" t="s">
        <v>693</v>
      </c>
      <c r="G347" s="14" t="s">
        <v>190</v>
      </c>
      <c r="H347" s="14" t="s">
        <v>40</v>
      </c>
      <c r="I347" s="14" t="s">
        <v>41</v>
      </c>
      <c r="J347" s="97">
        <f t="shared" si="80"/>
        <v>45641</v>
      </c>
      <c r="L347" s="19" t="str">
        <f t="shared" si="81"/>
        <v/>
      </c>
      <c r="M347" s="5">
        <f t="shared" si="82"/>
        <v>45652</v>
      </c>
      <c r="N347" s="4">
        <v>45335</v>
      </c>
      <c r="O347" s="19">
        <f t="shared" si="83"/>
        <v>317</v>
      </c>
      <c r="P347" s="5">
        <f t="shared" si="84"/>
        <v>45667</v>
      </c>
      <c r="Q347" s="4">
        <v>45701</v>
      </c>
      <c r="R347" s="19">
        <f t="shared" si="85"/>
        <v>-34</v>
      </c>
      <c r="S347" s="5">
        <f t="shared" si="95"/>
        <v>45672</v>
      </c>
      <c r="T347" s="4">
        <v>45716</v>
      </c>
      <c r="U347" s="19">
        <f t="shared" si="86"/>
        <v>-44</v>
      </c>
      <c r="V347" s="5">
        <f t="shared" si="87"/>
        <v>45711</v>
      </c>
      <c r="W347" s="4">
        <v>45724</v>
      </c>
      <c r="X347" s="19">
        <f t="shared" si="88"/>
        <v>-13</v>
      </c>
      <c r="Y347" s="51">
        <f t="shared" si="89"/>
        <v>45736</v>
      </c>
      <c r="Z347" s="4">
        <v>45724</v>
      </c>
      <c r="AA347" s="49">
        <f t="shared" si="90"/>
        <v>12</v>
      </c>
      <c r="AB347" s="51">
        <f t="shared" si="91"/>
        <v>45741</v>
      </c>
      <c r="AC347" s="49">
        <f t="shared" si="92"/>
        <v>17</v>
      </c>
      <c r="AD347" s="43">
        <f t="shared" si="93"/>
        <v>45741</v>
      </c>
      <c r="AE347" s="4">
        <v>45724</v>
      </c>
      <c r="AF347" s="19">
        <f t="shared" si="94"/>
        <v>17</v>
      </c>
      <c r="AG347" s="67"/>
      <c r="AH347" s="2"/>
      <c r="AI347" s="2"/>
      <c r="AJ347" s="2"/>
      <c r="AK347" s="2"/>
      <c r="AL347" s="2"/>
    </row>
    <row r="348" spans="1:38" ht="14.45">
      <c r="A348" s="156">
        <v>347</v>
      </c>
      <c r="B348" s="55">
        <v>45741</v>
      </c>
      <c r="C348" s="86" t="s">
        <v>694</v>
      </c>
      <c r="D348" s="14" t="s">
        <v>695</v>
      </c>
      <c r="E348" s="15">
        <v>159952.35</v>
      </c>
      <c r="F348" s="14" t="s">
        <v>696</v>
      </c>
      <c r="G348" s="14" t="s">
        <v>35</v>
      </c>
      <c r="H348" s="14" t="s">
        <v>36</v>
      </c>
      <c r="I348" s="14" t="s">
        <v>52</v>
      </c>
      <c r="J348" s="97">
        <f t="shared" si="80"/>
        <v>45641</v>
      </c>
      <c r="L348" s="19" t="str">
        <f t="shared" si="81"/>
        <v/>
      </c>
      <c r="M348" s="5">
        <f t="shared" si="82"/>
        <v>45652</v>
      </c>
      <c r="O348" s="19" t="str">
        <f t="shared" si="83"/>
        <v/>
      </c>
      <c r="P348" s="5">
        <f t="shared" si="84"/>
        <v>45667</v>
      </c>
      <c r="R348" s="19" t="str">
        <f t="shared" si="85"/>
        <v/>
      </c>
      <c r="S348" s="5">
        <f t="shared" si="95"/>
        <v>45672</v>
      </c>
      <c r="U348" s="19" t="str">
        <f t="shared" si="86"/>
        <v/>
      </c>
      <c r="V348" s="5">
        <f t="shared" si="87"/>
        <v>45711</v>
      </c>
      <c r="W348" s="4">
        <v>45701</v>
      </c>
      <c r="X348" s="19">
        <f t="shared" si="88"/>
        <v>10</v>
      </c>
      <c r="Y348" s="51">
        <f t="shared" si="89"/>
        <v>45736</v>
      </c>
      <c r="AA348" s="49" t="str">
        <f t="shared" si="90"/>
        <v/>
      </c>
      <c r="AB348" s="51">
        <f t="shared" si="91"/>
        <v>45741</v>
      </c>
      <c r="AC348" s="49" t="str">
        <f t="shared" si="92"/>
        <v/>
      </c>
      <c r="AD348" s="43">
        <f t="shared" si="93"/>
        <v>45741</v>
      </c>
      <c r="AF348" s="19" t="str">
        <f t="shared" si="94"/>
        <v/>
      </c>
      <c r="AG348" s="67"/>
      <c r="AH348" s="2"/>
      <c r="AI348" s="2"/>
      <c r="AJ348" s="2"/>
      <c r="AK348" s="2"/>
      <c r="AL348" s="2"/>
    </row>
    <row r="349" spans="1:38" ht="14.45">
      <c r="A349" s="156">
        <v>348</v>
      </c>
      <c r="B349" s="55">
        <v>45742</v>
      </c>
      <c r="C349" s="76" t="s">
        <v>697</v>
      </c>
      <c r="D349" s="14" t="s">
        <v>698</v>
      </c>
      <c r="E349" s="15">
        <v>979.99</v>
      </c>
      <c r="F349" s="14" t="s">
        <v>699</v>
      </c>
      <c r="G349" s="14" t="s">
        <v>46</v>
      </c>
      <c r="H349" s="14" t="s">
        <v>40</v>
      </c>
      <c r="I349" s="14" t="s">
        <v>229</v>
      </c>
      <c r="J349" s="97">
        <f t="shared" si="80"/>
        <v>45642</v>
      </c>
      <c r="K349" s="4">
        <v>45667</v>
      </c>
      <c r="L349" s="19">
        <f t="shared" si="81"/>
        <v>-25</v>
      </c>
      <c r="M349" s="5">
        <f t="shared" si="82"/>
        <v>45653</v>
      </c>
      <c r="O349" s="19" t="str">
        <f t="shared" si="83"/>
        <v/>
      </c>
      <c r="P349" s="5">
        <f t="shared" si="84"/>
        <v>45668</v>
      </c>
      <c r="R349" s="19" t="str">
        <f t="shared" si="85"/>
        <v/>
      </c>
      <c r="S349" s="5">
        <f t="shared" si="95"/>
        <v>45673</v>
      </c>
      <c r="T349" s="4">
        <v>45679</v>
      </c>
      <c r="U349" s="19">
        <f t="shared" si="86"/>
        <v>-6</v>
      </c>
      <c r="V349" s="5">
        <f t="shared" si="87"/>
        <v>45712</v>
      </c>
      <c r="W349" s="4">
        <v>45719</v>
      </c>
      <c r="X349" s="19">
        <f t="shared" si="88"/>
        <v>-7</v>
      </c>
      <c r="Y349" s="51">
        <f t="shared" si="89"/>
        <v>45737</v>
      </c>
      <c r="Z349" s="4">
        <v>45728</v>
      </c>
      <c r="AA349" s="49">
        <f t="shared" si="90"/>
        <v>9</v>
      </c>
      <c r="AB349" s="51">
        <f t="shared" si="91"/>
        <v>45742</v>
      </c>
      <c r="AC349" s="49">
        <f t="shared" si="92"/>
        <v>14</v>
      </c>
      <c r="AD349" s="43">
        <f t="shared" si="93"/>
        <v>45742</v>
      </c>
      <c r="AE349" s="4">
        <v>45728</v>
      </c>
      <c r="AF349" s="19">
        <f t="shared" si="94"/>
        <v>14</v>
      </c>
      <c r="AG349" s="67"/>
      <c r="AH349" s="2"/>
      <c r="AI349" s="2"/>
      <c r="AJ349" s="2"/>
      <c r="AK349" s="2"/>
      <c r="AL349" s="2"/>
    </row>
    <row r="350" spans="1:38" ht="14.45">
      <c r="A350" s="156">
        <v>349</v>
      </c>
      <c r="B350" s="55">
        <v>45743</v>
      </c>
      <c r="C350" s="83" t="s">
        <v>700</v>
      </c>
      <c r="D350" s="14" t="s">
        <v>701</v>
      </c>
      <c r="E350" s="15">
        <v>81280.429999999993</v>
      </c>
      <c r="F350" s="14" t="s">
        <v>702</v>
      </c>
      <c r="G350" s="14" t="s">
        <v>35</v>
      </c>
      <c r="H350" s="14" t="s">
        <v>36</v>
      </c>
      <c r="I350" s="14" t="s">
        <v>235</v>
      </c>
      <c r="J350" s="97">
        <f t="shared" si="80"/>
        <v>45643</v>
      </c>
      <c r="K350" s="95">
        <v>45664</v>
      </c>
      <c r="L350" s="19">
        <f t="shared" si="81"/>
        <v>-21</v>
      </c>
      <c r="M350" s="5">
        <f t="shared" si="82"/>
        <v>45654</v>
      </c>
      <c r="O350" s="19" t="str">
        <f t="shared" si="83"/>
        <v/>
      </c>
      <c r="P350" s="5">
        <f t="shared" si="84"/>
        <v>45669</v>
      </c>
      <c r="Q350" s="4">
        <v>45722</v>
      </c>
      <c r="R350" s="19">
        <f t="shared" si="85"/>
        <v>-53</v>
      </c>
      <c r="S350" s="5">
        <f t="shared" si="95"/>
        <v>45674</v>
      </c>
      <c r="T350" s="95">
        <v>45722</v>
      </c>
      <c r="U350" s="19">
        <f t="shared" si="86"/>
        <v>-48</v>
      </c>
      <c r="V350" s="5">
        <f t="shared" si="87"/>
        <v>45713</v>
      </c>
      <c r="W350" s="4">
        <v>45715</v>
      </c>
      <c r="X350" s="19">
        <f t="shared" si="88"/>
        <v>-2</v>
      </c>
      <c r="Y350" s="51">
        <f t="shared" si="89"/>
        <v>45738</v>
      </c>
      <c r="Z350" s="4">
        <v>45744</v>
      </c>
      <c r="AA350" s="49">
        <f t="shared" si="90"/>
        <v>-6</v>
      </c>
      <c r="AB350" s="51">
        <f t="shared" si="91"/>
        <v>45743</v>
      </c>
      <c r="AC350" s="49">
        <f t="shared" si="92"/>
        <v>-1</v>
      </c>
      <c r="AD350" s="43">
        <f t="shared" si="93"/>
        <v>45743</v>
      </c>
      <c r="AE350" s="4">
        <v>45744</v>
      </c>
      <c r="AF350" s="19">
        <f t="shared" si="94"/>
        <v>-1</v>
      </c>
      <c r="AG350" s="67"/>
      <c r="AH350" s="2"/>
      <c r="AI350" s="2"/>
      <c r="AJ350" s="2"/>
      <c r="AK350" s="2"/>
      <c r="AL350" s="2"/>
    </row>
    <row r="351" spans="1:38" ht="14.45">
      <c r="A351" s="156">
        <v>350</v>
      </c>
      <c r="B351" s="55">
        <v>45743</v>
      </c>
      <c r="C351" s="80"/>
      <c r="D351" s="14" t="s">
        <v>49</v>
      </c>
      <c r="E351" s="15">
        <v>880.02</v>
      </c>
      <c r="F351" s="14" t="s">
        <v>703</v>
      </c>
      <c r="G351" s="14" t="s">
        <v>46</v>
      </c>
      <c r="H351" s="14" t="s">
        <v>40</v>
      </c>
      <c r="I351" s="14" t="s">
        <v>229</v>
      </c>
      <c r="J351" s="97">
        <f t="shared" si="80"/>
        <v>45643</v>
      </c>
      <c r="K351" s="4">
        <v>45667</v>
      </c>
      <c r="L351" s="19">
        <f t="shared" si="81"/>
        <v>-24</v>
      </c>
      <c r="M351" s="5">
        <f t="shared" si="82"/>
        <v>45654</v>
      </c>
      <c r="O351" s="19" t="str">
        <f t="shared" si="83"/>
        <v/>
      </c>
      <c r="P351" s="5">
        <f t="shared" si="84"/>
        <v>45669</v>
      </c>
      <c r="R351" s="19" t="str">
        <f t="shared" si="85"/>
        <v/>
      </c>
      <c r="S351" s="5">
        <f t="shared" si="95"/>
        <v>45674</v>
      </c>
      <c r="T351" s="4">
        <v>45667</v>
      </c>
      <c r="U351" s="19">
        <f t="shared" si="86"/>
        <v>7</v>
      </c>
      <c r="V351" s="5">
        <f t="shared" si="87"/>
        <v>45713</v>
      </c>
      <c r="W351" s="4">
        <v>45700</v>
      </c>
      <c r="X351" s="19">
        <f t="shared" si="88"/>
        <v>13</v>
      </c>
      <c r="Y351" s="51">
        <f t="shared" si="89"/>
        <v>45738</v>
      </c>
      <c r="Z351" s="4">
        <v>45702</v>
      </c>
      <c r="AA351" s="49">
        <f t="shared" si="90"/>
        <v>36</v>
      </c>
      <c r="AB351" s="51">
        <f t="shared" si="91"/>
        <v>45743</v>
      </c>
      <c r="AC351" s="49">
        <f t="shared" si="92"/>
        <v>41</v>
      </c>
      <c r="AD351" s="43">
        <f t="shared" si="93"/>
        <v>45743</v>
      </c>
      <c r="AE351" s="4">
        <v>45702</v>
      </c>
      <c r="AF351" s="19">
        <f t="shared" si="94"/>
        <v>41</v>
      </c>
      <c r="AG351" s="67"/>
      <c r="AH351" s="2"/>
      <c r="AI351" s="2"/>
      <c r="AJ351" s="2"/>
      <c r="AK351" s="2"/>
      <c r="AL351" s="2"/>
    </row>
    <row r="352" spans="1:38" ht="14.45">
      <c r="A352" s="156">
        <v>351</v>
      </c>
      <c r="B352" s="55">
        <v>45745</v>
      </c>
      <c r="C352" s="40" t="s">
        <v>704</v>
      </c>
      <c r="D352" s="14" t="s">
        <v>38</v>
      </c>
      <c r="E352" s="15">
        <v>216.36</v>
      </c>
      <c r="F352" s="14" t="s">
        <v>705</v>
      </c>
      <c r="G352" s="14" t="s">
        <v>190</v>
      </c>
      <c r="H352" s="14" t="s">
        <v>40</v>
      </c>
      <c r="I352" s="14" t="s">
        <v>41</v>
      </c>
      <c r="J352" s="97">
        <f t="shared" si="80"/>
        <v>45645</v>
      </c>
      <c r="L352" s="19" t="str">
        <f t="shared" si="81"/>
        <v/>
      </c>
      <c r="M352" s="5">
        <f t="shared" si="82"/>
        <v>45656</v>
      </c>
      <c r="N352" s="4">
        <v>45335</v>
      </c>
      <c r="O352" s="19">
        <f t="shared" si="83"/>
        <v>321</v>
      </c>
      <c r="P352" s="5">
        <f t="shared" si="84"/>
        <v>45671</v>
      </c>
      <c r="Q352" s="4">
        <v>45701</v>
      </c>
      <c r="R352" s="19">
        <f t="shared" si="85"/>
        <v>-30</v>
      </c>
      <c r="S352" s="5">
        <f t="shared" si="95"/>
        <v>45676</v>
      </c>
      <c r="T352" s="4">
        <v>45716</v>
      </c>
      <c r="U352" s="19">
        <f t="shared" si="86"/>
        <v>-40</v>
      </c>
      <c r="V352" s="5">
        <f t="shared" si="87"/>
        <v>45715</v>
      </c>
      <c r="W352" s="4">
        <v>45724</v>
      </c>
      <c r="X352" s="19">
        <f t="shared" si="88"/>
        <v>-9</v>
      </c>
      <c r="Y352" s="51">
        <f t="shared" si="89"/>
        <v>45740</v>
      </c>
      <c r="Z352" s="4">
        <v>45724</v>
      </c>
      <c r="AA352" s="49">
        <f t="shared" si="90"/>
        <v>16</v>
      </c>
      <c r="AB352" s="51">
        <f t="shared" si="91"/>
        <v>45745</v>
      </c>
      <c r="AC352" s="49">
        <f t="shared" si="92"/>
        <v>21</v>
      </c>
      <c r="AD352" s="43">
        <f t="shared" si="93"/>
        <v>45745</v>
      </c>
      <c r="AE352" s="4">
        <v>45724</v>
      </c>
      <c r="AF352" s="19">
        <f t="shared" si="94"/>
        <v>21</v>
      </c>
      <c r="AG352" s="67"/>
      <c r="AH352" s="2"/>
      <c r="AI352" s="2"/>
      <c r="AJ352" s="2"/>
      <c r="AK352" s="2"/>
      <c r="AL352" s="2"/>
    </row>
    <row r="353" spans="1:38" ht="14.45">
      <c r="A353" s="156">
        <v>352</v>
      </c>
      <c r="B353" s="55">
        <v>45746</v>
      </c>
      <c r="C353" s="33"/>
      <c r="D353" s="14" t="s">
        <v>706</v>
      </c>
      <c r="E353" s="15">
        <v>2079572</v>
      </c>
      <c r="F353" s="14" t="s">
        <v>707</v>
      </c>
      <c r="G353" s="14" t="s">
        <v>35</v>
      </c>
      <c r="H353" s="14" t="s">
        <v>36</v>
      </c>
      <c r="I353" s="14" t="s">
        <v>52</v>
      </c>
      <c r="J353" s="97">
        <f t="shared" si="80"/>
        <v>45646</v>
      </c>
      <c r="L353" s="19" t="str">
        <f t="shared" si="81"/>
        <v/>
      </c>
      <c r="M353" s="5">
        <f t="shared" si="82"/>
        <v>45657</v>
      </c>
      <c r="N353" s="5">
        <v>45666</v>
      </c>
      <c r="O353" s="19">
        <f t="shared" si="83"/>
        <v>-9</v>
      </c>
      <c r="P353" s="5">
        <f t="shared" si="84"/>
        <v>45672</v>
      </c>
      <c r="R353" s="19" t="str">
        <f t="shared" si="85"/>
        <v/>
      </c>
      <c r="S353" s="5">
        <f t="shared" si="95"/>
        <v>45677</v>
      </c>
      <c r="T353" s="4">
        <v>45726</v>
      </c>
      <c r="U353" s="19">
        <f t="shared" si="86"/>
        <v>-49</v>
      </c>
      <c r="V353" s="5">
        <f t="shared" si="87"/>
        <v>45716</v>
      </c>
      <c r="W353" s="4">
        <v>45728</v>
      </c>
      <c r="X353" s="19">
        <f t="shared" si="88"/>
        <v>-12</v>
      </c>
      <c r="Y353" s="51">
        <f t="shared" si="89"/>
        <v>45741</v>
      </c>
      <c r="AA353" s="49" t="str">
        <f t="shared" si="90"/>
        <v/>
      </c>
      <c r="AB353" s="51">
        <f t="shared" si="91"/>
        <v>45746</v>
      </c>
      <c r="AC353" s="49" t="str">
        <f t="shared" si="92"/>
        <v/>
      </c>
      <c r="AD353" s="43">
        <f t="shared" si="93"/>
        <v>45746</v>
      </c>
      <c r="AF353" s="19" t="str">
        <f t="shared" si="94"/>
        <v/>
      </c>
      <c r="AG353" s="67"/>
      <c r="AH353" s="2"/>
      <c r="AI353" s="2"/>
      <c r="AJ353" s="2"/>
      <c r="AK353" s="2"/>
      <c r="AL353" s="2"/>
    </row>
    <row r="354" spans="1:38" ht="14.45">
      <c r="A354" s="156">
        <v>353</v>
      </c>
      <c r="B354" s="55">
        <v>45746</v>
      </c>
      <c r="C354" s="39" t="s">
        <v>708</v>
      </c>
      <c r="D354" s="14" t="s">
        <v>38</v>
      </c>
      <c r="E354" s="15">
        <v>151.41</v>
      </c>
      <c r="F354" s="14" t="s">
        <v>709</v>
      </c>
      <c r="G354" s="14" t="s">
        <v>190</v>
      </c>
      <c r="H354" s="14" t="s">
        <v>40</v>
      </c>
      <c r="I354" s="14" t="s">
        <v>41</v>
      </c>
      <c r="J354" s="97">
        <f t="shared" si="80"/>
        <v>45646</v>
      </c>
      <c r="L354" s="19" t="str">
        <f t="shared" si="81"/>
        <v/>
      </c>
      <c r="M354" s="5">
        <f t="shared" si="82"/>
        <v>45657</v>
      </c>
      <c r="N354" s="4">
        <v>45666</v>
      </c>
      <c r="O354" s="19">
        <f t="shared" si="83"/>
        <v>-9</v>
      </c>
      <c r="P354" s="5">
        <f t="shared" si="84"/>
        <v>45672</v>
      </c>
      <c r="Q354" s="4">
        <v>45701</v>
      </c>
      <c r="R354" s="19">
        <f t="shared" si="85"/>
        <v>-29</v>
      </c>
      <c r="S354" s="5">
        <f t="shared" si="95"/>
        <v>45677</v>
      </c>
      <c r="T354" s="4">
        <v>45716</v>
      </c>
      <c r="U354" s="19">
        <f t="shared" si="86"/>
        <v>-39</v>
      </c>
      <c r="V354" s="5">
        <f t="shared" si="87"/>
        <v>45716</v>
      </c>
      <c r="W354" s="4">
        <v>45724</v>
      </c>
      <c r="X354" s="19">
        <f t="shared" si="88"/>
        <v>-8</v>
      </c>
      <c r="Y354" s="51">
        <f t="shared" si="89"/>
        <v>45741</v>
      </c>
      <c r="Z354" s="4">
        <v>45724</v>
      </c>
      <c r="AA354" s="49">
        <f t="shared" si="90"/>
        <v>17</v>
      </c>
      <c r="AB354" s="51">
        <f t="shared" si="91"/>
        <v>45746</v>
      </c>
      <c r="AC354" s="49">
        <f t="shared" si="92"/>
        <v>22</v>
      </c>
      <c r="AD354" s="43">
        <f t="shared" si="93"/>
        <v>45746</v>
      </c>
      <c r="AE354" s="4">
        <v>45724</v>
      </c>
      <c r="AF354" s="19">
        <f t="shared" si="94"/>
        <v>22</v>
      </c>
      <c r="AG354" s="67"/>
      <c r="AH354" s="2"/>
      <c r="AI354" s="2"/>
      <c r="AJ354" s="2"/>
      <c r="AK354" s="2"/>
      <c r="AL354" s="2"/>
    </row>
    <row r="355" spans="1:38" ht="14.45">
      <c r="A355" s="156">
        <v>354</v>
      </c>
      <c r="B355" s="55">
        <v>45746</v>
      </c>
      <c r="C355" s="40" t="s">
        <v>179</v>
      </c>
      <c r="D355" s="14" t="s">
        <v>180</v>
      </c>
      <c r="E355" s="15">
        <v>41437.96</v>
      </c>
      <c r="F355" s="14" t="s">
        <v>181</v>
      </c>
      <c r="G355" s="10" t="s">
        <v>120</v>
      </c>
      <c r="H355" s="14" t="s">
        <v>40</v>
      </c>
      <c r="I355" s="14" t="s">
        <v>710</v>
      </c>
      <c r="J355" s="97">
        <f t="shared" si="80"/>
        <v>45646</v>
      </c>
      <c r="L355" s="19" t="str">
        <f t="shared" si="81"/>
        <v/>
      </c>
      <c r="M355" s="5">
        <f t="shared" si="82"/>
        <v>45657</v>
      </c>
      <c r="O355" s="19" t="str">
        <f t="shared" si="83"/>
        <v/>
      </c>
      <c r="P355" s="5">
        <f t="shared" si="84"/>
        <v>45672</v>
      </c>
      <c r="R355" s="19" t="str">
        <f t="shared" si="85"/>
        <v/>
      </c>
      <c r="S355" s="5">
        <f t="shared" si="95"/>
        <v>45677</v>
      </c>
      <c r="T355" s="4">
        <v>45663</v>
      </c>
      <c r="U355" s="19">
        <f t="shared" si="86"/>
        <v>14</v>
      </c>
      <c r="V355" s="5">
        <f t="shared" si="87"/>
        <v>45716</v>
      </c>
      <c r="W355" s="4">
        <v>45679</v>
      </c>
      <c r="X355" s="19">
        <f t="shared" si="88"/>
        <v>37</v>
      </c>
      <c r="Y355" s="51">
        <f t="shared" si="89"/>
        <v>45741</v>
      </c>
      <c r="AA355" s="49" t="str">
        <f t="shared" si="90"/>
        <v/>
      </c>
      <c r="AB355" s="51">
        <f t="shared" si="91"/>
        <v>45746</v>
      </c>
      <c r="AC355" s="49" t="str">
        <f t="shared" si="92"/>
        <v/>
      </c>
      <c r="AD355" s="43">
        <f t="shared" si="93"/>
        <v>45746</v>
      </c>
      <c r="AF355" s="19" t="str">
        <f t="shared" si="94"/>
        <v/>
      </c>
      <c r="AG355" s="67"/>
      <c r="AH355" s="2"/>
      <c r="AI355" s="2"/>
      <c r="AJ355" s="2"/>
      <c r="AK355" s="2"/>
      <c r="AL355" s="2"/>
    </row>
    <row r="356" spans="1:38" ht="14.45">
      <c r="A356" s="156">
        <v>355</v>
      </c>
      <c r="B356" s="55">
        <v>45747</v>
      </c>
      <c r="C356" s="40" t="s">
        <v>711</v>
      </c>
      <c r="D356" s="14" t="s">
        <v>77</v>
      </c>
      <c r="E356" s="15">
        <v>3229.61</v>
      </c>
      <c r="F356" s="14" t="s">
        <v>712</v>
      </c>
      <c r="G356" s="14" t="s">
        <v>51</v>
      </c>
      <c r="H356" s="14" t="s">
        <v>40</v>
      </c>
      <c r="I356" s="14" t="s">
        <v>52</v>
      </c>
      <c r="J356" s="97">
        <f t="shared" si="80"/>
        <v>45647</v>
      </c>
      <c r="L356" s="19" t="str">
        <f t="shared" si="81"/>
        <v/>
      </c>
      <c r="M356" s="5">
        <f t="shared" si="82"/>
        <v>45658</v>
      </c>
      <c r="O356" s="19" t="str">
        <f t="shared" si="83"/>
        <v/>
      </c>
      <c r="P356" s="5">
        <f t="shared" si="84"/>
        <v>45673</v>
      </c>
      <c r="R356" s="19" t="str">
        <f t="shared" si="85"/>
        <v/>
      </c>
      <c r="S356" s="5">
        <f t="shared" si="95"/>
        <v>45678</v>
      </c>
      <c r="U356" s="19" t="str">
        <f t="shared" si="86"/>
        <v/>
      </c>
      <c r="V356" s="5">
        <f t="shared" si="87"/>
        <v>45717</v>
      </c>
      <c r="X356" s="19" t="str">
        <f t="shared" si="88"/>
        <v/>
      </c>
      <c r="Y356" s="51">
        <f t="shared" si="89"/>
        <v>45742</v>
      </c>
      <c r="AA356" s="49" t="str">
        <f t="shared" si="90"/>
        <v/>
      </c>
      <c r="AB356" s="51">
        <f t="shared" si="91"/>
        <v>45747</v>
      </c>
      <c r="AC356" s="49" t="str">
        <f t="shared" si="92"/>
        <v/>
      </c>
      <c r="AD356" s="43">
        <f t="shared" si="93"/>
        <v>45747</v>
      </c>
      <c r="AF356" s="19" t="str">
        <f t="shared" si="94"/>
        <v/>
      </c>
      <c r="AG356" s="67" t="s">
        <v>367</v>
      </c>
      <c r="AH356" s="2"/>
      <c r="AI356" s="2"/>
      <c r="AJ356" s="2"/>
      <c r="AK356" s="2"/>
      <c r="AL356" s="2"/>
    </row>
    <row r="357" spans="1:38" ht="14.45">
      <c r="A357" s="156">
        <v>356</v>
      </c>
      <c r="B357" s="55">
        <v>45747</v>
      </c>
      <c r="C357" s="40"/>
      <c r="D357" s="14" t="s">
        <v>183</v>
      </c>
      <c r="E357" s="15">
        <v>49822.8</v>
      </c>
      <c r="F357" s="14" t="s">
        <v>713</v>
      </c>
      <c r="G357" s="10" t="s">
        <v>120</v>
      </c>
      <c r="H357" s="14" t="s">
        <v>40</v>
      </c>
      <c r="I357" s="14" t="s">
        <v>52</v>
      </c>
      <c r="J357" s="97">
        <f t="shared" si="80"/>
        <v>45647</v>
      </c>
      <c r="L357" s="19" t="str">
        <f t="shared" si="81"/>
        <v/>
      </c>
      <c r="M357" s="5">
        <f t="shared" si="82"/>
        <v>45658</v>
      </c>
      <c r="O357" s="19" t="str">
        <f t="shared" si="83"/>
        <v/>
      </c>
      <c r="P357" s="5">
        <f t="shared" si="84"/>
        <v>45673</v>
      </c>
      <c r="R357" s="19" t="str">
        <f t="shared" si="85"/>
        <v/>
      </c>
      <c r="S357" s="5">
        <f t="shared" si="95"/>
        <v>45678</v>
      </c>
      <c r="T357" s="4">
        <v>45671</v>
      </c>
      <c r="U357" s="19">
        <f t="shared" si="86"/>
        <v>7</v>
      </c>
      <c r="V357" s="5">
        <f t="shared" si="87"/>
        <v>45717</v>
      </c>
      <c r="W357" s="4">
        <v>45706</v>
      </c>
      <c r="X357" s="19">
        <f t="shared" si="88"/>
        <v>11</v>
      </c>
      <c r="Y357" s="51">
        <f t="shared" si="89"/>
        <v>45742</v>
      </c>
      <c r="Z357" s="4">
        <v>45784</v>
      </c>
      <c r="AA357" s="49">
        <f t="shared" si="90"/>
        <v>-42</v>
      </c>
      <c r="AB357" s="51">
        <f t="shared" si="91"/>
        <v>45747</v>
      </c>
      <c r="AC357" s="49">
        <f t="shared" si="92"/>
        <v>-37</v>
      </c>
      <c r="AD357" s="43">
        <f t="shared" si="93"/>
        <v>45747</v>
      </c>
      <c r="AE357" s="4">
        <v>45784</v>
      </c>
      <c r="AF357" s="19">
        <f t="shared" si="94"/>
        <v>-37</v>
      </c>
      <c r="AG357" s="67"/>
      <c r="AH357" s="2"/>
      <c r="AI357" s="2"/>
      <c r="AJ357" s="2"/>
      <c r="AK357" s="2"/>
      <c r="AL357" s="2"/>
    </row>
    <row r="358" spans="1:38" ht="14.45">
      <c r="A358" s="156">
        <v>357</v>
      </c>
      <c r="B358" s="55">
        <v>45747</v>
      </c>
      <c r="C358" s="40" t="s">
        <v>714</v>
      </c>
      <c r="D358" s="14" t="s">
        <v>38</v>
      </c>
      <c r="E358" s="15">
        <v>2024.48</v>
      </c>
      <c r="F358" s="14" t="s">
        <v>715</v>
      </c>
      <c r="G358" s="14" t="s">
        <v>190</v>
      </c>
      <c r="H358" s="14" t="s">
        <v>40</v>
      </c>
      <c r="I358" s="14" t="s">
        <v>41</v>
      </c>
      <c r="J358" s="97">
        <f t="shared" si="80"/>
        <v>45647</v>
      </c>
      <c r="L358" s="19" t="str">
        <f t="shared" si="81"/>
        <v/>
      </c>
      <c r="M358" s="5">
        <f t="shared" si="82"/>
        <v>45658</v>
      </c>
      <c r="N358" s="4">
        <v>45335</v>
      </c>
      <c r="O358" s="19">
        <f t="shared" si="83"/>
        <v>323</v>
      </c>
      <c r="P358" s="5">
        <f t="shared" si="84"/>
        <v>45673</v>
      </c>
      <c r="Q358" s="4">
        <v>45701</v>
      </c>
      <c r="R358" s="19">
        <f t="shared" si="85"/>
        <v>-28</v>
      </c>
      <c r="S358" s="5">
        <f t="shared" si="95"/>
        <v>45678</v>
      </c>
      <c r="T358" s="4">
        <v>45714</v>
      </c>
      <c r="U358" s="19">
        <f t="shared" si="86"/>
        <v>-36</v>
      </c>
      <c r="V358" s="5">
        <f t="shared" si="87"/>
        <v>45717</v>
      </c>
      <c r="W358" s="4">
        <v>45724</v>
      </c>
      <c r="X358" s="19">
        <f t="shared" si="88"/>
        <v>-7</v>
      </c>
      <c r="Y358" s="51">
        <f t="shared" si="89"/>
        <v>45742</v>
      </c>
      <c r="Z358" s="4">
        <v>45724</v>
      </c>
      <c r="AA358" s="49">
        <f t="shared" si="90"/>
        <v>18</v>
      </c>
      <c r="AB358" s="51">
        <f t="shared" si="91"/>
        <v>45747</v>
      </c>
      <c r="AC358" s="49">
        <f t="shared" si="92"/>
        <v>23</v>
      </c>
      <c r="AD358" s="43">
        <f t="shared" si="93"/>
        <v>45747</v>
      </c>
      <c r="AE358" s="4">
        <v>45724</v>
      </c>
      <c r="AF358" s="19">
        <f t="shared" si="94"/>
        <v>23</v>
      </c>
      <c r="AG358" s="67"/>
      <c r="AH358" s="2"/>
      <c r="AI358" s="2"/>
      <c r="AJ358" s="2"/>
      <c r="AK358" s="2"/>
      <c r="AL358" s="2"/>
    </row>
    <row r="359" spans="1:38" ht="14.45">
      <c r="A359" s="156">
        <v>358</v>
      </c>
      <c r="B359" s="55">
        <v>45747</v>
      </c>
      <c r="C359" s="40" t="s">
        <v>716</v>
      </c>
      <c r="D359" s="14" t="s">
        <v>717</v>
      </c>
      <c r="E359" s="15">
        <v>21913.57</v>
      </c>
      <c r="F359" s="14" t="s">
        <v>718</v>
      </c>
      <c r="G359" s="14" t="s">
        <v>46</v>
      </c>
      <c r="H359" s="14" t="s">
        <v>40</v>
      </c>
      <c r="I359" s="14" t="s">
        <v>93</v>
      </c>
      <c r="J359" s="97">
        <f t="shared" si="80"/>
        <v>45647</v>
      </c>
      <c r="K359" s="4">
        <v>45667</v>
      </c>
      <c r="L359" s="19">
        <f t="shared" si="81"/>
        <v>-20</v>
      </c>
      <c r="M359" s="5">
        <f t="shared" si="82"/>
        <v>45658</v>
      </c>
      <c r="O359" s="19" t="str">
        <f t="shared" si="83"/>
        <v/>
      </c>
      <c r="P359" s="5">
        <f t="shared" si="84"/>
        <v>45673</v>
      </c>
      <c r="R359" s="19" t="str">
        <f t="shared" si="85"/>
        <v/>
      </c>
      <c r="S359" s="5">
        <f t="shared" si="95"/>
        <v>45678</v>
      </c>
      <c r="T359" s="4">
        <v>45666</v>
      </c>
      <c r="U359" s="19">
        <f t="shared" si="86"/>
        <v>12</v>
      </c>
      <c r="V359" s="5">
        <f t="shared" si="87"/>
        <v>45717</v>
      </c>
      <c r="W359" s="4">
        <v>45720</v>
      </c>
      <c r="X359" s="19">
        <f t="shared" si="88"/>
        <v>-3</v>
      </c>
      <c r="Y359" s="51">
        <f t="shared" si="89"/>
        <v>45742</v>
      </c>
      <c r="Z359" s="4">
        <v>45744</v>
      </c>
      <c r="AA359" s="49">
        <f t="shared" si="90"/>
        <v>-2</v>
      </c>
      <c r="AB359" s="51">
        <f t="shared" si="91"/>
        <v>45747</v>
      </c>
      <c r="AC359" s="49">
        <f t="shared" si="92"/>
        <v>3</v>
      </c>
      <c r="AD359" s="43">
        <f t="shared" si="93"/>
        <v>45747</v>
      </c>
      <c r="AE359" s="4">
        <v>45744</v>
      </c>
      <c r="AF359" s="19">
        <f t="shared" si="94"/>
        <v>3</v>
      </c>
      <c r="AG359" s="67"/>
      <c r="AH359" s="2"/>
      <c r="AI359" s="2"/>
      <c r="AJ359" s="2"/>
      <c r="AK359" s="2"/>
      <c r="AL359" s="2"/>
    </row>
    <row r="360" spans="1:38" ht="14.45">
      <c r="A360" s="156">
        <v>359</v>
      </c>
      <c r="B360" s="55">
        <v>45747</v>
      </c>
      <c r="C360" s="40" t="s">
        <v>719</v>
      </c>
      <c r="D360" s="14" t="s">
        <v>720</v>
      </c>
      <c r="E360" s="15">
        <v>31031.84</v>
      </c>
      <c r="F360" s="14" t="s">
        <v>721</v>
      </c>
      <c r="G360" s="14" t="s">
        <v>35</v>
      </c>
      <c r="H360" s="14" t="s">
        <v>40</v>
      </c>
      <c r="I360" s="14" t="s">
        <v>93</v>
      </c>
      <c r="J360" s="97">
        <f t="shared" si="80"/>
        <v>45647</v>
      </c>
      <c r="L360" s="19" t="str">
        <f t="shared" si="81"/>
        <v/>
      </c>
      <c r="M360" s="5">
        <f t="shared" si="82"/>
        <v>45658</v>
      </c>
      <c r="O360" s="19" t="str">
        <f t="shared" si="83"/>
        <v/>
      </c>
      <c r="P360" s="5">
        <f t="shared" si="84"/>
        <v>45673</v>
      </c>
      <c r="R360" s="19" t="str">
        <f t="shared" si="85"/>
        <v/>
      </c>
      <c r="S360" s="5">
        <f t="shared" si="95"/>
        <v>45678</v>
      </c>
      <c r="T360" s="4">
        <v>45667</v>
      </c>
      <c r="U360" s="19">
        <f t="shared" si="86"/>
        <v>11</v>
      </c>
      <c r="V360" s="5">
        <f t="shared" si="87"/>
        <v>45717</v>
      </c>
      <c r="W360" s="4">
        <v>45730</v>
      </c>
      <c r="X360" s="19">
        <f t="shared" si="88"/>
        <v>-13</v>
      </c>
      <c r="Y360" s="51">
        <f t="shared" si="89"/>
        <v>45742</v>
      </c>
      <c r="Z360" s="4">
        <v>45749</v>
      </c>
      <c r="AA360" s="49">
        <f t="shared" si="90"/>
        <v>-7</v>
      </c>
      <c r="AB360" s="51">
        <f t="shared" si="91"/>
        <v>45747</v>
      </c>
      <c r="AC360" s="49">
        <f t="shared" si="92"/>
        <v>-2</v>
      </c>
      <c r="AD360" s="43">
        <f t="shared" si="93"/>
        <v>45747</v>
      </c>
      <c r="AE360" s="4">
        <v>45749</v>
      </c>
      <c r="AF360" s="19">
        <f t="shared" si="94"/>
        <v>-2</v>
      </c>
      <c r="AG360" s="67"/>
      <c r="AH360" s="2"/>
      <c r="AI360" s="2"/>
      <c r="AJ360" s="2"/>
      <c r="AK360" s="2"/>
      <c r="AL360" s="2"/>
    </row>
    <row r="361" spans="1:38" ht="14.45">
      <c r="A361" s="156">
        <v>360</v>
      </c>
      <c r="B361" s="55">
        <v>45747</v>
      </c>
      <c r="C361" s="40" t="s">
        <v>722</v>
      </c>
      <c r="D361" s="14" t="s">
        <v>723</v>
      </c>
      <c r="E361" s="15">
        <v>9673.9</v>
      </c>
      <c r="F361" s="14" t="s">
        <v>724</v>
      </c>
      <c r="G361" s="14" t="s">
        <v>46</v>
      </c>
      <c r="H361" s="14" t="s">
        <v>40</v>
      </c>
      <c r="I361" s="14" t="s">
        <v>229</v>
      </c>
      <c r="J361" s="97">
        <f t="shared" si="80"/>
        <v>45647</v>
      </c>
      <c r="K361" s="4">
        <v>45667</v>
      </c>
      <c r="L361" s="19">
        <f t="shared" si="81"/>
        <v>-20</v>
      </c>
      <c r="M361" s="5">
        <f t="shared" si="82"/>
        <v>45658</v>
      </c>
      <c r="O361" s="19" t="str">
        <f t="shared" si="83"/>
        <v/>
      </c>
      <c r="P361" s="5">
        <f t="shared" si="84"/>
        <v>45673</v>
      </c>
      <c r="R361" s="19" t="str">
        <f t="shared" si="85"/>
        <v/>
      </c>
      <c r="S361" s="5">
        <f t="shared" si="95"/>
        <v>45678</v>
      </c>
      <c r="T361" s="4">
        <v>45666</v>
      </c>
      <c r="U361" s="19">
        <f t="shared" si="86"/>
        <v>12</v>
      </c>
      <c r="V361" s="5">
        <f t="shared" si="87"/>
        <v>45717</v>
      </c>
      <c r="W361" s="4">
        <v>45709</v>
      </c>
      <c r="X361" s="19">
        <f t="shared" si="88"/>
        <v>8</v>
      </c>
      <c r="Y361" s="51">
        <f t="shared" si="89"/>
        <v>45742</v>
      </c>
      <c r="Z361" s="4">
        <v>45728</v>
      </c>
      <c r="AA361" s="49">
        <f t="shared" si="90"/>
        <v>14</v>
      </c>
      <c r="AB361" s="51">
        <f t="shared" si="91"/>
        <v>45747</v>
      </c>
      <c r="AC361" s="49">
        <f t="shared" si="92"/>
        <v>19</v>
      </c>
      <c r="AD361" s="43">
        <f t="shared" si="93"/>
        <v>45747</v>
      </c>
      <c r="AE361" s="4">
        <v>45728</v>
      </c>
      <c r="AF361" s="19">
        <f t="shared" si="94"/>
        <v>19</v>
      </c>
      <c r="AG361" s="67"/>
      <c r="AH361" s="2"/>
      <c r="AI361" s="2"/>
      <c r="AJ361" s="2"/>
      <c r="AK361" s="2"/>
      <c r="AL361" s="2"/>
    </row>
    <row r="362" spans="1:38" ht="14.45">
      <c r="A362" s="156">
        <v>361</v>
      </c>
      <c r="B362" s="55">
        <v>45747</v>
      </c>
      <c r="C362" s="40" t="s">
        <v>725</v>
      </c>
      <c r="D362" s="14" t="s">
        <v>726</v>
      </c>
      <c r="E362" s="15">
        <v>2100</v>
      </c>
      <c r="F362" s="14" t="s">
        <v>727</v>
      </c>
      <c r="G362" s="14" t="s">
        <v>120</v>
      </c>
      <c r="H362" s="14" t="s">
        <v>40</v>
      </c>
      <c r="I362" s="14" t="s">
        <v>62</v>
      </c>
      <c r="J362" s="97">
        <f t="shared" si="80"/>
        <v>45647</v>
      </c>
      <c r="K362" s="4">
        <v>45664</v>
      </c>
      <c r="L362" s="19">
        <f t="shared" si="81"/>
        <v>-17</v>
      </c>
      <c r="M362" s="5">
        <f t="shared" si="82"/>
        <v>45658</v>
      </c>
      <c r="O362" s="19" t="str">
        <f t="shared" si="83"/>
        <v/>
      </c>
      <c r="P362" s="5">
        <f t="shared" si="84"/>
        <v>45673</v>
      </c>
      <c r="R362" s="19" t="str">
        <f t="shared" si="85"/>
        <v/>
      </c>
      <c r="S362" s="5">
        <f t="shared" si="95"/>
        <v>45678</v>
      </c>
      <c r="T362" s="4">
        <v>45664</v>
      </c>
      <c r="U362" s="19">
        <f t="shared" si="86"/>
        <v>14</v>
      </c>
      <c r="V362" s="5">
        <f t="shared" si="87"/>
        <v>45717</v>
      </c>
      <c r="W362" s="4">
        <v>45715</v>
      </c>
      <c r="X362" s="19">
        <f t="shared" si="88"/>
        <v>2</v>
      </c>
      <c r="Y362" s="51">
        <f t="shared" si="89"/>
        <v>45742</v>
      </c>
      <c r="Z362" s="4">
        <v>45756</v>
      </c>
      <c r="AA362" s="49">
        <f t="shared" si="90"/>
        <v>-14</v>
      </c>
      <c r="AB362" s="51">
        <f t="shared" si="91"/>
        <v>45747</v>
      </c>
      <c r="AC362" s="49">
        <f t="shared" si="92"/>
        <v>-9</v>
      </c>
      <c r="AD362" s="43">
        <f t="shared" si="93"/>
        <v>45747</v>
      </c>
      <c r="AE362" s="4">
        <v>45756</v>
      </c>
      <c r="AF362" s="19">
        <f t="shared" si="94"/>
        <v>-9</v>
      </c>
      <c r="AG362" s="67"/>
      <c r="AH362" s="2"/>
      <c r="AI362" s="2"/>
      <c r="AJ362" s="2"/>
      <c r="AK362" s="2"/>
      <c r="AL362" s="2"/>
    </row>
    <row r="363" spans="1:38" ht="14.45">
      <c r="A363" s="156">
        <v>362</v>
      </c>
      <c r="B363" s="55">
        <v>45747</v>
      </c>
      <c r="C363" s="40" t="s">
        <v>728</v>
      </c>
      <c r="D363" s="14" t="s">
        <v>729</v>
      </c>
      <c r="E363" s="15">
        <v>83409.58</v>
      </c>
      <c r="F363" s="14" t="s">
        <v>730</v>
      </c>
      <c r="G363" s="14" t="s">
        <v>35</v>
      </c>
      <c r="H363" s="14" t="s">
        <v>40</v>
      </c>
      <c r="I363" s="14" t="s">
        <v>93</v>
      </c>
      <c r="J363" s="97">
        <f t="shared" si="80"/>
        <v>45647</v>
      </c>
      <c r="L363" s="19" t="str">
        <f t="shared" si="81"/>
        <v/>
      </c>
      <c r="M363" s="5">
        <f t="shared" si="82"/>
        <v>45658</v>
      </c>
      <c r="O363" s="19" t="str">
        <f t="shared" si="83"/>
        <v/>
      </c>
      <c r="P363" s="5">
        <f t="shared" si="84"/>
        <v>45673</v>
      </c>
      <c r="R363" s="19" t="str">
        <f t="shared" si="85"/>
        <v/>
      </c>
      <c r="S363" s="5">
        <f t="shared" si="95"/>
        <v>45678</v>
      </c>
      <c r="T363" s="4">
        <v>45667</v>
      </c>
      <c r="U363" s="19">
        <f t="shared" si="86"/>
        <v>11</v>
      </c>
      <c r="V363" s="5">
        <f t="shared" si="87"/>
        <v>45717</v>
      </c>
      <c r="W363" s="4">
        <v>45726</v>
      </c>
      <c r="X363" s="19">
        <f t="shared" si="88"/>
        <v>-9</v>
      </c>
      <c r="Y363" s="51">
        <f t="shared" si="89"/>
        <v>45742</v>
      </c>
      <c r="Z363" s="4">
        <v>45770</v>
      </c>
      <c r="AA363" s="49">
        <f t="shared" si="90"/>
        <v>-28</v>
      </c>
      <c r="AB363" s="51">
        <f t="shared" si="91"/>
        <v>45747</v>
      </c>
      <c r="AC363" s="49">
        <f t="shared" si="92"/>
        <v>-23</v>
      </c>
      <c r="AD363" s="43">
        <f t="shared" si="93"/>
        <v>45747</v>
      </c>
      <c r="AE363" s="4">
        <v>45770</v>
      </c>
      <c r="AF363" s="19">
        <f t="shared" si="94"/>
        <v>-23</v>
      </c>
      <c r="AG363" s="67"/>
      <c r="AH363" s="2"/>
      <c r="AI363" s="2"/>
      <c r="AJ363" s="2"/>
      <c r="AK363" s="2"/>
      <c r="AL363" s="2"/>
    </row>
    <row r="364" spans="1:38" ht="14.45">
      <c r="A364" s="156">
        <v>363</v>
      </c>
      <c r="B364" s="55">
        <v>45748</v>
      </c>
      <c r="C364" s="40" t="s">
        <v>731</v>
      </c>
      <c r="D364" s="14" t="s">
        <v>732</v>
      </c>
      <c r="E364" s="15">
        <v>931162.31</v>
      </c>
      <c r="F364" s="14" t="s">
        <v>733</v>
      </c>
      <c r="G364" s="14" t="s">
        <v>35</v>
      </c>
      <c r="H364" s="14" t="s">
        <v>36</v>
      </c>
      <c r="I364" s="14" t="s">
        <v>585</v>
      </c>
      <c r="J364" s="97">
        <f t="shared" si="80"/>
        <v>45648</v>
      </c>
      <c r="L364" s="19" t="str">
        <f t="shared" si="81"/>
        <v/>
      </c>
      <c r="M364" s="5">
        <f t="shared" si="82"/>
        <v>45659</v>
      </c>
      <c r="O364" s="19" t="str">
        <f t="shared" si="83"/>
        <v/>
      </c>
      <c r="P364" s="5">
        <f t="shared" si="84"/>
        <v>45674</v>
      </c>
      <c r="R364" s="19" t="str">
        <f t="shared" si="85"/>
        <v/>
      </c>
      <c r="S364" s="5">
        <f t="shared" si="95"/>
        <v>45679</v>
      </c>
      <c r="U364" s="19" t="str">
        <f t="shared" si="86"/>
        <v/>
      </c>
      <c r="V364" s="5">
        <f t="shared" si="87"/>
        <v>45718</v>
      </c>
      <c r="W364" s="4">
        <v>45729</v>
      </c>
      <c r="X364" s="19">
        <f t="shared" si="88"/>
        <v>-11</v>
      </c>
      <c r="Y364" s="51">
        <f t="shared" si="89"/>
        <v>45743</v>
      </c>
      <c r="Z364" s="4">
        <v>45757</v>
      </c>
      <c r="AA364" s="49">
        <f t="shared" si="90"/>
        <v>-14</v>
      </c>
      <c r="AB364" s="51">
        <f t="shared" si="91"/>
        <v>45748</v>
      </c>
      <c r="AC364" s="49">
        <f t="shared" si="92"/>
        <v>-9</v>
      </c>
      <c r="AD364" s="43">
        <f t="shared" si="93"/>
        <v>45748</v>
      </c>
      <c r="AE364" s="4">
        <v>45757</v>
      </c>
      <c r="AF364" s="19">
        <f t="shared" si="94"/>
        <v>-9</v>
      </c>
      <c r="AG364" s="67"/>
      <c r="AH364" s="2"/>
      <c r="AI364" s="2"/>
      <c r="AJ364" s="2"/>
      <c r="AK364" s="2"/>
      <c r="AL364" s="2"/>
    </row>
    <row r="365" spans="1:38" ht="14.45">
      <c r="A365" s="156">
        <v>364</v>
      </c>
      <c r="B365" s="55">
        <v>45748</v>
      </c>
      <c r="C365" s="40" t="s">
        <v>734</v>
      </c>
      <c r="D365" s="14" t="s">
        <v>735</v>
      </c>
      <c r="E365" s="15">
        <v>4000</v>
      </c>
      <c r="F365" s="14" t="s">
        <v>736</v>
      </c>
      <c r="G365" s="14" t="s">
        <v>35</v>
      </c>
      <c r="H365" s="14" t="s">
        <v>40</v>
      </c>
      <c r="I365" s="14" t="s">
        <v>585</v>
      </c>
      <c r="J365" s="97">
        <f t="shared" si="80"/>
        <v>45648</v>
      </c>
      <c r="L365" s="19" t="str">
        <f t="shared" si="81"/>
        <v/>
      </c>
      <c r="M365" s="5">
        <f t="shared" si="82"/>
        <v>45659</v>
      </c>
      <c r="O365" s="19" t="str">
        <f t="shared" si="83"/>
        <v/>
      </c>
      <c r="P365" s="5">
        <f t="shared" si="84"/>
        <v>45674</v>
      </c>
      <c r="R365" s="19" t="str">
        <f t="shared" si="85"/>
        <v/>
      </c>
      <c r="S365" s="5">
        <f t="shared" si="95"/>
        <v>45679</v>
      </c>
      <c r="U365" s="19" t="str">
        <f t="shared" si="86"/>
        <v/>
      </c>
      <c r="V365" s="5">
        <f t="shared" si="87"/>
        <v>45718</v>
      </c>
      <c r="W365" s="4">
        <v>45734</v>
      </c>
      <c r="X365" s="19">
        <f t="shared" si="88"/>
        <v>-16</v>
      </c>
      <c r="Y365" s="51">
        <f t="shared" si="89"/>
        <v>45743</v>
      </c>
      <c r="Z365" s="4">
        <v>45749</v>
      </c>
      <c r="AA365" s="49">
        <f t="shared" si="90"/>
        <v>-6</v>
      </c>
      <c r="AB365" s="51">
        <f t="shared" si="91"/>
        <v>45748</v>
      </c>
      <c r="AC365" s="49">
        <f t="shared" si="92"/>
        <v>-1</v>
      </c>
      <c r="AD365" s="43">
        <f t="shared" si="93"/>
        <v>45748</v>
      </c>
      <c r="AE365" s="4">
        <v>45749</v>
      </c>
      <c r="AF365" s="19">
        <f t="shared" si="94"/>
        <v>-1</v>
      </c>
      <c r="AG365" s="67"/>
      <c r="AH365" s="2"/>
      <c r="AI365" s="2"/>
      <c r="AJ365" s="2"/>
      <c r="AK365" s="2"/>
      <c r="AL365" s="2"/>
    </row>
    <row r="366" spans="1:38" ht="14.45">
      <c r="A366" s="156">
        <v>365</v>
      </c>
      <c r="B366" s="55">
        <v>45748</v>
      </c>
      <c r="C366" s="40" t="s">
        <v>737</v>
      </c>
      <c r="D366" s="14" t="s">
        <v>738</v>
      </c>
      <c r="E366" s="15">
        <v>25007</v>
      </c>
      <c r="F366" s="14" t="s">
        <v>739</v>
      </c>
      <c r="G366" s="14" t="s">
        <v>190</v>
      </c>
      <c r="H366" s="14" t="s">
        <v>40</v>
      </c>
      <c r="I366" s="14" t="s">
        <v>585</v>
      </c>
      <c r="J366" s="97">
        <f t="shared" si="80"/>
        <v>45648</v>
      </c>
      <c r="K366" s="4">
        <v>45299</v>
      </c>
      <c r="L366" s="19">
        <f t="shared" si="81"/>
        <v>349</v>
      </c>
      <c r="M366" s="5">
        <f t="shared" si="82"/>
        <v>45659</v>
      </c>
      <c r="O366" s="19" t="str">
        <f t="shared" si="83"/>
        <v/>
      </c>
      <c r="P366" s="5">
        <f t="shared" si="84"/>
        <v>45674</v>
      </c>
      <c r="R366" s="19" t="str">
        <f t="shared" si="85"/>
        <v/>
      </c>
      <c r="S366" s="5">
        <f t="shared" si="95"/>
        <v>45679</v>
      </c>
      <c r="T366" s="4">
        <v>45666</v>
      </c>
      <c r="U366" s="19">
        <f t="shared" si="86"/>
        <v>13</v>
      </c>
      <c r="V366" s="5">
        <f t="shared" si="87"/>
        <v>45718</v>
      </c>
      <c r="W366" s="4">
        <v>45712</v>
      </c>
      <c r="X366" s="19">
        <f t="shared" si="88"/>
        <v>6</v>
      </c>
      <c r="Y366" s="51">
        <f t="shared" si="89"/>
        <v>45743</v>
      </c>
      <c r="Z366" s="4">
        <v>45758</v>
      </c>
      <c r="AA366" s="49">
        <f t="shared" si="90"/>
        <v>-15</v>
      </c>
      <c r="AB366" s="51">
        <f t="shared" si="91"/>
        <v>45748</v>
      </c>
      <c r="AC366" s="49">
        <f t="shared" si="92"/>
        <v>-10</v>
      </c>
      <c r="AD366" s="43">
        <f t="shared" si="93"/>
        <v>45748</v>
      </c>
      <c r="AE366" s="4">
        <v>45758</v>
      </c>
      <c r="AF366" s="19">
        <f t="shared" si="94"/>
        <v>-10</v>
      </c>
      <c r="AG366" s="67"/>
      <c r="AH366" s="2"/>
      <c r="AI366" s="2"/>
      <c r="AJ366" s="2"/>
      <c r="AK366" s="2"/>
      <c r="AL366" s="2"/>
    </row>
    <row r="367" spans="1:38" ht="14.45">
      <c r="A367" s="156">
        <v>366</v>
      </c>
      <c r="B367" s="55">
        <v>45748</v>
      </c>
      <c r="C367" s="40" t="s">
        <v>740</v>
      </c>
      <c r="D367" s="14" t="s">
        <v>38</v>
      </c>
      <c r="E367" s="15">
        <v>184.14</v>
      </c>
      <c r="F367" s="14" t="s">
        <v>260</v>
      </c>
      <c r="G367" s="14" t="s">
        <v>190</v>
      </c>
      <c r="H367" s="14" t="s">
        <v>40</v>
      </c>
      <c r="I367" s="14" t="s">
        <v>41</v>
      </c>
      <c r="J367" s="97">
        <f t="shared" si="80"/>
        <v>45648</v>
      </c>
      <c r="L367" s="19" t="str">
        <f t="shared" si="81"/>
        <v/>
      </c>
      <c r="M367" s="5">
        <f t="shared" si="82"/>
        <v>45659</v>
      </c>
      <c r="N367" s="4">
        <v>45729</v>
      </c>
      <c r="O367" s="19">
        <f t="shared" si="83"/>
        <v>-70</v>
      </c>
      <c r="P367" s="5">
        <f t="shared" si="84"/>
        <v>45674</v>
      </c>
      <c r="Q367" s="4">
        <v>45741</v>
      </c>
      <c r="R367" s="19">
        <f t="shared" si="85"/>
        <v>-67</v>
      </c>
      <c r="S367" s="5">
        <f t="shared" si="95"/>
        <v>45679</v>
      </c>
      <c r="T367" s="4">
        <v>45742</v>
      </c>
      <c r="U367" s="19">
        <f t="shared" si="86"/>
        <v>-63</v>
      </c>
      <c r="V367" s="5">
        <f t="shared" si="87"/>
        <v>45718</v>
      </c>
      <c r="W367" s="4">
        <v>45742</v>
      </c>
      <c r="X367" s="19">
        <f t="shared" si="88"/>
        <v>-24</v>
      </c>
      <c r="Y367" s="51">
        <f t="shared" si="89"/>
        <v>45743</v>
      </c>
      <c r="Z367" s="4">
        <v>45762</v>
      </c>
      <c r="AA367" s="49">
        <f t="shared" si="90"/>
        <v>-19</v>
      </c>
      <c r="AB367" s="51">
        <f t="shared" si="91"/>
        <v>45748</v>
      </c>
      <c r="AC367" s="49">
        <f t="shared" si="92"/>
        <v>-14</v>
      </c>
      <c r="AD367" s="43">
        <f t="shared" si="93"/>
        <v>45748</v>
      </c>
      <c r="AE367" s="4">
        <v>45762</v>
      </c>
      <c r="AF367" s="19">
        <f t="shared" si="94"/>
        <v>-14</v>
      </c>
      <c r="AG367" s="67"/>
      <c r="AH367" s="2"/>
      <c r="AI367" s="2"/>
      <c r="AJ367" s="2"/>
      <c r="AK367" s="2"/>
      <c r="AL367" s="2"/>
    </row>
    <row r="368" spans="1:38" ht="14.45">
      <c r="A368" s="156">
        <v>367</v>
      </c>
      <c r="B368" s="55">
        <v>45750</v>
      </c>
      <c r="C368" s="40" t="s">
        <v>741</v>
      </c>
      <c r="D368" s="14" t="s">
        <v>742</v>
      </c>
      <c r="E368" s="15">
        <v>44006.77</v>
      </c>
      <c r="F368" s="14" t="s">
        <v>743</v>
      </c>
      <c r="G368" s="14" t="s">
        <v>190</v>
      </c>
      <c r="H368" s="14" t="s">
        <v>40</v>
      </c>
      <c r="I368" s="14" t="s">
        <v>585</v>
      </c>
      <c r="J368" s="97">
        <f t="shared" si="80"/>
        <v>45650</v>
      </c>
      <c r="K368" s="4">
        <v>45299</v>
      </c>
      <c r="L368" s="19">
        <f t="shared" si="81"/>
        <v>351</v>
      </c>
      <c r="M368" s="5">
        <f t="shared" si="82"/>
        <v>45661</v>
      </c>
      <c r="O368" s="19" t="str">
        <f t="shared" si="83"/>
        <v/>
      </c>
      <c r="P368" s="5">
        <f t="shared" si="84"/>
        <v>45676</v>
      </c>
      <c r="R368" s="19" t="str">
        <f t="shared" si="85"/>
        <v/>
      </c>
      <c r="S368" s="5">
        <f t="shared" si="95"/>
        <v>45681</v>
      </c>
      <c r="T368" s="4">
        <v>45670</v>
      </c>
      <c r="U368" s="19">
        <f t="shared" si="86"/>
        <v>11</v>
      </c>
      <c r="V368" s="5">
        <f t="shared" si="87"/>
        <v>45720</v>
      </c>
      <c r="W368" s="4">
        <v>45726</v>
      </c>
      <c r="X368" s="19">
        <f t="shared" si="88"/>
        <v>-6</v>
      </c>
      <c r="Y368" s="51">
        <f t="shared" si="89"/>
        <v>45745</v>
      </c>
      <c r="Z368" s="4">
        <v>45751</v>
      </c>
      <c r="AA368" s="49">
        <f t="shared" si="90"/>
        <v>-6</v>
      </c>
      <c r="AB368" s="51">
        <f t="shared" si="91"/>
        <v>45750</v>
      </c>
      <c r="AC368" s="49">
        <f t="shared" si="92"/>
        <v>-1</v>
      </c>
      <c r="AD368" s="43">
        <f t="shared" si="93"/>
        <v>45750</v>
      </c>
      <c r="AE368" s="4">
        <v>45751</v>
      </c>
      <c r="AF368" s="19">
        <f t="shared" si="94"/>
        <v>-1</v>
      </c>
      <c r="AG368" s="67"/>
      <c r="AH368" s="2"/>
      <c r="AI368" s="2"/>
      <c r="AJ368" s="2"/>
      <c r="AK368" s="2"/>
      <c r="AL368" s="2"/>
    </row>
    <row r="369" spans="1:38" ht="14.45">
      <c r="A369" s="156">
        <v>368</v>
      </c>
      <c r="B369" s="55">
        <v>45750</v>
      </c>
      <c r="C369" s="40" t="s">
        <v>744</v>
      </c>
      <c r="D369" s="14" t="s">
        <v>362</v>
      </c>
      <c r="E369" s="15">
        <v>88853.11</v>
      </c>
      <c r="F369" s="14" t="s">
        <v>745</v>
      </c>
      <c r="G369" s="14" t="s">
        <v>35</v>
      </c>
      <c r="H369" s="14" t="s">
        <v>36</v>
      </c>
      <c r="I369" s="14" t="s">
        <v>585</v>
      </c>
      <c r="J369" s="97">
        <f t="shared" si="80"/>
        <v>45650</v>
      </c>
      <c r="L369" s="19" t="str">
        <f t="shared" si="81"/>
        <v/>
      </c>
      <c r="M369" s="5">
        <f t="shared" si="82"/>
        <v>45661</v>
      </c>
      <c r="O369" s="19" t="str">
        <f t="shared" si="83"/>
        <v/>
      </c>
      <c r="P369" s="5">
        <f t="shared" si="84"/>
        <v>45676</v>
      </c>
      <c r="R369" s="19" t="str">
        <f t="shared" si="85"/>
        <v/>
      </c>
      <c r="S369" s="5">
        <f t="shared" si="95"/>
        <v>45681</v>
      </c>
      <c r="U369" s="19" t="str">
        <f t="shared" si="86"/>
        <v/>
      </c>
      <c r="V369" s="5">
        <f t="shared" si="87"/>
        <v>45720</v>
      </c>
      <c r="W369" s="4">
        <v>45722</v>
      </c>
      <c r="X369" s="19">
        <f t="shared" si="88"/>
        <v>-2</v>
      </c>
      <c r="Y369" s="51">
        <f t="shared" si="89"/>
        <v>45745</v>
      </c>
      <c r="Z369" s="4">
        <v>45745</v>
      </c>
      <c r="AA369" s="49">
        <f t="shared" si="90"/>
        <v>0</v>
      </c>
      <c r="AB369" s="51">
        <f t="shared" si="91"/>
        <v>45750</v>
      </c>
      <c r="AC369" s="49">
        <f t="shared" si="92"/>
        <v>5</v>
      </c>
      <c r="AD369" s="43">
        <f t="shared" si="93"/>
        <v>45750</v>
      </c>
      <c r="AE369" s="4">
        <v>45745</v>
      </c>
      <c r="AF369" s="19">
        <f t="shared" si="94"/>
        <v>5</v>
      </c>
      <c r="AG369" s="67"/>
      <c r="AH369" s="2"/>
      <c r="AI369" s="2"/>
      <c r="AJ369" s="2"/>
      <c r="AK369" s="2"/>
      <c r="AL369" s="2"/>
    </row>
    <row r="370" spans="1:38" ht="14.45">
      <c r="A370" s="156">
        <v>369</v>
      </c>
      <c r="B370" s="55">
        <v>45751</v>
      </c>
      <c r="C370" s="40" t="s">
        <v>746</v>
      </c>
      <c r="D370" s="14" t="s">
        <v>38</v>
      </c>
      <c r="E370" s="15">
        <v>3604.98</v>
      </c>
      <c r="F370" s="14" t="s">
        <v>747</v>
      </c>
      <c r="G370" s="14" t="s">
        <v>190</v>
      </c>
      <c r="H370" s="14" t="s">
        <v>40</v>
      </c>
      <c r="I370" s="14" t="s">
        <v>41</v>
      </c>
      <c r="J370" s="97">
        <f t="shared" si="80"/>
        <v>45651</v>
      </c>
      <c r="L370" s="19" t="str">
        <f t="shared" si="81"/>
        <v/>
      </c>
      <c r="M370" s="5">
        <f t="shared" si="82"/>
        <v>45662</v>
      </c>
      <c r="N370" s="4">
        <v>45729</v>
      </c>
      <c r="O370" s="19">
        <f t="shared" si="83"/>
        <v>-67</v>
      </c>
      <c r="P370" s="5">
        <f t="shared" si="84"/>
        <v>45677</v>
      </c>
      <c r="Q370" s="4">
        <v>45741</v>
      </c>
      <c r="R370" s="19">
        <f t="shared" si="85"/>
        <v>-64</v>
      </c>
      <c r="S370" s="5">
        <f t="shared" si="95"/>
        <v>45682</v>
      </c>
      <c r="T370" s="4">
        <v>45742</v>
      </c>
      <c r="U370" s="19">
        <f t="shared" si="86"/>
        <v>-60</v>
      </c>
      <c r="V370" s="5">
        <f t="shared" si="87"/>
        <v>45721</v>
      </c>
      <c r="W370" s="4">
        <v>45742</v>
      </c>
      <c r="X370" s="19">
        <f t="shared" si="88"/>
        <v>-21</v>
      </c>
      <c r="Y370" s="51">
        <f t="shared" si="89"/>
        <v>45746</v>
      </c>
      <c r="Z370" s="4">
        <v>45762</v>
      </c>
      <c r="AA370" s="49">
        <f t="shared" si="90"/>
        <v>-16</v>
      </c>
      <c r="AB370" s="51">
        <f t="shared" si="91"/>
        <v>45751</v>
      </c>
      <c r="AC370" s="49">
        <f t="shared" si="92"/>
        <v>-11</v>
      </c>
      <c r="AD370" s="43">
        <f t="shared" si="93"/>
        <v>45751</v>
      </c>
      <c r="AE370" s="4">
        <v>45762</v>
      </c>
      <c r="AF370" s="19">
        <f t="shared" si="94"/>
        <v>-11</v>
      </c>
      <c r="AG370" s="67"/>
      <c r="AH370" s="2"/>
      <c r="AI370" s="2"/>
      <c r="AJ370" s="2"/>
      <c r="AK370" s="2"/>
      <c r="AL370" s="2"/>
    </row>
    <row r="371" spans="1:38" ht="14.45">
      <c r="A371" s="156">
        <v>370</v>
      </c>
      <c r="B371" s="55">
        <v>45751</v>
      </c>
      <c r="C371" s="40" t="s">
        <v>748</v>
      </c>
      <c r="D371" s="14" t="s">
        <v>38</v>
      </c>
      <c r="E371" s="15">
        <v>216.63</v>
      </c>
      <c r="F371" s="14" t="s">
        <v>749</v>
      </c>
      <c r="G371" s="14" t="s">
        <v>190</v>
      </c>
      <c r="H371" s="14" t="s">
        <v>40</v>
      </c>
      <c r="I371" s="14" t="s">
        <v>41</v>
      </c>
      <c r="J371" s="97">
        <f t="shared" si="80"/>
        <v>45651</v>
      </c>
      <c r="L371" s="19" t="str">
        <f t="shared" si="81"/>
        <v/>
      </c>
      <c r="M371" s="5">
        <f t="shared" si="82"/>
        <v>45662</v>
      </c>
      <c r="N371" s="4">
        <v>45729</v>
      </c>
      <c r="O371" s="19">
        <f t="shared" si="83"/>
        <v>-67</v>
      </c>
      <c r="P371" s="5">
        <f t="shared" si="84"/>
        <v>45677</v>
      </c>
      <c r="Q371" s="4">
        <v>45741</v>
      </c>
      <c r="R371" s="19">
        <f t="shared" si="85"/>
        <v>-64</v>
      </c>
      <c r="S371" s="5">
        <f t="shared" si="95"/>
        <v>45682</v>
      </c>
      <c r="T371" s="4">
        <v>45742</v>
      </c>
      <c r="U371" s="19">
        <f t="shared" si="86"/>
        <v>-60</v>
      </c>
      <c r="V371" s="5">
        <f t="shared" si="87"/>
        <v>45721</v>
      </c>
      <c r="W371" s="4">
        <v>45742</v>
      </c>
      <c r="X371" s="19">
        <f t="shared" si="88"/>
        <v>-21</v>
      </c>
      <c r="Y371" s="51">
        <f t="shared" si="89"/>
        <v>45746</v>
      </c>
      <c r="Z371" s="4">
        <v>45762</v>
      </c>
      <c r="AA371" s="49">
        <f t="shared" si="90"/>
        <v>-16</v>
      </c>
      <c r="AB371" s="51">
        <f t="shared" si="91"/>
        <v>45751</v>
      </c>
      <c r="AC371" s="49">
        <f t="shared" si="92"/>
        <v>-11</v>
      </c>
      <c r="AD371" s="43">
        <f t="shared" si="93"/>
        <v>45751</v>
      </c>
      <c r="AE371" s="4">
        <v>45762</v>
      </c>
      <c r="AF371" s="19">
        <f t="shared" si="94"/>
        <v>-11</v>
      </c>
      <c r="AG371" s="67"/>
      <c r="AH371" s="2"/>
      <c r="AI371" s="2"/>
      <c r="AJ371" s="2"/>
      <c r="AK371" s="2"/>
      <c r="AL371" s="2"/>
    </row>
    <row r="372" spans="1:38" ht="28.9">
      <c r="A372" s="156">
        <v>371</v>
      </c>
      <c r="B372" s="55">
        <v>45752</v>
      </c>
      <c r="C372" s="40" t="s">
        <v>750</v>
      </c>
      <c r="D372" s="18" t="s">
        <v>751</v>
      </c>
      <c r="E372" s="15">
        <v>5668.35</v>
      </c>
      <c r="F372" s="14" t="s">
        <v>752</v>
      </c>
      <c r="G372" s="14" t="s">
        <v>51</v>
      </c>
      <c r="H372" s="14" t="s">
        <v>40</v>
      </c>
      <c r="I372" s="14" t="s">
        <v>585</v>
      </c>
      <c r="J372" s="97">
        <f t="shared" si="80"/>
        <v>45652</v>
      </c>
      <c r="L372" s="19" t="str">
        <f t="shared" si="81"/>
        <v/>
      </c>
      <c r="M372" s="5">
        <f t="shared" si="82"/>
        <v>45663</v>
      </c>
      <c r="N372" s="4">
        <v>45677</v>
      </c>
      <c r="O372" s="19">
        <f t="shared" si="83"/>
        <v>-14</v>
      </c>
      <c r="P372" s="5">
        <f t="shared" si="84"/>
        <v>45678</v>
      </c>
      <c r="R372" s="19" t="str">
        <f t="shared" si="85"/>
        <v/>
      </c>
      <c r="S372" s="5">
        <f t="shared" si="95"/>
        <v>45683</v>
      </c>
      <c r="U372" s="19" t="str">
        <f t="shared" si="86"/>
        <v/>
      </c>
      <c r="V372" s="5">
        <f t="shared" si="87"/>
        <v>45722</v>
      </c>
      <c r="W372" s="4">
        <v>45698</v>
      </c>
      <c r="X372" s="19">
        <f t="shared" si="88"/>
        <v>24</v>
      </c>
      <c r="Y372" s="51">
        <f t="shared" si="89"/>
        <v>45747</v>
      </c>
      <c r="Z372" s="4">
        <v>45751</v>
      </c>
      <c r="AA372" s="49">
        <f t="shared" si="90"/>
        <v>-4</v>
      </c>
      <c r="AB372" s="51">
        <f t="shared" si="91"/>
        <v>45752</v>
      </c>
      <c r="AC372" s="49">
        <f t="shared" si="92"/>
        <v>1</v>
      </c>
      <c r="AD372" s="43">
        <f t="shared" si="93"/>
        <v>45752</v>
      </c>
      <c r="AE372" s="4">
        <v>45751</v>
      </c>
      <c r="AF372" s="19">
        <f t="shared" si="94"/>
        <v>1</v>
      </c>
      <c r="AG372" s="67"/>
      <c r="AH372" s="2"/>
      <c r="AI372" s="2"/>
      <c r="AJ372" s="2"/>
      <c r="AK372" s="2"/>
      <c r="AL372" s="2"/>
    </row>
    <row r="373" spans="1:38" ht="14.45">
      <c r="A373" s="156">
        <v>372</v>
      </c>
      <c r="B373" s="55">
        <v>45752</v>
      </c>
      <c r="C373" s="40" t="s">
        <v>753</v>
      </c>
      <c r="D373" s="14" t="s">
        <v>38</v>
      </c>
      <c r="E373" s="15">
        <v>215.97</v>
      </c>
      <c r="F373" s="14" t="s">
        <v>754</v>
      </c>
      <c r="G373" s="14" t="s">
        <v>190</v>
      </c>
      <c r="H373" s="14" t="s">
        <v>40</v>
      </c>
      <c r="I373" s="14" t="s">
        <v>41</v>
      </c>
      <c r="J373" s="97">
        <f t="shared" si="80"/>
        <v>45652</v>
      </c>
      <c r="L373" s="19" t="str">
        <f t="shared" si="81"/>
        <v/>
      </c>
      <c r="M373" s="5">
        <f t="shared" si="82"/>
        <v>45663</v>
      </c>
      <c r="N373" s="4">
        <v>45729</v>
      </c>
      <c r="O373" s="19">
        <f t="shared" si="83"/>
        <v>-66</v>
      </c>
      <c r="P373" s="5">
        <f t="shared" si="84"/>
        <v>45678</v>
      </c>
      <c r="Q373" s="4">
        <v>45741</v>
      </c>
      <c r="R373" s="19">
        <f t="shared" si="85"/>
        <v>-63</v>
      </c>
      <c r="S373" s="5">
        <f t="shared" si="95"/>
        <v>45683</v>
      </c>
      <c r="T373" s="4">
        <v>45742</v>
      </c>
      <c r="U373" s="19">
        <f t="shared" si="86"/>
        <v>-59</v>
      </c>
      <c r="V373" s="5">
        <f t="shared" si="87"/>
        <v>45722</v>
      </c>
      <c r="W373" s="4">
        <v>45742</v>
      </c>
      <c r="X373" s="19">
        <f t="shared" si="88"/>
        <v>-20</v>
      </c>
      <c r="Y373" s="51">
        <f t="shared" si="89"/>
        <v>45747</v>
      </c>
      <c r="Z373" s="4">
        <v>45762</v>
      </c>
      <c r="AA373" s="49">
        <f t="shared" si="90"/>
        <v>-15</v>
      </c>
      <c r="AB373" s="51">
        <f t="shared" si="91"/>
        <v>45752</v>
      </c>
      <c r="AC373" s="49">
        <f t="shared" si="92"/>
        <v>-10</v>
      </c>
      <c r="AD373" s="43">
        <f t="shared" si="93"/>
        <v>45752</v>
      </c>
      <c r="AE373" s="4">
        <v>45762</v>
      </c>
      <c r="AF373" s="19">
        <f t="shared" si="94"/>
        <v>-10</v>
      </c>
      <c r="AG373" s="67"/>
      <c r="AH373" s="2"/>
      <c r="AI373" s="2"/>
      <c r="AJ373" s="2"/>
      <c r="AK373" s="2"/>
      <c r="AL373" s="2"/>
    </row>
    <row r="374" spans="1:38" ht="14.45">
      <c r="A374" s="156">
        <v>373</v>
      </c>
      <c r="B374" s="55">
        <v>45752</v>
      </c>
      <c r="C374" s="40" t="s">
        <v>755</v>
      </c>
      <c r="D374" s="14" t="s">
        <v>38</v>
      </c>
      <c r="E374" s="15">
        <v>203.24</v>
      </c>
      <c r="F374" s="14" t="s">
        <v>756</v>
      </c>
      <c r="G374" s="14" t="s">
        <v>190</v>
      </c>
      <c r="H374" s="14" t="s">
        <v>40</v>
      </c>
      <c r="I374" s="14" t="s">
        <v>41</v>
      </c>
      <c r="J374" s="97">
        <f t="shared" si="80"/>
        <v>45652</v>
      </c>
      <c r="L374" s="19" t="str">
        <f t="shared" si="81"/>
        <v/>
      </c>
      <c r="M374" s="5">
        <f t="shared" si="82"/>
        <v>45663</v>
      </c>
      <c r="N374" s="4">
        <v>45729</v>
      </c>
      <c r="O374" s="19">
        <f t="shared" si="83"/>
        <v>-66</v>
      </c>
      <c r="P374" s="5">
        <f t="shared" si="84"/>
        <v>45678</v>
      </c>
      <c r="Q374" s="4">
        <v>45741</v>
      </c>
      <c r="R374" s="19">
        <f t="shared" si="85"/>
        <v>-63</v>
      </c>
      <c r="S374" s="5">
        <f t="shared" si="95"/>
        <v>45683</v>
      </c>
      <c r="T374" s="4">
        <v>45742</v>
      </c>
      <c r="U374" s="19">
        <f t="shared" si="86"/>
        <v>-59</v>
      </c>
      <c r="V374" s="5">
        <f t="shared" si="87"/>
        <v>45722</v>
      </c>
      <c r="W374" s="4">
        <v>45742</v>
      </c>
      <c r="X374" s="19">
        <f t="shared" si="88"/>
        <v>-20</v>
      </c>
      <c r="Y374" s="51">
        <f t="shared" si="89"/>
        <v>45747</v>
      </c>
      <c r="Z374" s="4">
        <v>45762</v>
      </c>
      <c r="AA374" s="49">
        <f t="shared" si="90"/>
        <v>-15</v>
      </c>
      <c r="AB374" s="51">
        <f t="shared" si="91"/>
        <v>45752</v>
      </c>
      <c r="AC374" s="49">
        <f t="shared" si="92"/>
        <v>-10</v>
      </c>
      <c r="AD374" s="43">
        <f t="shared" si="93"/>
        <v>45752</v>
      </c>
      <c r="AE374" s="4">
        <v>45762</v>
      </c>
      <c r="AF374" s="19">
        <f t="shared" si="94"/>
        <v>-10</v>
      </c>
      <c r="AG374" s="67"/>
      <c r="AH374" s="2"/>
      <c r="AI374" s="2"/>
      <c r="AJ374" s="2"/>
      <c r="AK374" s="2"/>
      <c r="AL374" s="2"/>
    </row>
    <row r="375" spans="1:38" ht="14.45">
      <c r="A375" s="156">
        <v>374</v>
      </c>
      <c r="B375" s="55">
        <v>45752</v>
      </c>
      <c r="C375" s="40" t="s">
        <v>757</v>
      </c>
      <c r="D375" s="14" t="s">
        <v>38</v>
      </c>
      <c r="E375" s="15">
        <v>235.2</v>
      </c>
      <c r="F375" s="14" t="s">
        <v>758</v>
      </c>
      <c r="G375" s="14" t="s">
        <v>190</v>
      </c>
      <c r="H375" s="14" t="s">
        <v>40</v>
      </c>
      <c r="I375" s="14" t="s">
        <v>41</v>
      </c>
      <c r="J375" s="97">
        <f t="shared" si="80"/>
        <v>45652</v>
      </c>
      <c r="L375" s="19" t="str">
        <f t="shared" si="81"/>
        <v/>
      </c>
      <c r="M375" s="5">
        <f t="shared" si="82"/>
        <v>45663</v>
      </c>
      <c r="N375" s="4">
        <v>45729</v>
      </c>
      <c r="O375" s="19">
        <f t="shared" si="83"/>
        <v>-66</v>
      </c>
      <c r="P375" s="5">
        <f t="shared" si="84"/>
        <v>45678</v>
      </c>
      <c r="Q375" s="4">
        <v>45741</v>
      </c>
      <c r="R375" s="19">
        <f t="shared" si="85"/>
        <v>-63</v>
      </c>
      <c r="S375" s="5">
        <f t="shared" si="95"/>
        <v>45683</v>
      </c>
      <c r="T375" s="4">
        <v>45742</v>
      </c>
      <c r="U375" s="19">
        <f t="shared" si="86"/>
        <v>-59</v>
      </c>
      <c r="V375" s="5">
        <f t="shared" si="87"/>
        <v>45722</v>
      </c>
      <c r="W375" s="4">
        <v>45742</v>
      </c>
      <c r="X375" s="19">
        <f t="shared" si="88"/>
        <v>-20</v>
      </c>
      <c r="Y375" s="51">
        <f t="shared" si="89"/>
        <v>45747</v>
      </c>
      <c r="Z375" s="4">
        <v>45762</v>
      </c>
      <c r="AA375" s="49">
        <f t="shared" si="90"/>
        <v>-15</v>
      </c>
      <c r="AB375" s="51">
        <f t="shared" si="91"/>
        <v>45752</v>
      </c>
      <c r="AC375" s="49">
        <f t="shared" si="92"/>
        <v>-10</v>
      </c>
      <c r="AD375" s="43">
        <f t="shared" si="93"/>
        <v>45752</v>
      </c>
      <c r="AE375" s="4">
        <v>45762</v>
      </c>
      <c r="AF375" s="19">
        <f t="shared" si="94"/>
        <v>-10</v>
      </c>
      <c r="AG375" s="67"/>
      <c r="AH375" s="2"/>
      <c r="AI375" s="2"/>
      <c r="AJ375" s="2"/>
      <c r="AK375" s="2"/>
      <c r="AL375" s="2"/>
    </row>
    <row r="376" spans="1:38" ht="14.45">
      <c r="A376" s="156">
        <v>375</v>
      </c>
      <c r="B376" s="55">
        <v>45752</v>
      </c>
      <c r="C376" s="40" t="s">
        <v>759</v>
      </c>
      <c r="D376" s="14" t="s">
        <v>38</v>
      </c>
      <c r="E376" s="15">
        <v>4201.78</v>
      </c>
      <c r="F376" s="14" t="s">
        <v>760</v>
      </c>
      <c r="G376" s="14" t="s">
        <v>190</v>
      </c>
      <c r="H376" s="14" t="s">
        <v>40</v>
      </c>
      <c r="I376" s="14" t="s">
        <v>41</v>
      </c>
      <c r="J376" s="97">
        <f t="shared" si="80"/>
        <v>45652</v>
      </c>
      <c r="L376" s="19" t="str">
        <f t="shared" si="81"/>
        <v/>
      </c>
      <c r="M376" s="5">
        <f t="shared" si="82"/>
        <v>45663</v>
      </c>
      <c r="N376" s="4">
        <v>45729</v>
      </c>
      <c r="O376" s="19">
        <f t="shared" si="83"/>
        <v>-66</v>
      </c>
      <c r="P376" s="5">
        <f t="shared" si="84"/>
        <v>45678</v>
      </c>
      <c r="Q376" s="4">
        <v>45741</v>
      </c>
      <c r="R376" s="19">
        <f t="shared" si="85"/>
        <v>-63</v>
      </c>
      <c r="S376" s="5">
        <f t="shared" si="95"/>
        <v>45683</v>
      </c>
      <c r="T376" s="4">
        <v>45742</v>
      </c>
      <c r="U376" s="19">
        <f t="shared" si="86"/>
        <v>-59</v>
      </c>
      <c r="V376" s="5">
        <f t="shared" si="87"/>
        <v>45722</v>
      </c>
      <c r="W376" s="4">
        <v>45742</v>
      </c>
      <c r="X376" s="19">
        <f t="shared" si="88"/>
        <v>-20</v>
      </c>
      <c r="Y376" s="51">
        <f t="shared" si="89"/>
        <v>45747</v>
      </c>
      <c r="Z376" s="4">
        <v>45762</v>
      </c>
      <c r="AA376" s="49">
        <f t="shared" si="90"/>
        <v>-15</v>
      </c>
      <c r="AB376" s="51">
        <f t="shared" si="91"/>
        <v>45752</v>
      </c>
      <c r="AC376" s="49">
        <f t="shared" si="92"/>
        <v>-10</v>
      </c>
      <c r="AD376" s="43">
        <f t="shared" si="93"/>
        <v>45752</v>
      </c>
      <c r="AE376" s="4">
        <v>45762</v>
      </c>
      <c r="AF376" s="19">
        <f t="shared" si="94"/>
        <v>-10</v>
      </c>
      <c r="AG376" s="67"/>
      <c r="AH376" s="2"/>
      <c r="AI376" s="2"/>
      <c r="AJ376" s="2"/>
      <c r="AK376" s="2"/>
      <c r="AL376" s="2"/>
    </row>
    <row r="377" spans="1:38" ht="14.45">
      <c r="A377" s="156">
        <v>376</v>
      </c>
      <c r="B377" s="55">
        <v>45753</v>
      </c>
      <c r="C377" s="40" t="s">
        <v>761</v>
      </c>
      <c r="D377" s="14" t="s">
        <v>762</v>
      </c>
      <c r="E377" s="15">
        <v>975</v>
      </c>
      <c r="F377" s="14" t="s">
        <v>763</v>
      </c>
      <c r="G377" s="14" t="s">
        <v>46</v>
      </c>
      <c r="H377" s="14" t="s">
        <v>40</v>
      </c>
      <c r="I377" s="14" t="s">
        <v>585</v>
      </c>
      <c r="J377" s="97">
        <f t="shared" si="80"/>
        <v>45653</v>
      </c>
      <c r="K377" s="4">
        <v>45667</v>
      </c>
      <c r="L377" s="19">
        <f t="shared" si="81"/>
        <v>-14</v>
      </c>
      <c r="M377" s="5">
        <f t="shared" si="82"/>
        <v>45664</v>
      </c>
      <c r="O377" s="19" t="str">
        <f t="shared" si="83"/>
        <v/>
      </c>
      <c r="P377" s="5">
        <f t="shared" si="84"/>
        <v>45679</v>
      </c>
      <c r="R377" s="19" t="str">
        <f t="shared" si="85"/>
        <v/>
      </c>
      <c r="S377" s="5">
        <f t="shared" si="95"/>
        <v>45684</v>
      </c>
      <c r="T377" s="4">
        <v>45679</v>
      </c>
      <c r="U377" s="19">
        <f t="shared" si="86"/>
        <v>5</v>
      </c>
      <c r="V377" s="5">
        <f t="shared" si="87"/>
        <v>45723</v>
      </c>
      <c r="W377" s="4">
        <v>45723</v>
      </c>
      <c r="X377" s="19">
        <f t="shared" si="88"/>
        <v>0</v>
      </c>
      <c r="Y377" s="51">
        <f t="shared" si="89"/>
        <v>45748</v>
      </c>
      <c r="Z377" s="4">
        <v>45755</v>
      </c>
      <c r="AA377" s="49">
        <f t="shared" si="90"/>
        <v>-7</v>
      </c>
      <c r="AB377" s="51">
        <f t="shared" si="91"/>
        <v>45753</v>
      </c>
      <c r="AC377" s="49">
        <f t="shared" si="92"/>
        <v>-2</v>
      </c>
      <c r="AD377" s="43">
        <f t="shared" si="93"/>
        <v>45753</v>
      </c>
      <c r="AE377" s="4">
        <v>45755</v>
      </c>
      <c r="AF377" s="19">
        <f t="shared" si="94"/>
        <v>-2</v>
      </c>
      <c r="AG377" s="67"/>
      <c r="AH377" s="2"/>
      <c r="AI377" s="2"/>
      <c r="AJ377" s="2"/>
      <c r="AK377" s="2"/>
      <c r="AL377" s="2"/>
    </row>
    <row r="378" spans="1:38" ht="14.45">
      <c r="A378" s="156">
        <v>377</v>
      </c>
      <c r="B378" s="55">
        <v>45753</v>
      </c>
      <c r="C378" s="40" t="s">
        <v>764</v>
      </c>
      <c r="D378" s="14" t="s">
        <v>762</v>
      </c>
      <c r="E378" s="15">
        <v>1425.06</v>
      </c>
      <c r="F378" s="14" t="s">
        <v>765</v>
      </c>
      <c r="G378" s="14" t="s">
        <v>46</v>
      </c>
      <c r="H378" s="14" t="s">
        <v>40</v>
      </c>
      <c r="I378" s="14" t="s">
        <v>585</v>
      </c>
      <c r="J378" s="97">
        <f t="shared" si="80"/>
        <v>45653</v>
      </c>
      <c r="K378" s="4">
        <v>45667</v>
      </c>
      <c r="L378" s="19">
        <f t="shared" si="81"/>
        <v>-14</v>
      </c>
      <c r="M378" s="5">
        <f t="shared" si="82"/>
        <v>45664</v>
      </c>
      <c r="O378" s="19" t="str">
        <f t="shared" si="83"/>
        <v/>
      </c>
      <c r="P378" s="5">
        <f t="shared" si="84"/>
        <v>45679</v>
      </c>
      <c r="R378" s="19" t="str">
        <f t="shared" si="85"/>
        <v/>
      </c>
      <c r="S378" s="5">
        <f t="shared" si="95"/>
        <v>45684</v>
      </c>
      <c r="T378" s="4">
        <v>45679</v>
      </c>
      <c r="U378" s="19">
        <f t="shared" si="86"/>
        <v>5</v>
      </c>
      <c r="V378" s="5">
        <f t="shared" si="87"/>
        <v>45723</v>
      </c>
      <c r="W378" s="4">
        <v>45723</v>
      </c>
      <c r="X378" s="19">
        <f t="shared" si="88"/>
        <v>0</v>
      </c>
      <c r="Y378" s="51">
        <f t="shared" si="89"/>
        <v>45748</v>
      </c>
      <c r="Z378" s="4">
        <v>45755</v>
      </c>
      <c r="AA378" s="49">
        <f t="shared" si="90"/>
        <v>-7</v>
      </c>
      <c r="AB378" s="51">
        <f t="shared" si="91"/>
        <v>45753</v>
      </c>
      <c r="AC378" s="49">
        <f t="shared" si="92"/>
        <v>-2</v>
      </c>
      <c r="AD378" s="43">
        <f t="shared" si="93"/>
        <v>45753</v>
      </c>
      <c r="AE378" s="4">
        <v>45755</v>
      </c>
      <c r="AF378" s="19">
        <f t="shared" si="94"/>
        <v>-2</v>
      </c>
      <c r="AG378" s="67"/>
      <c r="AH378" s="2"/>
      <c r="AI378" s="2"/>
      <c r="AJ378" s="2"/>
      <c r="AK378" s="2"/>
      <c r="AL378" s="2"/>
    </row>
    <row r="379" spans="1:38" ht="14.45">
      <c r="A379" s="156">
        <v>378</v>
      </c>
      <c r="B379" s="55">
        <v>45753</v>
      </c>
      <c r="C379" s="40" t="s">
        <v>766</v>
      </c>
      <c r="D379" s="14" t="s">
        <v>38</v>
      </c>
      <c r="E379" s="15">
        <v>266.87</v>
      </c>
      <c r="F379" s="14" t="s">
        <v>294</v>
      </c>
      <c r="G379" s="14" t="s">
        <v>190</v>
      </c>
      <c r="H379" s="14" t="s">
        <v>40</v>
      </c>
      <c r="I379" s="14" t="s">
        <v>41</v>
      </c>
      <c r="J379" s="97">
        <f t="shared" si="80"/>
        <v>45653</v>
      </c>
      <c r="L379" s="19" t="str">
        <f t="shared" si="81"/>
        <v/>
      </c>
      <c r="M379" s="5">
        <f t="shared" si="82"/>
        <v>45664</v>
      </c>
      <c r="N379" s="4">
        <v>45729</v>
      </c>
      <c r="O379" s="19">
        <f t="shared" si="83"/>
        <v>-65</v>
      </c>
      <c r="P379" s="5">
        <f t="shared" si="84"/>
        <v>45679</v>
      </c>
      <c r="Q379" s="4">
        <v>45741</v>
      </c>
      <c r="R379" s="19">
        <f t="shared" si="85"/>
        <v>-62</v>
      </c>
      <c r="S379" s="5">
        <f t="shared" si="95"/>
        <v>45684</v>
      </c>
      <c r="T379" s="4">
        <v>45742</v>
      </c>
      <c r="U379" s="19">
        <f t="shared" si="86"/>
        <v>-58</v>
      </c>
      <c r="V379" s="5">
        <f t="shared" si="87"/>
        <v>45723</v>
      </c>
      <c r="W379" s="4">
        <v>45742</v>
      </c>
      <c r="X379" s="19">
        <f t="shared" si="88"/>
        <v>-19</v>
      </c>
      <c r="Y379" s="51">
        <f t="shared" si="89"/>
        <v>45748</v>
      </c>
      <c r="Z379" s="4">
        <v>45762</v>
      </c>
      <c r="AA379" s="49">
        <f t="shared" si="90"/>
        <v>-14</v>
      </c>
      <c r="AB379" s="51">
        <f t="shared" si="91"/>
        <v>45753</v>
      </c>
      <c r="AC379" s="49">
        <f t="shared" si="92"/>
        <v>-9</v>
      </c>
      <c r="AD379" s="43">
        <f t="shared" si="93"/>
        <v>45753</v>
      </c>
      <c r="AE379" s="4">
        <v>45762</v>
      </c>
      <c r="AF379" s="19">
        <f t="shared" si="94"/>
        <v>-9</v>
      </c>
      <c r="AG379" s="67"/>
      <c r="AH379" s="2"/>
      <c r="AI379" s="2"/>
      <c r="AJ379" s="2"/>
      <c r="AK379" s="2"/>
      <c r="AL379" s="2"/>
    </row>
    <row r="380" spans="1:38" ht="14.45">
      <c r="A380" s="156">
        <v>379</v>
      </c>
      <c r="B380" s="55">
        <v>45754</v>
      </c>
      <c r="C380" s="40" t="s">
        <v>767</v>
      </c>
      <c r="D380" s="14" t="s">
        <v>227</v>
      </c>
      <c r="E380" s="15">
        <v>352.25</v>
      </c>
      <c r="F380" s="14" t="s">
        <v>768</v>
      </c>
      <c r="G380" s="10" t="s">
        <v>120</v>
      </c>
      <c r="H380" s="14" t="s">
        <v>40</v>
      </c>
      <c r="I380" s="14" t="s">
        <v>585</v>
      </c>
      <c r="J380" s="97">
        <f t="shared" si="80"/>
        <v>45654</v>
      </c>
      <c r="L380" s="19" t="str">
        <f t="shared" si="81"/>
        <v/>
      </c>
      <c r="M380" s="5">
        <f t="shared" si="82"/>
        <v>45665</v>
      </c>
      <c r="O380" s="19" t="str">
        <f t="shared" si="83"/>
        <v/>
      </c>
      <c r="P380" s="5">
        <f t="shared" si="84"/>
        <v>45680</v>
      </c>
      <c r="R380" s="19" t="str">
        <f t="shared" si="85"/>
        <v/>
      </c>
      <c r="S380" s="5">
        <f t="shared" si="95"/>
        <v>45685</v>
      </c>
      <c r="T380" s="4">
        <v>45734</v>
      </c>
      <c r="U380" s="19">
        <f t="shared" si="86"/>
        <v>-49</v>
      </c>
      <c r="V380" s="5">
        <f t="shared" si="87"/>
        <v>45724</v>
      </c>
      <c r="W380" s="4">
        <v>45742</v>
      </c>
      <c r="X380" s="19">
        <f t="shared" si="88"/>
        <v>-18</v>
      </c>
      <c r="Y380" s="51">
        <f t="shared" si="89"/>
        <v>45749</v>
      </c>
      <c r="Z380" s="4">
        <v>45743</v>
      </c>
      <c r="AA380" s="49">
        <f t="shared" si="90"/>
        <v>6</v>
      </c>
      <c r="AB380" s="51">
        <f t="shared" si="91"/>
        <v>45754</v>
      </c>
      <c r="AC380" s="49">
        <f t="shared" si="92"/>
        <v>11</v>
      </c>
      <c r="AD380" s="43">
        <f t="shared" si="93"/>
        <v>45754</v>
      </c>
      <c r="AE380" s="4">
        <v>45743</v>
      </c>
      <c r="AF380" s="19">
        <f t="shared" si="94"/>
        <v>11</v>
      </c>
      <c r="AG380" s="67"/>
      <c r="AH380" s="2"/>
      <c r="AI380" s="2"/>
      <c r="AJ380" s="2"/>
      <c r="AK380" s="2"/>
      <c r="AL380" s="2"/>
    </row>
    <row r="381" spans="1:38" ht="14.45">
      <c r="A381" s="156">
        <v>380</v>
      </c>
      <c r="B381" s="55">
        <v>45754</v>
      </c>
      <c r="C381" s="40" t="s">
        <v>769</v>
      </c>
      <c r="D381" s="14" t="s">
        <v>770</v>
      </c>
      <c r="E381" s="15">
        <v>29491.14</v>
      </c>
      <c r="F381" s="14" t="s">
        <v>771</v>
      </c>
      <c r="G381" s="14" t="s">
        <v>120</v>
      </c>
      <c r="H381" s="14" t="s">
        <v>40</v>
      </c>
      <c r="I381" s="14" t="s">
        <v>585</v>
      </c>
      <c r="J381" s="97">
        <f t="shared" si="80"/>
        <v>45654</v>
      </c>
      <c r="L381" s="19" t="str">
        <f t="shared" si="81"/>
        <v/>
      </c>
      <c r="M381" s="5">
        <f t="shared" si="82"/>
        <v>45665</v>
      </c>
      <c r="O381" s="19" t="str">
        <f t="shared" si="83"/>
        <v/>
      </c>
      <c r="P381" s="5">
        <f t="shared" si="84"/>
        <v>45680</v>
      </c>
      <c r="R381" s="19" t="str">
        <f t="shared" si="85"/>
        <v/>
      </c>
      <c r="S381" s="5">
        <f t="shared" si="95"/>
        <v>45685</v>
      </c>
      <c r="T381" s="4">
        <v>45666</v>
      </c>
      <c r="U381" s="19">
        <f t="shared" si="86"/>
        <v>19</v>
      </c>
      <c r="V381" s="5">
        <f t="shared" si="87"/>
        <v>45724</v>
      </c>
      <c r="W381" s="4">
        <v>45693</v>
      </c>
      <c r="X381" s="19">
        <f t="shared" si="88"/>
        <v>31</v>
      </c>
      <c r="Y381" s="51">
        <f t="shared" si="89"/>
        <v>45749</v>
      </c>
      <c r="Z381" s="4">
        <v>45734</v>
      </c>
      <c r="AA381" s="49">
        <f t="shared" si="90"/>
        <v>15</v>
      </c>
      <c r="AB381" s="51">
        <f t="shared" si="91"/>
        <v>45754</v>
      </c>
      <c r="AC381" s="49">
        <f t="shared" si="92"/>
        <v>20</v>
      </c>
      <c r="AD381" s="43">
        <f t="shared" si="93"/>
        <v>45754</v>
      </c>
      <c r="AE381" s="4">
        <v>45734</v>
      </c>
      <c r="AF381" s="19">
        <f t="shared" si="94"/>
        <v>20</v>
      </c>
      <c r="AG381" s="67"/>
      <c r="AH381" s="2"/>
      <c r="AI381" s="2"/>
      <c r="AJ381" s="2"/>
      <c r="AK381" s="2"/>
      <c r="AL381" s="2"/>
    </row>
    <row r="382" spans="1:38" ht="14.45">
      <c r="A382" s="156">
        <v>381</v>
      </c>
      <c r="B382" s="55">
        <v>45754</v>
      </c>
      <c r="C382" s="40" t="s">
        <v>772</v>
      </c>
      <c r="D382" s="14" t="s">
        <v>38</v>
      </c>
      <c r="E382" s="15">
        <v>351.62</v>
      </c>
      <c r="F382" s="14" t="s">
        <v>773</v>
      </c>
      <c r="G382" s="14" t="s">
        <v>190</v>
      </c>
      <c r="H382" s="14" t="s">
        <v>40</v>
      </c>
      <c r="I382" s="14" t="s">
        <v>41</v>
      </c>
      <c r="J382" s="97">
        <f t="shared" si="80"/>
        <v>45654</v>
      </c>
      <c r="L382" s="19" t="str">
        <f t="shared" si="81"/>
        <v/>
      </c>
      <c r="M382" s="5">
        <f t="shared" si="82"/>
        <v>45665</v>
      </c>
      <c r="N382" s="4">
        <v>45729</v>
      </c>
      <c r="O382" s="19">
        <f t="shared" si="83"/>
        <v>-64</v>
      </c>
      <c r="P382" s="5">
        <f t="shared" si="84"/>
        <v>45680</v>
      </c>
      <c r="Q382" s="4">
        <v>45741</v>
      </c>
      <c r="R382" s="19">
        <f t="shared" si="85"/>
        <v>-61</v>
      </c>
      <c r="S382" s="5">
        <f t="shared" si="95"/>
        <v>45685</v>
      </c>
      <c r="T382" s="4">
        <v>45742</v>
      </c>
      <c r="U382" s="19">
        <f t="shared" si="86"/>
        <v>-57</v>
      </c>
      <c r="V382" s="5">
        <f t="shared" si="87"/>
        <v>45724</v>
      </c>
      <c r="W382" s="4">
        <v>45742</v>
      </c>
      <c r="X382" s="19">
        <f t="shared" si="88"/>
        <v>-18</v>
      </c>
      <c r="Y382" s="51">
        <f t="shared" si="89"/>
        <v>45749</v>
      </c>
      <c r="Z382" s="4">
        <v>45762</v>
      </c>
      <c r="AA382" s="49">
        <f t="shared" si="90"/>
        <v>-13</v>
      </c>
      <c r="AB382" s="51">
        <f t="shared" si="91"/>
        <v>45754</v>
      </c>
      <c r="AC382" s="49">
        <f t="shared" si="92"/>
        <v>-8</v>
      </c>
      <c r="AD382" s="43">
        <f t="shared" si="93"/>
        <v>45754</v>
      </c>
      <c r="AE382" s="4">
        <v>45762</v>
      </c>
      <c r="AF382" s="19">
        <f t="shared" si="94"/>
        <v>-8</v>
      </c>
      <c r="AG382" s="67"/>
      <c r="AH382" s="2"/>
      <c r="AI382" s="2"/>
      <c r="AJ382" s="2"/>
      <c r="AK382" s="2"/>
      <c r="AL382" s="2"/>
    </row>
    <row r="383" spans="1:38" ht="14.45">
      <c r="A383" s="156">
        <v>382</v>
      </c>
      <c r="B383" s="55">
        <v>45755</v>
      </c>
      <c r="C383" s="40" t="s">
        <v>774</v>
      </c>
      <c r="D383" s="14" t="s">
        <v>77</v>
      </c>
      <c r="E383" s="15">
        <v>130111.05</v>
      </c>
      <c r="F383" s="14" t="s">
        <v>775</v>
      </c>
      <c r="G383" s="14" t="s">
        <v>51</v>
      </c>
      <c r="H383" s="14" t="s">
        <v>40</v>
      </c>
      <c r="I383" s="14" t="s">
        <v>52</v>
      </c>
      <c r="J383" s="97">
        <f t="shared" si="80"/>
        <v>45655</v>
      </c>
      <c r="K383" s="4">
        <v>45666</v>
      </c>
      <c r="L383" s="19">
        <f t="shared" si="81"/>
        <v>-11</v>
      </c>
      <c r="M383" s="5">
        <f t="shared" si="82"/>
        <v>45666</v>
      </c>
      <c r="N383" s="4">
        <v>45666</v>
      </c>
      <c r="O383" s="19">
        <f t="shared" si="83"/>
        <v>0</v>
      </c>
      <c r="P383" s="5">
        <f t="shared" si="84"/>
        <v>45681</v>
      </c>
      <c r="R383" s="19" t="str">
        <f t="shared" si="85"/>
        <v/>
      </c>
      <c r="S383" s="5">
        <f t="shared" si="95"/>
        <v>45686</v>
      </c>
      <c r="T383" s="4">
        <v>45719</v>
      </c>
      <c r="U383" s="19">
        <f t="shared" si="86"/>
        <v>-33</v>
      </c>
      <c r="V383" s="5">
        <f t="shared" si="87"/>
        <v>45725</v>
      </c>
      <c r="W383" s="4">
        <v>45741</v>
      </c>
      <c r="X383" s="19">
        <f t="shared" si="88"/>
        <v>-16</v>
      </c>
      <c r="Y383" s="51">
        <f t="shared" si="89"/>
        <v>45750</v>
      </c>
      <c r="AA383" s="49" t="str">
        <f t="shared" si="90"/>
        <v/>
      </c>
      <c r="AB383" s="51">
        <f t="shared" si="91"/>
        <v>45755</v>
      </c>
      <c r="AC383" s="49" t="str">
        <f t="shared" si="92"/>
        <v/>
      </c>
      <c r="AD383" s="43">
        <f t="shared" si="93"/>
        <v>45755</v>
      </c>
      <c r="AF383" s="19" t="str">
        <f t="shared" si="94"/>
        <v/>
      </c>
      <c r="AG383" s="67" t="s">
        <v>367</v>
      </c>
      <c r="AH383" s="2"/>
      <c r="AI383" s="2"/>
      <c r="AJ383" s="2"/>
      <c r="AK383" s="2"/>
      <c r="AL383" s="2"/>
    </row>
    <row r="384" spans="1:38" ht="14.45">
      <c r="A384" s="156">
        <v>383</v>
      </c>
      <c r="B384" s="55">
        <v>45755</v>
      </c>
      <c r="C384" s="40" t="s">
        <v>776</v>
      </c>
      <c r="D384" s="14" t="s">
        <v>153</v>
      </c>
      <c r="E384" s="15">
        <v>7237</v>
      </c>
      <c r="F384" s="14" t="s">
        <v>777</v>
      </c>
      <c r="G384" s="14" t="s">
        <v>46</v>
      </c>
      <c r="H384" s="14" t="s">
        <v>40</v>
      </c>
      <c r="I384" s="14" t="s">
        <v>585</v>
      </c>
      <c r="J384" s="97">
        <f t="shared" si="80"/>
        <v>45655</v>
      </c>
      <c r="K384" s="4">
        <v>45667</v>
      </c>
      <c r="L384" s="19">
        <f t="shared" si="81"/>
        <v>-12</v>
      </c>
      <c r="M384" s="5">
        <f t="shared" si="82"/>
        <v>45666</v>
      </c>
      <c r="O384" s="19" t="str">
        <f t="shared" si="83"/>
        <v/>
      </c>
      <c r="P384" s="5">
        <f t="shared" si="84"/>
        <v>45681</v>
      </c>
      <c r="R384" s="19" t="str">
        <f t="shared" si="85"/>
        <v/>
      </c>
      <c r="S384" s="5">
        <f t="shared" si="95"/>
        <v>45686</v>
      </c>
      <c r="T384" s="4">
        <v>45666</v>
      </c>
      <c r="U384" s="19">
        <f t="shared" si="86"/>
        <v>20</v>
      </c>
      <c r="V384" s="5">
        <f t="shared" si="87"/>
        <v>45725</v>
      </c>
      <c r="W384" s="4">
        <v>45700</v>
      </c>
      <c r="X384" s="19">
        <f t="shared" si="88"/>
        <v>25</v>
      </c>
      <c r="Y384" s="51">
        <f t="shared" si="89"/>
        <v>45750</v>
      </c>
      <c r="Z384" s="4">
        <v>45740</v>
      </c>
      <c r="AA384" s="49">
        <f t="shared" si="90"/>
        <v>10</v>
      </c>
      <c r="AB384" s="51">
        <f t="shared" si="91"/>
        <v>45755</v>
      </c>
      <c r="AC384" s="49">
        <f t="shared" si="92"/>
        <v>15</v>
      </c>
      <c r="AD384" s="43">
        <f t="shared" si="93"/>
        <v>45755</v>
      </c>
      <c r="AE384" s="4">
        <v>45740</v>
      </c>
      <c r="AF384" s="19">
        <f t="shared" si="94"/>
        <v>15</v>
      </c>
      <c r="AG384" s="67"/>
      <c r="AH384" s="2"/>
      <c r="AI384" s="2"/>
      <c r="AJ384" s="2"/>
      <c r="AK384" s="2"/>
      <c r="AL384" s="2"/>
    </row>
    <row r="385" spans="1:38" ht="14.45">
      <c r="A385" s="156">
        <v>384</v>
      </c>
      <c r="B385" s="55">
        <v>45757</v>
      </c>
      <c r="C385" s="40" t="s">
        <v>778</v>
      </c>
      <c r="D385" s="14" t="s">
        <v>38</v>
      </c>
      <c r="E385" s="15">
        <v>314.2</v>
      </c>
      <c r="F385" s="14" t="s">
        <v>779</v>
      </c>
      <c r="G385" s="14" t="s">
        <v>190</v>
      </c>
      <c r="H385" s="14" t="s">
        <v>40</v>
      </c>
      <c r="I385" s="14" t="s">
        <v>41</v>
      </c>
      <c r="J385" s="97">
        <f t="shared" si="80"/>
        <v>45657</v>
      </c>
      <c r="L385" s="19" t="str">
        <f t="shared" si="81"/>
        <v/>
      </c>
      <c r="M385" s="5">
        <f t="shared" si="82"/>
        <v>45668</v>
      </c>
      <c r="N385" s="4">
        <v>45729</v>
      </c>
      <c r="O385" s="19">
        <f t="shared" si="83"/>
        <v>-61</v>
      </c>
      <c r="P385" s="5">
        <f t="shared" si="84"/>
        <v>45683</v>
      </c>
      <c r="Q385" s="4">
        <v>45741</v>
      </c>
      <c r="R385" s="19">
        <f t="shared" si="85"/>
        <v>-58</v>
      </c>
      <c r="S385" s="5">
        <f t="shared" si="95"/>
        <v>45688</v>
      </c>
      <c r="T385" s="4">
        <v>45742</v>
      </c>
      <c r="U385" s="19">
        <f t="shared" si="86"/>
        <v>-54</v>
      </c>
      <c r="V385" s="5">
        <f t="shared" si="87"/>
        <v>45727</v>
      </c>
      <c r="W385" s="4">
        <v>45742</v>
      </c>
      <c r="X385" s="19">
        <f t="shared" si="88"/>
        <v>-15</v>
      </c>
      <c r="Y385" s="51">
        <f t="shared" si="89"/>
        <v>45752</v>
      </c>
      <c r="Z385" s="4">
        <v>45762</v>
      </c>
      <c r="AA385" s="49">
        <f t="shared" si="90"/>
        <v>-10</v>
      </c>
      <c r="AB385" s="51">
        <f t="shared" si="91"/>
        <v>45757</v>
      </c>
      <c r="AC385" s="49">
        <f t="shared" si="92"/>
        <v>-5</v>
      </c>
      <c r="AD385" s="43">
        <f t="shared" si="93"/>
        <v>45757</v>
      </c>
      <c r="AE385" s="4">
        <v>45762</v>
      </c>
      <c r="AF385" s="19">
        <f t="shared" si="94"/>
        <v>-5</v>
      </c>
      <c r="AG385" s="67"/>
      <c r="AH385" s="2"/>
      <c r="AI385" s="2"/>
      <c r="AJ385" s="2"/>
      <c r="AK385" s="2"/>
      <c r="AL385" s="2"/>
    </row>
    <row r="386" spans="1:38" ht="14.45">
      <c r="A386" s="156">
        <v>385</v>
      </c>
      <c r="B386" s="55">
        <v>45757</v>
      </c>
      <c r="C386" s="40" t="s">
        <v>780</v>
      </c>
      <c r="D386" s="14" t="s">
        <v>38</v>
      </c>
      <c r="E386" s="15">
        <v>1297.29</v>
      </c>
      <c r="F386" s="14" t="s">
        <v>781</v>
      </c>
      <c r="G386" s="14" t="s">
        <v>190</v>
      </c>
      <c r="H386" s="14" t="s">
        <v>40</v>
      </c>
      <c r="I386" s="14" t="s">
        <v>41</v>
      </c>
      <c r="J386" s="97">
        <f t="shared" ref="J386:J449" si="96">B386-100</f>
        <v>45657</v>
      </c>
      <c r="L386" s="19" t="str">
        <f t="shared" ref="L386:L449" si="97">IF(OR(J386="", K386=""), "", J386-K386)</f>
        <v/>
      </c>
      <c r="M386" s="5">
        <f t="shared" ref="M386:M449" si="98">B386-89</f>
        <v>45668</v>
      </c>
      <c r="N386" s="4">
        <v>45729</v>
      </c>
      <c r="O386" s="19">
        <f t="shared" ref="O386:O449" si="99">IF(OR(M386="", N386=""), "", M386-N386)</f>
        <v>-61</v>
      </c>
      <c r="P386" s="5">
        <f t="shared" ref="P386:P449" si="100">B386-74</f>
        <v>45683</v>
      </c>
      <c r="Q386" s="4">
        <v>45741</v>
      </c>
      <c r="R386" s="19">
        <f t="shared" ref="R386:R449" si="101">IF(OR(P386="", Q386=""), "", P386-Q386)</f>
        <v>-58</v>
      </c>
      <c r="S386" s="5">
        <f t="shared" si="95"/>
        <v>45688</v>
      </c>
      <c r="T386" s="4">
        <v>45742</v>
      </c>
      <c r="U386" s="19">
        <f t="shared" ref="U386:U449" si="102">IF(OR(S386="", T386=""), "", S386-T386)</f>
        <v>-54</v>
      </c>
      <c r="V386" s="5">
        <f t="shared" ref="V386:V449" si="103">B386-30</f>
        <v>45727</v>
      </c>
      <c r="W386" s="4">
        <v>45742</v>
      </c>
      <c r="X386" s="19">
        <f t="shared" ref="X386:X449" si="104">IF(OR(V386="", W386=""), "", V386-W386)</f>
        <v>-15</v>
      </c>
      <c r="Y386" s="51">
        <f t="shared" ref="Y386:Y449" si="105">B386-5</f>
        <v>45752</v>
      </c>
      <c r="Z386" s="4">
        <v>45762</v>
      </c>
      <c r="AA386" s="49">
        <f t="shared" ref="AA386:AA449" si="106">IF(OR(Y386="", Z386=""), "", Y386-Z386)</f>
        <v>-10</v>
      </c>
      <c r="AB386" s="51">
        <f t="shared" ref="AB386:AB449" si="107">IF(B386&lt;&gt;"", B386, "")</f>
        <v>45757</v>
      </c>
      <c r="AC386" s="49">
        <f t="shared" ref="AC386:AC449" si="108">IF(OR(AB386="", Z386=""), "", AB386-Z386)</f>
        <v>-5</v>
      </c>
      <c r="AD386" s="43">
        <f t="shared" ref="AD386:AD449" si="109">IF(B386&lt;&gt;"", B386, "")</f>
        <v>45757</v>
      </c>
      <c r="AE386" s="4">
        <v>45762</v>
      </c>
      <c r="AF386" s="19">
        <f t="shared" ref="AF386:AF449" si="110">IF(OR(AD386="", AE386=""), "", AD386-AE386)</f>
        <v>-5</v>
      </c>
      <c r="AG386" s="67"/>
      <c r="AH386" s="2"/>
      <c r="AI386" s="2"/>
      <c r="AJ386" s="2"/>
      <c r="AK386" s="2"/>
      <c r="AL386" s="2"/>
    </row>
    <row r="387" spans="1:38" ht="14.45">
      <c r="A387" s="156">
        <v>386</v>
      </c>
      <c r="B387" s="55">
        <v>45757</v>
      </c>
      <c r="C387" s="40" t="s">
        <v>782</v>
      </c>
      <c r="D387" s="14" t="s">
        <v>38</v>
      </c>
      <c r="E387" s="15">
        <v>226.42</v>
      </c>
      <c r="F387" s="14" t="s">
        <v>783</v>
      </c>
      <c r="G387" s="14" t="s">
        <v>190</v>
      </c>
      <c r="H387" s="14" t="s">
        <v>40</v>
      </c>
      <c r="I387" s="14" t="s">
        <v>41</v>
      </c>
      <c r="J387" s="97">
        <f t="shared" si="96"/>
        <v>45657</v>
      </c>
      <c r="L387" s="19" t="str">
        <f t="shared" si="97"/>
        <v/>
      </c>
      <c r="M387" s="5">
        <f t="shared" si="98"/>
        <v>45668</v>
      </c>
      <c r="N387" s="4">
        <v>45729</v>
      </c>
      <c r="O387" s="19">
        <f t="shared" si="99"/>
        <v>-61</v>
      </c>
      <c r="P387" s="5">
        <f t="shared" si="100"/>
        <v>45683</v>
      </c>
      <c r="Q387" s="4">
        <v>45741</v>
      </c>
      <c r="R387" s="19">
        <f t="shared" si="101"/>
        <v>-58</v>
      </c>
      <c r="S387" s="5">
        <f t="shared" si="95"/>
        <v>45688</v>
      </c>
      <c r="T387" s="4">
        <v>45742</v>
      </c>
      <c r="U387" s="19">
        <f t="shared" si="102"/>
        <v>-54</v>
      </c>
      <c r="V387" s="5">
        <f t="shared" si="103"/>
        <v>45727</v>
      </c>
      <c r="W387" s="4">
        <v>45742</v>
      </c>
      <c r="X387" s="19">
        <f t="shared" si="104"/>
        <v>-15</v>
      </c>
      <c r="Y387" s="51">
        <f t="shared" si="105"/>
        <v>45752</v>
      </c>
      <c r="Z387" s="4">
        <v>45762</v>
      </c>
      <c r="AA387" s="49">
        <f t="shared" si="106"/>
        <v>-10</v>
      </c>
      <c r="AB387" s="51">
        <f t="shared" si="107"/>
        <v>45757</v>
      </c>
      <c r="AC387" s="49">
        <f t="shared" si="108"/>
        <v>-5</v>
      </c>
      <c r="AD387" s="43">
        <f t="shared" si="109"/>
        <v>45757</v>
      </c>
      <c r="AE387" s="4">
        <v>45762</v>
      </c>
      <c r="AF387" s="19">
        <f t="shared" si="110"/>
        <v>-5</v>
      </c>
      <c r="AG387" s="67"/>
      <c r="AH387" s="2"/>
      <c r="AI387" s="2"/>
      <c r="AJ387" s="2"/>
      <c r="AK387" s="2"/>
      <c r="AL387" s="2"/>
    </row>
    <row r="388" spans="1:38" ht="14.45">
      <c r="A388" s="156">
        <v>387</v>
      </c>
      <c r="B388" s="55">
        <v>45758</v>
      </c>
      <c r="C388" s="40" t="s">
        <v>784</v>
      </c>
      <c r="D388" s="14" t="s">
        <v>66</v>
      </c>
      <c r="E388" s="15">
        <v>290.33999999999997</v>
      </c>
      <c r="F388" s="14" t="s">
        <v>785</v>
      </c>
      <c r="G388" s="14" t="s">
        <v>190</v>
      </c>
      <c r="H388" s="14" t="s">
        <v>40</v>
      </c>
      <c r="I388" s="14" t="s">
        <v>585</v>
      </c>
      <c r="J388" s="97">
        <f t="shared" si="96"/>
        <v>45658</v>
      </c>
      <c r="K388" s="4">
        <v>45749</v>
      </c>
      <c r="L388" s="19">
        <f t="shared" si="97"/>
        <v>-91</v>
      </c>
      <c r="M388" s="5">
        <f t="shared" si="98"/>
        <v>45669</v>
      </c>
      <c r="N388" s="4">
        <v>45749</v>
      </c>
      <c r="O388" s="19">
        <f t="shared" si="99"/>
        <v>-80</v>
      </c>
      <c r="P388" s="5">
        <f t="shared" si="100"/>
        <v>45684</v>
      </c>
      <c r="R388" s="19" t="str">
        <f t="shared" si="101"/>
        <v/>
      </c>
      <c r="S388" s="5">
        <f t="shared" si="95"/>
        <v>45689</v>
      </c>
      <c r="T388" s="4">
        <v>45749</v>
      </c>
      <c r="U388" s="19">
        <f t="shared" si="102"/>
        <v>-60</v>
      </c>
      <c r="V388" s="5">
        <f t="shared" si="103"/>
        <v>45728</v>
      </c>
      <c r="W388" s="4">
        <v>45749</v>
      </c>
      <c r="X388" s="19">
        <f t="shared" si="104"/>
        <v>-21</v>
      </c>
      <c r="Y388" s="51">
        <f t="shared" si="105"/>
        <v>45753</v>
      </c>
      <c r="Z388" s="4">
        <v>45749</v>
      </c>
      <c r="AA388" s="49">
        <f t="shared" si="106"/>
        <v>4</v>
      </c>
      <c r="AB388" s="51">
        <f t="shared" si="107"/>
        <v>45758</v>
      </c>
      <c r="AC388" s="49">
        <f t="shared" si="108"/>
        <v>9</v>
      </c>
      <c r="AD388" s="43">
        <f t="shared" si="109"/>
        <v>45758</v>
      </c>
      <c r="AE388" s="4">
        <v>45749</v>
      </c>
      <c r="AF388" s="19">
        <f t="shared" si="110"/>
        <v>9</v>
      </c>
      <c r="AG388" s="67"/>
      <c r="AH388" s="2"/>
      <c r="AI388" s="2"/>
      <c r="AJ388" s="2"/>
      <c r="AK388" s="2"/>
      <c r="AL388" s="2"/>
    </row>
    <row r="389" spans="1:38" ht="14.45">
      <c r="A389" s="156">
        <v>388</v>
      </c>
      <c r="B389" s="55">
        <v>45758</v>
      </c>
      <c r="C389" s="40" t="s">
        <v>786</v>
      </c>
      <c r="D389" s="14" t="s">
        <v>38</v>
      </c>
      <c r="E389" s="15">
        <v>66.44</v>
      </c>
      <c r="F389" s="14" t="s">
        <v>787</v>
      </c>
      <c r="G389" s="14" t="s">
        <v>190</v>
      </c>
      <c r="H389" s="14" t="s">
        <v>40</v>
      </c>
      <c r="I389" s="14" t="s">
        <v>41</v>
      </c>
      <c r="J389" s="97">
        <f t="shared" si="96"/>
        <v>45658</v>
      </c>
      <c r="L389" s="19" t="str">
        <f t="shared" si="97"/>
        <v/>
      </c>
      <c r="M389" s="5">
        <f t="shared" si="98"/>
        <v>45669</v>
      </c>
      <c r="N389" s="4">
        <v>45729</v>
      </c>
      <c r="O389" s="19">
        <f t="shared" si="99"/>
        <v>-60</v>
      </c>
      <c r="P389" s="5">
        <f t="shared" si="100"/>
        <v>45684</v>
      </c>
      <c r="Q389" s="4">
        <v>45741</v>
      </c>
      <c r="R389" s="19">
        <f t="shared" si="101"/>
        <v>-57</v>
      </c>
      <c r="S389" s="5">
        <f t="shared" ref="S389:S452" si="111">B389-69</f>
        <v>45689</v>
      </c>
      <c r="T389" s="4">
        <v>45742</v>
      </c>
      <c r="U389" s="19">
        <f t="shared" si="102"/>
        <v>-53</v>
      </c>
      <c r="V389" s="5">
        <f t="shared" si="103"/>
        <v>45728</v>
      </c>
      <c r="W389" s="4">
        <v>45742</v>
      </c>
      <c r="X389" s="19">
        <f t="shared" si="104"/>
        <v>-14</v>
      </c>
      <c r="Y389" s="51">
        <f t="shared" si="105"/>
        <v>45753</v>
      </c>
      <c r="Z389" s="4">
        <v>45762</v>
      </c>
      <c r="AA389" s="49">
        <f t="shared" si="106"/>
        <v>-9</v>
      </c>
      <c r="AB389" s="51">
        <f t="shared" si="107"/>
        <v>45758</v>
      </c>
      <c r="AC389" s="49">
        <f t="shared" si="108"/>
        <v>-4</v>
      </c>
      <c r="AD389" s="43">
        <f t="shared" si="109"/>
        <v>45758</v>
      </c>
      <c r="AE389" s="4">
        <v>45762</v>
      </c>
      <c r="AF389" s="19">
        <f t="shared" si="110"/>
        <v>-4</v>
      </c>
      <c r="AG389" s="67"/>
      <c r="AH389" s="2"/>
      <c r="AI389" s="2"/>
      <c r="AJ389" s="2"/>
      <c r="AK389" s="2"/>
      <c r="AL389" s="2"/>
    </row>
    <row r="390" spans="1:38" ht="14.45">
      <c r="A390" s="156">
        <v>389</v>
      </c>
      <c r="B390" s="55">
        <v>45758</v>
      </c>
      <c r="C390" s="40" t="s">
        <v>788</v>
      </c>
      <c r="D390" s="14" t="s">
        <v>38</v>
      </c>
      <c r="E390" s="15">
        <v>172.02</v>
      </c>
      <c r="F390" s="14" t="s">
        <v>311</v>
      </c>
      <c r="G390" s="14" t="s">
        <v>190</v>
      </c>
      <c r="H390" s="14" t="s">
        <v>40</v>
      </c>
      <c r="I390" s="14" t="s">
        <v>41</v>
      </c>
      <c r="J390" s="97">
        <f t="shared" si="96"/>
        <v>45658</v>
      </c>
      <c r="L390" s="19" t="str">
        <f t="shared" si="97"/>
        <v/>
      </c>
      <c r="M390" s="5">
        <f t="shared" si="98"/>
        <v>45669</v>
      </c>
      <c r="N390" s="4">
        <v>45729</v>
      </c>
      <c r="O390" s="19">
        <f t="shared" si="99"/>
        <v>-60</v>
      </c>
      <c r="P390" s="5">
        <f t="shared" si="100"/>
        <v>45684</v>
      </c>
      <c r="Q390" s="4">
        <v>45741</v>
      </c>
      <c r="R390" s="19">
        <f t="shared" si="101"/>
        <v>-57</v>
      </c>
      <c r="S390" s="5">
        <f t="shared" si="111"/>
        <v>45689</v>
      </c>
      <c r="T390" s="4">
        <v>45742</v>
      </c>
      <c r="U390" s="19">
        <f t="shared" si="102"/>
        <v>-53</v>
      </c>
      <c r="V390" s="5">
        <f t="shared" si="103"/>
        <v>45728</v>
      </c>
      <c r="W390" s="4">
        <v>45742</v>
      </c>
      <c r="X390" s="19">
        <f t="shared" si="104"/>
        <v>-14</v>
      </c>
      <c r="Y390" s="51">
        <f t="shared" si="105"/>
        <v>45753</v>
      </c>
      <c r="Z390" s="4">
        <v>45762</v>
      </c>
      <c r="AA390" s="49">
        <f t="shared" si="106"/>
        <v>-9</v>
      </c>
      <c r="AB390" s="51">
        <f t="shared" si="107"/>
        <v>45758</v>
      </c>
      <c r="AC390" s="49">
        <f t="shared" si="108"/>
        <v>-4</v>
      </c>
      <c r="AD390" s="43">
        <f t="shared" si="109"/>
        <v>45758</v>
      </c>
      <c r="AE390" s="4">
        <v>45762</v>
      </c>
      <c r="AF390" s="19">
        <f t="shared" si="110"/>
        <v>-4</v>
      </c>
      <c r="AG390" s="67"/>
      <c r="AH390" s="2"/>
      <c r="AI390" s="2"/>
      <c r="AJ390" s="2"/>
      <c r="AK390" s="2"/>
      <c r="AL390" s="2"/>
    </row>
    <row r="391" spans="1:38" ht="14.45">
      <c r="A391" s="156">
        <v>390</v>
      </c>
      <c r="B391" s="55">
        <v>45759</v>
      </c>
      <c r="C391" s="40" t="s">
        <v>789</v>
      </c>
      <c r="D391" s="14" t="s">
        <v>790</v>
      </c>
      <c r="E391" s="15">
        <v>15730</v>
      </c>
      <c r="F391" s="14" t="s">
        <v>791</v>
      </c>
      <c r="G391" s="14" t="s">
        <v>46</v>
      </c>
      <c r="H391" s="14" t="s">
        <v>40</v>
      </c>
      <c r="I391" s="14" t="s">
        <v>585</v>
      </c>
      <c r="J391" s="97">
        <f t="shared" si="96"/>
        <v>45659</v>
      </c>
      <c r="K391" s="4">
        <v>45667</v>
      </c>
      <c r="L391" s="19">
        <f t="shared" si="97"/>
        <v>-8</v>
      </c>
      <c r="M391" s="5">
        <f t="shared" si="98"/>
        <v>45670</v>
      </c>
      <c r="O391" s="19" t="str">
        <f t="shared" si="99"/>
        <v/>
      </c>
      <c r="P391" s="5">
        <f t="shared" si="100"/>
        <v>45685</v>
      </c>
      <c r="R391" s="19" t="str">
        <f t="shared" si="101"/>
        <v/>
      </c>
      <c r="S391" s="5">
        <f t="shared" si="111"/>
        <v>45690</v>
      </c>
      <c r="T391" s="4">
        <v>45679</v>
      </c>
      <c r="U391" s="19">
        <f t="shared" si="102"/>
        <v>11</v>
      </c>
      <c r="V391" s="5">
        <f t="shared" si="103"/>
        <v>45729</v>
      </c>
      <c r="W391" s="4">
        <v>45726</v>
      </c>
      <c r="X391" s="19">
        <f t="shared" si="104"/>
        <v>3</v>
      </c>
      <c r="Y391" s="51">
        <f t="shared" si="105"/>
        <v>45754</v>
      </c>
      <c r="Z391" s="4">
        <v>45762</v>
      </c>
      <c r="AA391" s="49">
        <f t="shared" si="106"/>
        <v>-8</v>
      </c>
      <c r="AB391" s="51">
        <f t="shared" si="107"/>
        <v>45759</v>
      </c>
      <c r="AC391" s="49">
        <f t="shared" si="108"/>
        <v>-3</v>
      </c>
      <c r="AD391" s="43">
        <f t="shared" si="109"/>
        <v>45759</v>
      </c>
      <c r="AE391" s="4">
        <v>45762</v>
      </c>
      <c r="AF391" s="19">
        <f t="shared" si="110"/>
        <v>-3</v>
      </c>
      <c r="AG391" s="67"/>
      <c r="AH391" s="2"/>
      <c r="AI391" s="2"/>
      <c r="AJ391" s="2"/>
      <c r="AK391" s="2"/>
      <c r="AL391" s="2"/>
    </row>
    <row r="392" spans="1:38" ht="14.45">
      <c r="A392" s="156">
        <v>391</v>
      </c>
      <c r="B392" s="55">
        <v>45759</v>
      </c>
      <c r="C392" s="40" t="s">
        <v>792</v>
      </c>
      <c r="D392" s="14" t="s">
        <v>38</v>
      </c>
      <c r="E392" s="15">
        <v>159.18</v>
      </c>
      <c r="F392" s="14" t="s">
        <v>793</v>
      </c>
      <c r="G392" s="14" t="s">
        <v>190</v>
      </c>
      <c r="H392" s="14" t="s">
        <v>40</v>
      </c>
      <c r="I392" s="14" t="s">
        <v>41</v>
      </c>
      <c r="J392" s="97">
        <f t="shared" si="96"/>
        <v>45659</v>
      </c>
      <c r="L392" s="19" t="str">
        <f t="shared" si="97"/>
        <v/>
      </c>
      <c r="M392" s="5">
        <f t="shared" si="98"/>
        <v>45670</v>
      </c>
      <c r="N392" s="4">
        <v>45729</v>
      </c>
      <c r="O392" s="19">
        <f t="shared" si="99"/>
        <v>-59</v>
      </c>
      <c r="P392" s="5">
        <f t="shared" si="100"/>
        <v>45685</v>
      </c>
      <c r="Q392" s="4">
        <v>45741</v>
      </c>
      <c r="R392" s="19">
        <f t="shared" si="101"/>
        <v>-56</v>
      </c>
      <c r="S392" s="5">
        <f t="shared" si="111"/>
        <v>45690</v>
      </c>
      <c r="T392" s="4">
        <v>45742</v>
      </c>
      <c r="U392" s="19">
        <f t="shared" si="102"/>
        <v>-52</v>
      </c>
      <c r="V392" s="5">
        <f t="shared" si="103"/>
        <v>45729</v>
      </c>
      <c r="W392" s="4">
        <v>45742</v>
      </c>
      <c r="X392" s="19">
        <f t="shared" si="104"/>
        <v>-13</v>
      </c>
      <c r="Y392" s="51">
        <f t="shared" si="105"/>
        <v>45754</v>
      </c>
      <c r="Z392" s="4">
        <v>45762</v>
      </c>
      <c r="AA392" s="49">
        <f t="shared" si="106"/>
        <v>-8</v>
      </c>
      <c r="AB392" s="51">
        <f t="shared" si="107"/>
        <v>45759</v>
      </c>
      <c r="AC392" s="49">
        <f t="shared" si="108"/>
        <v>-3</v>
      </c>
      <c r="AD392" s="43">
        <f t="shared" si="109"/>
        <v>45759</v>
      </c>
      <c r="AE392" s="4">
        <v>45762</v>
      </c>
      <c r="AF392" s="19">
        <f t="shared" si="110"/>
        <v>-3</v>
      </c>
      <c r="AG392" s="67"/>
      <c r="AH392" s="2"/>
      <c r="AI392" s="2"/>
      <c r="AJ392" s="2"/>
      <c r="AK392" s="2"/>
      <c r="AL392" s="2"/>
    </row>
    <row r="393" spans="1:38" ht="14.45">
      <c r="A393" s="156">
        <v>392</v>
      </c>
      <c r="B393" s="55">
        <v>45760</v>
      </c>
      <c r="C393" s="40" t="s">
        <v>794</v>
      </c>
      <c r="D393" s="14" t="s">
        <v>38</v>
      </c>
      <c r="E393" s="15">
        <v>177.01</v>
      </c>
      <c r="F393" s="14" t="s">
        <v>795</v>
      </c>
      <c r="G393" s="14" t="s">
        <v>190</v>
      </c>
      <c r="H393" s="14" t="s">
        <v>40</v>
      </c>
      <c r="I393" s="14" t="s">
        <v>41</v>
      </c>
      <c r="J393" s="97">
        <f t="shared" si="96"/>
        <v>45660</v>
      </c>
      <c r="L393" s="19" t="str">
        <f t="shared" si="97"/>
        <v/>
      </c>
      <c r="M393" s="5">
        <f t="shared" si="98"/>
        <v>45671</v>
      </c>
      <c r="N393" s="4">
        <v>45729</v>
      </c>
      <c r="O393" s="19">
        <f t="shared" si="99"/>
        <v>-58</v>
      </c>
      <c r="P393" s="5">
        <f t="shared" si="100"/>
        <v>45686</v>
      </c>
      <c r="Q393" s="4">
        <v>45741</v>
      </c>
      <c r="R393" s="19">
        <f t="shared" si="101"/>
        <v>-55</v>
      </c>
      <c r="S393" s="5">
        <f t="shared" si="111"/>
        <v>45691</v>
      </c>
      <c r="T393" s="4">
        <v>45742</v>
      </c>
      <c r="U393" s="19">
        <f t="shared" si="102"/>
        <v>-51</v>
      </c>
      <c r="V393" s="5">
        <f t="shared" si="103"/>
        <v>45730</v>
      </c>
      <c r="W393" s="4">
        <v>45742</v>
      </c>
      <c r="X393" s="19">
        <f t="shared" si="104"/>
        <v>-12</v>
      </c>
      <c r="Y393" s="51">
        <f t="shared" si="105"/>
        <v>45755</v>
      </c>
      <c r="Z393" s="4">
        <v>45762</v>
      </c>
      <c r="AA393" s="49">
        <f t="shared" si="106"/>
        <v>-7</v>
      </c>
      <c r="AB393" s="51">
        <f t="shared" si="107"/>
        <v>45760</v>
      </c>
      <c r="AC393" s="49">
        <f t="shared" si="108"/>
        <v>-2</v>
      </c>
      <c r="AD393" s="43">
        <f t="shared" si="109"/>
        <v>45760</v>
      </c>
      <c r="AE393" s="4">
        <v>45762</v>
      </c>
      <c r="AF393" s="19">
        <f t="shared" si="110"/>
        <v>-2</v>
      </c>
      <c r="AG393" s="67"/>
      <c r="AH393" s="2"/>
      <c r="AI393" s="2"/>
      <c r="AJ393" s="2"/>
      <c r="AK393" s="2"/>
      <c r="AL393" s="2"/>
    </row>
    <row r="394" spans="1:38" ht="14.45">
      <c r="A394" s="156">
        <v>393</v>
      </c>
      <c r="B394" s="55">
        <v>45762</v>
      </c>
      <c r="C394" s="40" t="s">
        <v>796</v>
      </c>
      <c r="D394" s="14" t="s">
        <v>187</v>
      </c>
      <c r="E394" s="15">
        <v>49795.53</v>
      </c>
      <c r="F394" s="14" t="s">
        <v>797</v>
      </c>
      <c r="G394" s="14" t="s">
        <v>35</v>
      </c>
      <c r="H394" s="14" t="s">
        <v>36</v>
      </c>
      <c r="I394" s="14" t="s">
        <v>585</v>
      </c>
      <c r="J394" s="97">
        <f t="shared" si="96"/>
        <v>45662</v>
      </c>
      <c r="L394" s="19" t="str">
        <f t="shared" si="97"/>
        <v/>
      </c>
      <c r="M394" s="5">
        <f t="shared" si="98"/>
        <v>45673</v>
      </c>
      <c r="O394" s="19" t="str">
        <f t="shared" si="99"/>
        <v/>
      </c>
      <c r="P394" s="5">
        <f t="shared" si="100"/>
        <v>45688</v>
      </c>
      <c r="R394" s="19" t="str">
        <f t="shared" si="101"/>
        <v/>
      </c>
      <c r="S394" s="5">
        <f t="shared" si="111"/>
        <v>45693</v>
      </c>
      <c r="U394" s="19" t="str">
        <f t="shared" si="102"/>
        <v/>
      </c>
      <c r="V394" s="5">
        <f t="shared" si="103"/>
        <v>45732</v>
      </c>
      <c r="X394" s="19" t="str">
        <f t="shared" si="104"/>
        <v/>
      </c>
      <c r="Y394" s="51">
        <f t="shared" si="105"/>
        <v>45757</v>
      </c>
      <c r="AA394" s="49" t="str">
        <f t="shared" si="106"/>
        <v/>
      </c>
      <c r="AB394" s="51">
        <f t="shared" si="107"/>
        <v>45762</v>
      </c>
      <c r="AC394" s="49" t="str">
        <f t="shared" si="108"/>
        <v/>
      </c>
      <c r="AD394" s="43">
        <f t="shared" si="109"/>
        <v>45762</v>
      </c>
      <c r="AF394" s="19" t="str">
        <f t="shared" si="110"/>
        <v/>
      </c>
      <c r="AG394" s="67"/>
      <c r="AH394" s="2"/>
      <c r="AI394" s="2"/>
      <c r="AJ394" s="2"/>
      <c r="AK394" s="2"/>
      <c r="AL394" s="2"/>
    </row>
    <row r="395" spans="1:38" ht="14.45">
      <c r="A395" s="156">
        <v>394</v>
      </c>
      <c r="B395" s="55">
        <v>45762</v>
      </c>
      <c r="C395" s="40" t="s">
        <v>798</v>
      </c>
      <c r="D395" s="14" t="s">
        <v>321</v>
      </c>
      <c r="E395" s="15">
        <v>5860</v>
      </c>
      <c r="F395" s="14" t="s">
        <v>799</v>
      </c>
      <c r="G395" s="14" t="s">
        <v>46</v>
      </c>
      <c r="H395" s="14" t="s">
        <v>40</v>
      </c>
      <c r="I395" s="14" t="s">
        <v>585</v>
      </c>
      <c r="J395" s="97">
        <f t="shared" si="96"/>
        <v>45662</v>
      </c>
      <c r="K395" s="4">
        <v>45667</v>
      </c>
      <c r="L395" s="19">
        <f t="shared" si="97"/>
        <v>-5</v>
      </c>
      <c r="M395" s="5">
        <f t="shared" si="98"/>
        <v>45673</v>
      </c>
      <c r="N395" s="4">
        <v>45715</v>
      </c>
      <c r="O395" s="19">
        <f t="shared" si="99"/>
        <v>-42</v>
      </c>
      <c r="P395" s="5">
        <f t="shared" si="100"/>
        <v>45688</v>
      </c>
      <c r="R395" s="19" t="str">
        <f t="shared" si="101"/>
        <v/>
      </c>
      <c r="S395" s="5">
        <f t="shared" si="111"/>
        <v>45693</v>
      </c>
      <c r="T395" s="4">
        <v>45679</v>
      </c>
      <c r="U395" s="19">
        <f t="shared" si="102"/>
        <v>14</v>
      </c>
      <c r="V395" s="5">
        <f t="shared" si="103"/>
        <v>45732</v>
      </c>
      <c r="W395" s="4">
        <v>45726</v>
      </c>
      <c r="X395" s="19">
        <f t="shared" si="104"/>
        <v>6</v>
      </c>
      <c r="Y395" s="51">
        <f t="shared" si="105"/>
        <v>45757</v>
      </c>
      <c r="Z395" s="4">
        <v>45750</v>
      </c>
      <c r="AA395" s="49">
        <f t="shared" si="106"/>
        <v>7</v>
      </c>
      <c r="AB395" s="51">
        <f t="shared" si="107"/>
        <v>45762</v>
      </c>
      <c r="AC395" s="49">
        <f t="shared" si="108"/>
        <v>12</v>
      </c>
      <c r="AD395" s="43">
        <f t="shared" si="109"/>
        <v>45762</v>
      </c>
      <c r="AE395" s="4">
        <v>45750</v>
      </c>
      <c r="AF395" s="19">
        <f t="shared" si="110"/>
        <v>12</v>
      </c>
      <c r="AG395" s="67"/>
      <c r="AH395" s="2"/>
      <c r="AI395" s="2"/>
      <c r="AJ395" s="2"/>
      <c r="AK395" s="2"/>
      <c r="AL395" s="2"/>
    </row>
    <row r="396" spans="1:38" ht="14.45">
      <c r="A396" s="156">
        <v>395</v>
      </c>
      <c r="B396" s="55">
        <v>45762</v>
      </c>
      <c r="C396" s="40" t="s">
        <v>800</v>
      </c>
      <c r="D396" s="14" t="s">
        <v>321</v>
      </c>
      <c r="E396" s="15">
        <v>2081.31</v>
      </c>
      <c r="F396" s="14" t="s">
        <v>801</v>
      </c>
      <c r="G396" s="14" t="s">
        <v>46</v>
      </c>
      <c r="H396" s="14" t="s">
        <v>40</v>
      </c>
      <c r="I396" s="14" t="s">
        <v>585</v>
      </c>
      <c r="J396" s="97">
        <f t="shared" si="96"/>
        <v>45662</v>
      </c>
      <c r="K396" s="4">
        <v>45667</v>
      </c>
      <c r="L396" s="19">
        <f t="shared" si="97"/>
        <v>-5</v>
      </c>
      <c r="M396" s="5">
        <f t="shared" si="98"/>
        <v>45673</v>
      </c>
      <c r="N396" s="4">
        <v>45715</v>
      </c>
      <c r="O396" s="19">
        <f t="shared" si="99"/>
        <v>-42</v>
      </c>
      <c r="P396" s="5">
        <f t="shared" si="100"/>
        <v>45688</v>
      </c>
      <c r="R396" s="19" t="str">
        <f t="shared" si="101"/>
        <v/>
      </c>
      <c r="S396" s="5">
        <f t="shared" si="111"/>
        <v>45693</v>
      </c>
      <c r="T396" s="4">
        <v>45679</v>
      </c>
      <c r="U396" s="19">
        <f t="shared" si="102"/>
        <v>14</v>
      </c>
      <c r="V396" s="5">
        <f t="shared" si="103"/>
        <v>45732</v>
      </c>
      <c r="W396" s="4">
        <v>45726</v>
      </c>
      <c r="X396" s="19">
        <f t="shared" si="104"/>
        <v>6</v>
      </c>
      <c r="Y396" s="51">
        <f t="shared" si="105"/>
        <v>45757</v>
      </c>
      <c r="Z396" s="4">
        <v>45750</v>
      </c>
      <c r="AA396" s="49">
        <f t="shared" si="106"/>
        <v>7</v>
      </c>
      <c r="AB396" s="51">
        <f t="shared" si="107"/>
        <v>45762</v>
      </c>
      <c r="AC396" s="49">
        <f t="shared" si="108"/>
        <v>12</v>
      </c>
      <c r="AD396" s="43">
        <f t="shared" si="109"/>
        <v>45762</v>
      </c>
      <c r="AE396" s="4">
        <v>45750</v>
      </c>
      <c r="AF396" s="19">
        <f t="shared" si="110"/>
        <v>12</v>
      </c>
      <c r="AG396" s="67"/>
      <c r="AH396" s="2"/>
      <c r="AI396" s="2"/>
      <c r="AJ396" s="2"/>
      <c r="AK396" s="2"/>
      <c r="AL396" s="2"/>
    </row>
    <row r="397" spans="1:38" ht="14.45">
      <c r="A397" s="156">
        <v>396</v>
      </c>
      <c r="B397" s="55">
        <v>45762</v>
      </c>
      <c r="C397" s="40" t="s">
        <v>802</v>
      </c>
      <c r="D397" s="14" t="s">
        <v>77</v>
      </c>
      <c r="E397" s="15">
        <v>13117.65</v>
      </c>
      <c r="F397" s="14" t="s">
        <v>803</v>
      </c>
      <c r="G397" s="14" t="s">
        <v>51</v>
      </c>
      <c r="H397" s="14" t="s">
        <v>40</v>
      </c>
      <c r="I397" s="14" t="s">
        <v>585</v>
      </c>
      <c r="J397" s="97">
        <f t="shared" si="96"/>
        <v>45662</v>
      </c>
      <c r="L397" s="19" t="str">
        <f t="shared" si="97"/>
        <v/>
      </c>
      <c r="M397" s="5">
        <f t="shared" si="98"/>
        <v>45673</v>
      </c>
      <c r="O397" s="19" t="str">
        <f t="shared" si="99"/>
        <v/>
      </c>
      <c r="P397" s="5">
        <f t="shared" si="100"/>
        <v>45688</v>
      </c>
      <c r="R397" s="19" t="str">
        <f t="shared" si="101"/>
        <v/>
      </c>
      <c r="S397" s="5">
        <f t="shared" si="111"/>
        <v>45693</v>
      </c>
      <c r="T397" s="4">
        <v>45694</v>
      </c>
      <c r="U397" s="19">
        <f t="shared" si="102"/>
        <v>-1</v>
      </c>
      <c r="V397" s="5">
        <f t="shared" si="103"/>
        <v>45732</v>
      </c>
      <c r="W397" s="4">
        <v>45735</v>
      </c>
      <c r="X397" s="19">
        <f t="shared" si="104"/>
        <v>-3</v>
      </c>
      <c r="Y397" s="51">
        <f t="shared" si="105"/>
        <v>45757</v>
      </c>
      <c r="Z397" s="4">
        <v>45783</v>
      </c>
      <c r="AA397" s="49">
        <f t="shared" si="106"/>
        <v>-26</v>
      </c>
      <c r="AB397" s="51">
        <f t="shared" si="107"/>
        <v>45762</v>
      </c>
      <c r="AC397" s="49">
        <f t="shared" si="108"/>
        <v>-21</v>
      </c>
      <c r="AD397" s="43">
        <f t="shared" si="109"/>
        <v>45762</v>
      </c>
      <c r="AE397" s="4">
        <v>45783</v>
      </c>
      <c r="AF397" s="19">
        <f t="shared" si="110"/>
        <v>-21</v>
      </c>
      <c r="AG397" s="67"/>
      <c r="AH397" s="2"/>
      <c r="AI397" s="2"/>
      <c r="AJ397" s="2"/>
      <c r="AK397" s="2"/>
      <c r="AL397" s="2"/>
    </row>
    <row r="398" spans="1:38" ht="14.45">
      <c r="A398" s="156">
        <v>397</v>
      </c>
      <c r="B398" s="55">
        <v>45762</v>
      </c>
      <c r="C398" s="40" t="s">
        <v>804</v>
      </c>
      <c r="D398" s="14" t="s">
        <v>77</v>
      </c>
      <c r="E398" s="15">
        <v>15754.53</v>
      </c>
      <c r="F398" s="14" t="s">
        <v>805</v>
      </c>
      <c r="G398" s="14" t="s">
        <v>51</v>
      </c>
      <c r="H398" s="14" t="s">
        <v>40</v>
      </c>
      <c r="I398" s="14" t="s">
        <v>585</v>
      </c>
      <c r="J398" s="97">
        <f t="shared" si="96"/>
        <v>45662</v>
      </c>
      <c r="L398" s="19" t="str">
        <f t="shared" si="97"/>
        <v/>
      </c>
      <c r="M398" s="5">
        <f t="shared" si="98"/>
        <v>45673</v>
      </c>
      <c r="O398" s="19" t="str">
        <f t="shared" si="99"/>
        <v/>
      </c>
      <c r="P398" s="5">
        <f t="shared" si="100"/>
        <v>45688</v>
      </c>
      <c r="R398" s="19" t="str">
        <f t="shared" si="101"/>
        <v/>
      </c>
      <c r="S398" s="5">
        <f t="shared" si="111"/>
        <v>45693</v>
      </c>
      <c r="T398" s="4">
        <v>45694</v>
      </c>
      <c r="U398" s="19">
        <f t="shared" si="102"/>
        <v>-1</v>
      </c>
      <c r="V398" s="5">
        <f t="shared" si="103"/>
        <v>45732</v>
      </c>
      <c r="W398" s="4">
        <v>45735</v>
      </c>
      <c r="X398" s="19">
        <f t="shared" si="104"/>
        <v>-3</v>
      </c>
      <c r="Y398" s="51">
        <f t="shared" si="105"/>
        <v>45757</v>
      </c>
      <c r="Z398" s="4">
        <v>45783</v>
      </c>
      <c r="AA398" s="49">
        <f t="shared" si="106"/>
        <v>-26</v>
      </c>
      <c r="AB398" s="51">
        <f t="shared" si="107"/>
        <v>45762</v>
      </c>
      <c r="AC398" s="49">
        <f t="shared" si="108"/>
        <v>-21</v>
      </c>
      <c r="AD398" s="43">
        <f t="shared" si="109"/>
        <v>45762</v>
      </c>
      <c r="AE398" s="4">
        <v>45783</v>
      </c>
      <c r="AF398" s="19">
        <f t="shared" si="110"/>
        <v>-21</v>
      </c>
      <c r="AG398" s="67"/>
      <c r="AH398" s="2"/>
      <c r="AI398" s="2"/>
      <c r="AJ398" s="2"/>
      <c r="AK398" s="2"/>
      <c r="AL398" s="2"/>
    </row>
    <row r="399" spans="1:38" ht="14.45">
      <c r="A399" s="156">
        <v>398</v>
      </c>
      <c r="B399" s="55">
        <v>45762</v>
      </c>
      <c r="C399" s="40" t="s">
        <v>806</v>
      </c>
      <c r="D399" s="14" t="s">
        <v>807</v>
      </c>
      <c r="E399" s="15">
        <v>474.05</v>
      </c>
      <c r="F399" s="14" t="s">
        <v>808</v>
      </c>
      <c r="G399" s="14" t="s">
        <v>46</v>
      </c>
      <c r="H399" s="14" t="s">
        <v>40</v>
      </c>
      <c r="I399" s="14" t="s">
        <v>585</v>
      </c>
      <c r="J399" s="97">
        <f t="shared" si="96"/>
        <v>45662</v>
      </c>
      <c r="K399" s="4">
        <v>45667</v>
      </c>
      <c r="L399" s="19">
        <f t="shared" si="97"/>
        <v>-5</v>
      </c>
      <c r="M399" s="5">
        <f t="shared" si="98"/>
        <v>45673</v>
      </c>
      <c r="O399" s="19" t="str">
        <f t="shared" si="99"/>
        <v/>
      </c>
      <c r="P399" s="5">
        <f t="shared" si="100"/>
        <v>45688</v>
      </c>
      <c r="R399" s="19" t="str">
        <f t="shared" si="101"/>
        <v/>
      </c>
      <c r="S399" s="5">
        <f t="shared" si="111"/>
        <v>45693</v>
      </c>
      <c r="T399" s="4">
        <v>45679</v>
      </c>
      <c r="U399" s="19">
        <f t="shared" si="102"/>
        <v>14</v>
      </c>
      <c r="V399" s="5">
        <f t="shared" si="103"/>
        <v>45732</v>
      </c>
      <c r="W399" s="4">
        <v>45727</v>
      </c>
      <c r="X399" s="19">
        <f t="shared" si="104"/>
        <v>5</v>
      </c>
      <c r="Y399" s="51">
        <f t="shared" si="105"/>
        <v>45757</v>
      </c>
      <c r="Z399" s="4">
        <v>45755</v>
      </c>
      <c r="AA399" s="49">
        <f t="shared" si="106"/>
        <v>2</v>
      </c>
      <c r="AB399" s="51">
        <f t="shared" si="107"/>
        <v>45762</v>
      </c>
      <c r="AC399" s="49">
        <f t="shared" si="108"/>
        <v>7</v>
      </c>
      <c r="AD399" s="43">
        <f t="shared" si="109"/>
        <v>45762</v>
      </c>
      <c r="AE399" s="4">
        <v>45755</v>
      </c>
      <c r="AF399" s="19">
        <f t="shared" si="110"/>
        <v>7</v>
      </c>
      <c r="AG399" s="67"/>
      <c r="AH399" s="2"/>
      <c r="AI399" s="2"/>
      <c r="AJ399" s="2"/>
      <c r="AK399" s="2"/>
      <c r="AL399" s="2"/>
    </row>
    <row r="400" spans="1:38" ht="14.45">
      <c r="A400" s="156">
        <v>399</v>
      </c>
      <c r="B400" s="55">
        <v>45762</v>
      </c>
      <c r="C400" s="40" t="s">
        <v>809</v>
      </c>
      <c r="D400" s="14" t="s">
        <v>207</v>
      </c>
      <c r="E400" s="15">
        <v>54819.23</v>
      </c>
      <c r="F400" s="14" t="s">
        <v>810</v>
      </c>
      <c r="G400" s="14" t="s">
        <v>35</v>
      </c>
      <c r="H400" s="14" t="s">
        <v>40</v>
      </c>
      <c r="I400" s="14" t="s">
        <v>585</v>
      </c>
      <c r="J400" s="97">
        <f t="shared" si="96"/>
        <v>45662</v>
      </c>
      <c r="L400" s="19" t="str">
        <f t="shared" si="97"/>
        <v/>
      </c>
      <c r="M400" s="5">
        <f t="shared" si="98"/>
        <v>45673</v>
      </c>
      <c r="O400" s="19" t="str">
        <f t="shared" si="99"/>
        <v/>
      </c>
      <c r="P400" s="5">
        <f t="shared" si="100"/>
        <v>45688</v>
      </c>
      <c r="R400" s="19" t="str">
        <f t="shared" si="101"/>
        <v/>
      </c>
      <c r="S400" s="5">
        <f t="shared" si="111"/>
        <v>45693</v>
      </c>
      <c r="T400" s="4">
        <v>45740</v>
      </c>
      <c r="U400" s="19">
        <f t="shared" si="102"/>
        <v>-47</v>
      </c>
      <c r="V400" s="5">
        <f t="shared" si="103"/>
        <v>45732</v>
      </c>
      <c r="W400" s="4">
        <v>45756</v>
      </c>
      <c r="X400" s="19">
        <f t="shared" si="104"/>
        <v>-24</v>
      </c>
      <c r="Y400" s="51">
        <f t="shared" si="105"/>
        <v>45757</v>
      </c>
      <c r="AA400" s="49" t="str">
        <f t="shared" si="106"/>
        <v/>
      </c>
      <c r="AB400" s="51">
        <f t="shared" si="107"/>
        <v>45762</v>
      </c>
      <c r="AC400" s="49" t="str">
        <f t="shared" si="108"/>
        <v/>
      </c>
      <c r="AD400" s="43">
        <f t="shared" si="109"/>
        <v>45762</v>
      </c>
      <c r="AF400" s="19" t="str">
        <f t="shared" si="110"/>
        <v/>
      </c>
      <c r="AG400" s="67"/>
      <c r="AH400" s="2"/>
      <c r="AI400" s="2"/>
      <c r="AJ400" s="2"/>
      <c r="AK400" s="2"/>
      <c r="AL400" s="2"/>
    </row>
    <row r="401" spans="1:38" ht="14.45">
      <c r="A401" s="156">
        <v>400</v>
      </c>
      <c r="B401" s="55">
        <v>45762</v>
      </c>
      <c r="C401" s="40" t="s">
        <v>811</v>
      </c>
      <c r="D401" s="14" t="s">
        <v>812</v>
      </c>
      <c r="E401" s="15">
        <v>20049.64</v>
      </c>
      <c r="F401" s="14" t="s">
        <v>813</v>
      </c>
      <c r="G401" s="14" t="s">
        <v>120</v>
      </c>
      <c r="H401" s="14" t="s">
        <v>40</v>
      </c>
      <c r="I401" s="14" t="s">
        <v>585</v>
      </c>
      <c r="J401" s="97">
        <f t="shared" si="96"/>
        <v>45662</v>
      </c>
      <c r="K401" s="4">
        <v>45664</v>
      </c>
      <c r="L401" s="19">
        <f t="shared" si="97"/>
        <v>-2</v>
      </c>
      <c r="M401" s="5">
        <f t="shared" si="98"/>
        <v>45673</v>
      </c>
      <c r="O401" s="19" t="str">
        <f t="shared" si="99"/>
        <v/>
      </c>
      <c r="P401" s="5">
        <f t="shared" si="100"/>
        <v>45688</v>
      </c>
      <c r="R401" s="19" t="str">
        <f t="shared" si="101"/>
        <v/>
      </c>
      <c r="S401" s="5">
        <f t="shared" si="111"/>
        <v>45693</v>
      </c>
      <c r="T401" s="4">
        <v>45667</v>
      </c>
      <c r="U401" s="19">
        <f t="shared" si="102"/>
        <v>26</v>
      </c>
      <c r="V401" s="5">
        <f t="shared" si="103"/>
        <v>45732</v>
      </c>
      <c r="W401" s="4">
        <v>45734</v>
      </c>
      <c r="X401" s="19">
        <f t="shared" si="104"/>
        <v>-2</v>
      </c>
      <c r="Y401" s="51">
        <f t="shared" si="105"/>
        <v>45757</v>
      </c>
      <c r="Z401" s="4">
        <v>45768</v>
      </c>
      <c r="AA401" s="49">
        <f t="shared" si="106"/>
        <v>-11</v>
      </c>
      <c r="AB401" s="51">
        <f t="shared" si="107"/>
        <v>45762</v>
      </c>
      <c r="AC401" s="49">
        <f t="shared" si="108"/>
        <v>-6</v>
      </c>
      <c r="AD401" s="43">
        <f t="shared" si="109"/>
        <v>45762</v>
      </c>
      <c r="AE401" s="4">
        <v>45768</v>
      </c>
      <c r="AF401" s="19">
        <f t="shared" si="110"/>
        <v>-6</v>
      </c>
      <c r="AG401" s="67"/>
      <c r="AH401" s="2"/>
      <c r="AI401" s="2"/>
      <c r="AJ401" s="2"/>
      <c r="AK401" s="2"/>
      <c r="AL401" s="2"/>
    </row>
    <row r="402" spans="1:38" ht="14.45">
      <c r="A402" s="156">
        <v>401</v>
      </c>
      <c r="B402" s="55">
        <v>45762</v>
      </c>
      <c r="C402" s="40">
        <v>643720485</v>
      </c>
      <c r="D402" s="14" t="s">
        <v>556</v>
      </c>
      <c r="E402" s="15">
        <v>9182.5400000000009</v>
      </c>
      <c r="F402" s="14" t="s">
        <v>814</v>
      </c>
      <c r="G402" s="14" t="s">
        <v>51</v>
      </c>
      <c r="H402" s="14" t="s">
        <v>40</v>
      </c>
      <c r="I402" s="14" t="s">
        <v>585</v>
      </c>
      <c r="J402" s="97">
        <f t="shared" si="96"/>
        <v>45662</v>
      </c>
      <c r="L402" s="19" t="str">
        <f t="shared" si="97"/>
        <v/>
      </c>
      <c r="M402" s="5">
        <f t="shared" si="98"/>
        <v>45673</v>
      </c>
      <c r="O402" s="19" t="str">
        <f t="shared" si="99"/>
        <v/>
      </c>
      <c r="P402" s="5">
        <f t="shared" si="100"/>
        <v>45688</v>
      </c>
      <c r="R402" s="19" t="str">
        <f t="shared" si="101"/>
        <v/>
      </c>
      <c r="S402" s="5">
        <f t="shared" si="111"/>
        <v>45693</v>
      </c>
      <c r="T402" s="4">
        <v>45694</v>
      </c>
      <c r="U402" s="19">
        <f t="shared" si="102"/>
        <v>-1</v>
      </c>
      <c r="V402" s="5">
        <f t="shared" si="103"/>
        <v>45732</v>
      </c>
      <c r="W402" s="4">
        <v>45735</v>
      </c>
      <c r="X402" s="19">
        <f t="shared" si="104"/>
        <v>-3</v>
      </c>
      <c r="Y402" s="51">
        <f t="shared" si="105"/>
        <v>45757</v>
      </c>
      <c r="Z402" s="4">
        <v>45783</v>
      </c>
      <c r="AA402" s="49">
        <f t="shared" si="106"/>
        <v>-26</v>
      </c>
      <c r="AB402" s="51">
        <f t="shared" si="107"/>
        <v>45762</v>
      </c>
      <c r="AC402" s="49">
        <f t="shared" si="108"/>
        <v>-21</v>
      </c>
      <c r="AD402" s="43">
        <f t="shared" si="109"/>
        <v>45762</v>
      </c>
      <c r="AE402" s="4">
        <v>45783</v>
      </c>
      <c r="AF402" s="19">
        <f t="shared" si="110"/>
        <v>-21</v>
      </c>
      <c r="AG402" s="67"/>
      <c r="AH402" s="2"/>
      <c r="AI402" s="2"/>
      <c r="AJ402" s="2"/>
      <c r="AK402" s="2"/>
      <c r="AL402" s="2"/>
    </row>
    <row r="403" spans="1:38" ht="14.45">
      <c r="A403" s="156">
        <v>402</v>
      </c>
      <c r="B403" s="55">
        <v>45762</v>
      </c>
      <c r="C403" s="40">
        <v>643941875</v>
      </c>
      <c r="D403" s="14" t="s">
        <v>556</v>
      </c>
      <c r="E403" s="15">
        <v>8562.33</v>
      </c>
      <c r="F403" s="14" t="s">
        <v>815</v>
      </c>
      <c r="G403" s="14" t="s">
        <v>51</v>
      </c>
      <c r="H403" s="14" t="s">
        <v>40</v>
      </c>
      <c r="I403" s="14" t="s">
        <v>585</v>
      </c>
      <c r="J403" s="97">
        <f t="shared" si="96"/>
        <v>45662</v>
      </c>
      <c r="L403" s="19" t="str">
        <f t="shared" si="97"/>
        <v/>
      </c>
      <c r="M403" s="5">
        <f t="shared" si="98"/>
        <v>45673</v>
      </c>
      <c r="O403" s="19" t="str">
        <f t="shared" si="99"/>
        <v/>
      </c>
      <c r="P403" s="5">
        <f t="shared" si="100"/>
        <v>45688</v>
      </c>
      <c r="R403" s="19" t="str">
        <f t="shared" si="101"/>
        <v/>
      </c>
      <c r="S403" s="5">
        <f t="shared" si="111"/>
        <v>45693</v>
      </c>
      <c r="T403" s="4">
        <v>45694</v>
      </c>
      <c r="U403" s="19">
        <f t="shared" si="102"/>
        <v>-1</v>
      </c>
      <c r="V403" s="5">
        <f t="shared" si="103"/>
        <v>45732</v>
      </c>
      <c r="W403" s="4">
        <v>45735</v>
      </c>
      <c r="X403" s="19">
        <f t="shared" si="104"/>
        <v>-3</v>
      </c>
      <c r="Y403" s="51">
        <f t="shared" si="105"/>
        <v>45757</v>
      </c>
      <c r="Z403" s="4">
        <v>45783</v>
      </c>
      <c r="AA403" s="49">
        <f t="shared" si="106"/>
        <v>-26</v>
      </c>
      <c r="AB403" s="51">
        <f t="shared" si="107"/>
        <v>45762</v>
      </c>
      <c r="AC403" s="49">
        <f t="shared" si="108"/>
        <v>-21</v>
      </c>
      <c r="AD403" s="43">
        <f t="shared" si="109"/>
        <v>45762</v>
      </c>
      <c r="AE403" s="4">
        <v>45783</v>
      </c>
      <c r="AF403" s="19">
        <f t="shared" si="110"/>
        <v>-21</v>
      </c>
      <c r="AG403" s="67"/>
      <c r="AH403" s="2"/>
      <c r="AI403" s="2"/>
      <c r="AJ403" s="2"/>
      <c r="AK403" s="2"/>
      <c r="AL403" s="2"/>
    </row>
    <row r="404" spans="1:38" ht="14.45">
      <c r="A404" s="156">
        <v>403</v>
      </c>
      <c r="B404" s="55">
        <v>45762</v>
      </c>
      <c r="C404" s="40">
        <v>643941891</v>
      </c>
      <c r="D404" s="14" t="s">
        <v>556</v>
      </c>
      <c r="E404" s="15">
        <v>8569.4</v>
      </c>
      <c r="F404" s="14" t="s">
        <v>816</v>
      </c>
      <c r="G404" s="14" t="s">
        <v>51</v>
      </c>
      <c r="H404" s="14" t="s">
        <v>40</v>
      </c>
      <c r="I404" s="14" t="s">
        <v>585</v>
      </c>
      <c r="J404" s="97">
        <f t="shared" si="96"/>
        <v>45662</v>
      </c>
      <c r="L404" s="19" t="str">
        <f t="shared" si="97"/>
        <v/>
      </c>
      <c r="M404" s="5">
        <f t="shared" si="98"/>
        <v>45673</v>
      </c>
      <c r="O404" s="19" t="str">
        <f t="shared" si="99"/>
        <v/>
      </c>
      <c r="P404" s="5">
        <f t="shared" si="100"/>
        <v>45688</v>
      </c>
      <c r="R404" s="19" t="str">
        <f t="shared" si="101"/>
        <v/>
      </c>
      <c r="S404" s="5">
        <f t="shared" si="111"/>
        <v>45693</v>
      </c>
      <c r="T404" s="4">
        <v>45694</v>
      </c>
      <c r="U404" s="19">
        <f t="shared" si="102"/>
        <v>-1</v>
      </c>
      <c r="V404" s="5">
        <f t="shared" si="103"/>
        <v>45732</v>
      </c>
      <c r="W404" s="4">
        <v>45735</v>
      </c>
      <c r="X404" s="19">
        <f t="shared" si="104"/>
        <v>-3</v>
      </c>
      <c r="Y404" s="51">
        <f t="shared" si="105"/>
        <v>45757</v>
      </c>
      <c r="Z404" s="4">
        <v>45783</v>
      </c>
      <c r="AA404" s="49">
        <f t="shared" si="106"/>
        <v>-26</v>
      </c>
      <c r="AB404" s="51">
        <f t="shared" si="107"/>
        <v>45762</v>
      </c>
      <c r="AC404" s="49">
        <f t="shared" si="108"/>
        <v>-21</v>
      </c>
      <c r="AD404" s="43">
        <f t="shared" si="109"/>
        <v>45762</v>
      </c>
      <c r="AE404" s="4">
        <v>45783</v>
      </c>
      <c r="AF404" s="19">
        <f t="shared" si="110"/>
        <v>-21</v>
      </c>
      <c r="AG404" s="67"/>
      <c r="AH404" s="2"/>
      <c r="AI404" s="2"/>
      <c r="AJ404" s="2"/>
      <c r="AK404" s="2"/>
      <c r="AL404" s="2"/>
    </row>
    <row r="405" spans="1:38" ht="14.45">
      <c r="A405" s="156">
        <v>404</v>
      </c>
      <c r="B405" s="55">
        <v>45762</v>
      </c>
      <c r="C405" s="40">
        <v>643940893</v>
      </c>
      <c r="D405" s="14" t="s">
        <v>556</v>
      </c>
      <c r="E405" s="15">
        <v>9156.99</v>
      </c>
      <c r="F405" s="14" t="s">
        <v>817</v>
      </c>
      <c r="G405" s="14" t="s">
        <v>51</v>
      </c>
      <c r="H405" s="14" t="s">
        <v>40</v>
      </c>
      <c r="I405" s="14" t="s">
        <v>585</v>
      </c>
      <c r="J405" s="97">
        <f t="shared" si="96"/>
        <v>45662</v>
      </c>
      <c r="L405" s="19" t="str">
        <f t="shared" si="97"/>
        <v/>
      </c>
      <c r="M405" s="5">
        <f t="shared" si="98"/>
        <v>45673</v>
      </c>
      <c r="O405" s="19" t="str">
        <f t="shared" si="99"/>
        <v/>
      </c>
      <c r="P405" s="5">
        <f t="shared" si="100"/>
        <v>45688</v>
      </c>
      <c r="R405" s="19" t="str">
        <f t="shared" si="101"/>
        <v/>
      </c>
      <c r="S405" s="5">
        <f t="shared" si="111"/>
        <v>45693</v>
      </c>
      <c r="T405" s="4">
        <v>45694</v>
      </c>
      <c r="U405" s="19">
        <f t="shared" si="102"/>
        <v>-1</v>
      </c>
      <c r="V405" s="5">
        <f t="shared" si="103"/>
        <v>45732</v>
      </c>
      <c r="W405" s="4">
        <v>45735</v>
      </c>
      <c r="X405" s="19">
        <f t="shared" si="104"/>
        <v>-3</v>
      </c>
      <c r="Y405" s="51">
        <f t="shared" si="105"/>
        <v>45757</v>
      </c>
      <c r="Z405" s="4">
        <v>45783</v>
      </c>
      <c r="AA405" s="49">
        <f t="shared" si="106"/>
        <v>-26</v>
      </c>
      <c r="AB405" s="51">
        <f t="shared" si="107"/>
        <v>45762</v>
      </c>
      <c r="AC405" s="49">
        <f t="shared" si="108"/>
        <v>-21</v>
      </c>
      <c r="AD405" s="43">
        <f t="shared" si="109"/>
        <v>45762</v>
      </c>
      <c r="AE405" s="4">
        <v>45783</v>
      </c>
      <c r="AF405" s="19">
        <f t="shared" si="110"/>
        <v>-21</v>
      </c>
      <c r="AG405" s="67"/>
      <c r="AH405" s="2"/>
      <c r="AI405" s="2"/>
      <c r="AJ405" s="2"/>
      <c r="AK405" s="2"/>
      <c r="AL405" s="2"/>
    </row>
    <row r="406" spans="1:38" ht="14.45">
      <c r="A406" s="156">
        <v>405</v>
      </c>
      <c r="B406" s="55">
        <v>45762</v>
      </c>
      <c r="C406" s="40">
        <v>643719800</v>
      </c>
      <c r="D406" s="14" t="s">
        <v>556</v>
      </c>
      <c r="E406" s="15">
        <v>9103.7000000000007</v>
      </c>
      <c r="F406" s="14" t="s">
        <v>818</v>
      </c>
      <c r="G406" s="14" t="s">
        <v>51</v>
      </c>
      <c r="H406" s="14" t="s">
        <v>40</v>
      </c>
      <c r="I406" s="14" t="s">
        <v>585</v>
      </c>
      <c r="J406" s="97">
        <f t="shared" si="96"/>
        <v>45662</v>
      </c>
      <c r="L406" s="19" t="str">
        <f t="shared" si="97"/>
        <v/>
      </c>
      <c r="M406" s="5">
        <f t="shared" si="98"/>
        <v>45673</v>
      </c>
      <c r="O406" s="19" t="str">
        <f t="shared" si="99"/>
        <v/>
      </c>
      <c r="P406" s="5">
        <f t="shared" si="100"/>
        <v>45688</v>
      </c>
      <c r="R406" s="19" t="str">
        <f t="shared" si="101"/>
        <v/>
      </c>
      <c r="S406" s="5">
        <f t="shared" si="111"/>
        <v>45693</v>
      </c>
      <c r="T406" s="4">
        <v>45694</v>
      </c>
      <c r="U406" s="19">
        <f t="shared" si="102"/>
        <v>-1</v>
      </c>
      <c r="V406" s="5">
        <f t="shared" si="103"/>
        <v>45732</v>
      </c>
      <c r="W406" s="4">
        <v>45735</v>
      </c>
      <c r="X406" s="19">
        <f t="shared" si="104"/>
        <v>-3</v>
      </c>
      <c r="Y406" s="51">
        <f t="shared" si="105"/>
        <v>45757</v>
      </c>
      <c r="Z406" s="4">
        <v>45783</v>
      </c>
      <c r="AA406" s="49">
        <f t="shared" si="106"/>
        <v>-26</v>
      </c>
      <c r="AB406" s="51">
        <f t="shared" si="107"/>
        <v>45762</v>
      </c>
      <c r="AC406" s="49">
        <f t="shared" si="108"/>
        <v>-21</v>
      </c>
      <c r="AD406" s="43">
        <f t="shared" si="109"/>
        <v>45762</v>
      </c>
      <c r="AE406" s="4">
        <v>45783</v>
      </c>
      <c r="AF406" s="19">
        <f t="shared" si="110"/>
        <v>-21</v>
      </c>
      <c r="AG406" s="67"/>
      <c r="AH406" s="2"/>
      <c r="AI406" s="2"/>
      <c r="AJ406" s="2"/>
      <c r="AK406" s="2"/>
      <c r="AL406" s="2"/>
    </row>
    <row r="407" spans="1:38" ht="14.45">
      <c r="A407" s="156">
        <v>406</v>
      </c>
      <c r="B407" s="55">
        <v>45762</v>
      </c>
      <c r="C407" s="40">
        <v>644109837</v>
      </c>
      <c r="D407" s="14" t="s">
        <v>556</v>
      </c>
      <c r="E407" s="15">
        <v>9150.26</v>
      </c>
      <c r="F407" s="14" t="s">
        <v>819</v>
      </c>
      <c r="G407" s="14" t="s">
        <v>51</v>
      </c>
      <c r="H407" s="14" t="s">
        <v>40</v>
      </c>
      <c r="I407" s="14" t="s">
        <v>585</v>
      </c>
      <c r="J407" s="97">
        <f t="shared" si="96"/>
        <v>45662</v>
      </c>
      <c r="L407" s="19" t="str">
        <f t="shared" si="97"/>
        <v/>
      </c>
      <c r="M407" s="5">
        <f t="shared" si="98"/>
        <v>45673</v>
      </c>
      <c r="O407" s="19" t="str">
        <f t="shared" si="99"/>
        <v/>
      </c>
      <c r="P407" s="5">
        <f t="shared" si="100"/>
        <v>45688</v>
      </c>
      <c r="R407" s="19" t="str">
        <f t="shared" si="101"/>
        <v/>
      </c>
      <c r="S407" s="5">
        <f t="shared" si="111"/>
        <v>45693</v>
      </c>
      <c r="T407" s="4">
        <v>45694</v>
      </c>
      <c r="U407" s="19">
        <f t="shared" si="102"/>
        <v>-1</v>
      </c>
      <c r="V407" s="5">
        <f t="shared" si="103"/>
        <v>45732</v>
      </c>
      <c r="W407" s="4">
        <v>45735</v>
      </c>
      <c r="X407" s="19">
        <f t="shared" si="104"/>
        <v>-3</v>
      </c>
      <c r="Y407" s="51">
        <f t="shared" si="105"/>
        <v>45757</v>
      </c>
      <c r="Z407" s="4">
        <v>45783</v>
      </c>
      <c r="AA407" s="49">
        <f t="shared" si="106"/>
        <v>-26</v>
      </c>
      <c r="AB407" s="51">
        <f t="shared" si="107"/>
        <v>45762</v>
      </c>
      <c r="AC407" s="49">
        <f t="shared" si="108"/>
        <v>-21</v>
      </c>
      <c r="AD407" s="43">
        <f t="shared" si="109"/>
        <v>45762</v>
      </c>
      <c r="AE407" s="4">
        <v>45783</v>
      </c>
      <c r="AF407" s="19">
        <f t="shared" si="110"/>
        <v>-21</v>
      </c>
      <c r="AG407" s="67"/>
      <c r="AH407" s="2"/>
      <c r="AI407" s="2"/>
      <c r="AJ407" s="2"/>
      <c r="AK407" s="2"/>
      <c r="AL407" s="2"/>
    </row>
    <row r="408" spans="1:38" ht="14.45">
      <c r="A408" s="156">
        <v>407</v>
      </c>
      <c r="B408" s="55">
        <v>45762</v>
      </c>
      <c r="C408" s="40">
        <v>653603621</v>
      </c>
      <c r="D408" s="14" t="s">
        <v>556</v>
      </c>
      <c r="E408" s="15">
        <v>9151.69</v>
      </c>
      <c r="F408" s="14" t="s">
        <v>820</v>
      </c>
      <c r="G408" s="14" t="s">
        <v>51</v>
      </c>
      <c r="H408" s="14" t="s">
        <v>40</v>
      </c>
      <c r="I408" s="14" t="s">
        <v>585</v>
      </c>
      <c r="J408" s="97">
        <f t="shared" si="96"/>
        <v>45662</v>
      </c>
      <c r="L408" s="19" t="str">
        <f t="shared" si="97"/>
        <v/>
      </c>
      <c r="M408" s="5">
        <f t="shared" si="98"/>
        <v>45673</v>
      </c>
      <c r="O408" s="19" t="str">
        <f t="shared" si="99"/>
        <v/>
      </c>
      <c r="P408" s="5">
        <f t="shared" si="100"/>
        <v>45688</v>
      </c>
      <c r="R408" s="19" t="str">
        <f t="shared" si="101"/>
        <v/>
      </c>
      <c r="S408" s="5">
        <f t="shared" si="111"/>
        <v>45693</v>
      </c>
      <c r="T408" s="4">
        <v>45694</v>
      </c>
      <c r="U408" s="19">
        <f t="shared" si="102"/>
        <v>-1</v>
      </c>
      <c r="V408" s="5">
        <f t="shared" si="103"/>
        <v>45732</v>
      </c>
      <c r="W408" s="4">
        <v>45735</v>
      </c>
      <c r="X408" s="19">
        <f t="shared" si="104"/>
        <v>-3</v>
      </c>
      <c r="Y408" s="51">
        <f t="shared" si="105"/>
        <v>45757</v>
      </c>
      <c r="Z408" s="4">
        <v>45783</v>
      </c>
      <c r="AA408" s="49">
        <f t="shared" si="106"/>
        <v>-26</v>
      </c>
      <c r="AB408" s="51">
        <f t="shared" si="107"/>
        <v>45762</v>
      </c>
      <c r="AC408" s="49">
        <f t="shared" si="108"/>
        <v>-21</v>
      </c>
      <c r="AD408" s="43">
        <f t="shared" si="109"/>
        <v>45762</v>
      </c>
      <c r="AE408" s="4">
        <v>45783</v>
      </c>
      <c r="AF408" s="19">
        <f t="shared" si="110"/>
        <v>-21</v>
      </c>
      <c r="AG408" s="67"/>
      <c r="AH408" s="2"/>
      <c r="AI408" s="2"/>
      <c r="AJ408" s="2"/>
      <c r="AK408" s="2"/>
      <c r="AL408" s="2"/>
    </row>
    <row r="409" spans="1:38" ht="14.45">
      <c r="A409" s="156">
        <v>408</v>
      </c>
      <c r="B409" s="55">
        <v>45762</v>
      </c>
      <c r="C409" s="40">
        <v>642664593</v>
      </c>
      <c r="D409" s="14" t="s">
        <v>556</v>
      </c>
      <c r="E409" s="15">
        <v>8645.5</v>
      </c>
      <c r="F409" s="14" t="s">
        <v>821</v>
      </c>
      <c r="G409" s="14" t="s">
        <v>51</v>
      </c>
      <c r="H409" s="14" t="s">
        <v>40</v>
      </c>
      <c r="I409" s="14" t="s">
        <v>585</v>
      </c>
      <c r="J409" s="97">
        <f t="shared" si="96"/>
        <v>45662</v>
      </c>
      <c r="L409" s="19" t="str">
        <f t="shared" si="97"/>
        <v/>
      </c>
      <c r="M409" s="5">
        <f t="shared" si="98"/>
        <v>45673</v>
      </c>
      <c r="O409" s="19" t="str">
        <f t="shared" si="99"/>
        <v/>
      </c>
      <c r="P409" s="5">
        <f t="shared" si="100"/>
        <v>45688</v>
      </c>
      <c r="R409" s="19" t="str">
        <f t="shared" si="101"/>
        <v/>
      </c>
      <c r="S409" s="5">
        <f t="shared" si="111"/>
        <v>45693</v>
      </c>
      <c r="T409" s="4">
        <v>45694</v>
      </c>
      <c r="U409" s="19">
        <f t="shared" si="102"/>
        <v>-1</v>
      </c>
      <c r="V409" s="5">
        <f t="shared" si="103"/>
        <v>45732</v>
      </c>
      <c r="W409" s="4">
        <v>45735</v>
      </c>
      <c r="X409" s="19">
        <f t="shared" si="104"/>
        <v>-3</v>
      </c>
      <c r="Y409" s="51">
        <f t="shared" si="105"/>
        <v>45757</v>
      </c>
      <c r="Z409" s="4">
        <v>45783</v>
      </c>
      <c r="AA409" s="49">
        <f t="shared" si="106"/>
        <v>-26</v>
      </c>
      <c r="AB409" s="51">
        <f t="shared" si="107"/>
        <v>45762</v>
      </c>
      <c r="AC409" s="49">
        <f t="shared" si="108"/>
        <v>-21</v>
      </c>
      <c r="AD409" s="43">
        <f t="shared" si="109"/>
        <v>45762</v>
      </c>
      <c r="AE409" s="4">
        <v>45783</v>
      </c>
      <c r="AF409" s="19">
        <f t="shared" si="110"/>
        <v>-21</v>
      </c>
      <c r="AG409" s="67"/>
      <c r="AH409" s="2"/>
      <c r="AI409" s="2"/>
      <c r="AJ409" s="2"/>
      <c r="AK409" s="2"/>
      <c r="AL409" s="2"/>
    </row>
    <row r="410" spans="1:38" ht="14.45">
      <c r="A410" s="156">
        <v>409</v>
      </c>
      <c r="B410" s="55">
        <v>45762</v>
      </c>
      <c r="C410" s="40">
        <v>642724348</v>
      </c>
      <c r="D410" s="14" t="s">
        <v>556</v>
      </c>
      <c r="E410" s="15">
        <v>9692.5300000000007</v>
      </c>
      <c r="F410" s="14" t="s">
        <v>822</v>
      </c>
      <c r="G410" s="14" t="s">
        <v>51</v>
      </c>
      <c r="H410" s="14" t="s">
        <v>40</v>
      </c>
      <c r="I410" s="14" t="s">
        <v>585</v>
      </c>
      <c r="J410" s="97">
        <f t="shared" si="96"/>
        <v>45662</v>
      </c>
      <c r="L410" s="19" t="str">
        <f t="shared" si="97"/>
        <v/>
      </c>
      <c r="M410" s="5">
        <f t="shared" si="98"/>
        <v>45673</v>
      </c>
      <c r="O410" s="19" t="str">
        <f t="shared" si="99"/>
        <v/>
      </c>
      <c r="P410" s="5">
        <f t="shared" si="100"/>
        <v>45688</v>
      </c>
      <c r="R410" s="19" t="str">
        <f t="shared" si="101"/>
        <v/>
      </c>
      <c r="S410" s="5">
        <f t="shared" si="111"/>
        <v>45693</v>
      </c>
      <c r="T410" s="4">
        <v>45694</v>
      </c>
      <c r="U410" s="19">
        <f t="shared" si="102"/>
        <v>-1</v>
      </c>
      <c r="V410" s="5">
        <f t="shared" si="103"/>
        <v>45732</v>
      </c>
      <c r="W410" s="4">
        <v>45735</v>
      </c>
      <c r="X410" s="19">
        <f t="shared" si="104"/>
        <v>-3</v>
      </c>
      <c r="Y410" s="51">
        <f t="shared" si="105"/>
        <v>45757</v>
      </c>
      <c r="Z410" s="4">
        <v>45783</v>
      </c>
      <c r="AA410" s="49">
        <f t="shared" si="106"/>
        <v>-26</v>
      </c>
      <c r="AB410" s="51">
        <f t="shared" si="107"/>
        <v>45762</v>
      </c>
      <c r="AC410" s="49">
        <f t="shared" si="108"/>
        <v>-21</v>
      </c>
      <c r="AD410" s="43">
        <f t="shared" si="109"/>
        <v>45762</v>
      </c>
      <c r="AE410" s="4">
        <v>45783</v>
      </c>
      <c r="AF410" s="19">
        <f t="shared" si="110"/>
        <v>-21</v>
      </c>
      <c r="AG410" s="67"/>
      <c r="AH410" s="2"/>
      <c r="AI410" s="2"/>
      <c r="AJ410" s="2"/>
      <c r="AK410" s="2"/>
      <c r="AL410" s="2"/>
    </row>
    <row r="411" spans="1:38" ht="14.45">
      <c r="A411" s="156">
        <v>410</v>
      </c>
      <c r="B411" s="55">
        <v>45762</v>
      </c>
      <c r="C411" s="40">
        <v>643682610</v>
      </c>
      <c r="D411" s="14" t="s">
        <v>556</v>
      </c>
      <c r="E411" s="15">
        <v>9420.4699999999993</v>
      </c>
      <c r="F411" s="14" t="s">
        <v>823</v>
      </c>
      <c r="G411" s="14" t="s">
        <v>51</v>
      </c>
      <c r="H411" s="14" t="s">
        <v>40</v>
      </c>
      <c r="I411" s="14" t="s">
        <v>585</v>
      </c>
      <c r="J411" s="97">
        <f t="shared" si="96"/>
        <v>45662</v>
      </c>
      <c r="L411" s="19" t="str">
        <f t="shared" si="97"/>
        <v/>
      </c>
      <c r="M411" s="5">
        <f t="shared" si="98"/>
        <v>45673</v>
      </c>
      <c r="O411" s="19" t="str">
        <f t="shared" si="99"/>
        <v/>
      </c>
      <c r="P411" s="5">
        <f t="shared" si="100"/>
        <v>45688</v>
      </c>
      <c r="R411" s="19" t="str">
        <f t="shared" si="101"/>
        <v/>
      </c>
      <c r="S411" s="5">
        <f t="shared" si="111"/>
        <v>45693</v>
      </c>
      <c r="T411" s="4">
        <v>45694</v>
      </c>
      <c r="U411" s="19">
        <f t="shared" si="102"/>
        <v>-1</v>
      </c>
      <c r="V411" s="5">
        <f t="shared" si="103"/>
        <v>45732</v>
      </c>
      <c r="W411" s="4">
        <v>45735</v>
      </c>
      <c r="X411" s="19">
        <f t="shared" si="104"/>
        <v>-3</v>
      </c>
      <c r="Y411" s="51">
        <f t="shared" si="105"/>
        <v>45757</v>
      </c>
      <c r="Z411" s="4">
        <v>45783</v>
      </c>
      <c r="AA411" s="49">
        <f t="shared" si="106"/>
        <v>-26</v>
      </c>
      <c r="AB411" s="51">
        <f t="shared" si="107"/>
        <v>45762</v>
      </c>
      <c r="AC411" s="49">
        <f t="shared" si="108"/>
        <v>-21</v>
      </c>
      <c r="AD411" s="43">
        <f t="shared" si="109"/>
        <v>45762</v>
      </c>
      <c r="AE411" s="4">
        <v>45783</v>
      </c>
      <c r="AF411" s="19">
        <f t="shared" si="110"/>
        <v>-21</v>
      </c>
      <c r="AG411" s="67"/>
      <c r="AH411" s="2"/>
      <c r="AI411" s="2"/>
      <c r="AJ411" s="2"/>
      <c r="AK411" s="2"/>
      <c r="AL411" s="2"/>
    </row>
    <row r="412" spans="1:38" ht="14.45">
      <c r="A412" s="156">
        <v>411</v>
      </c>
      <c r="B412" s="55">
        <v>45762</v>
      </c>
      <c r="C412" s="40">
        <v>645111170</v>
      </c>
      <c r="D412" s="14" t="s">
        <v>556</v>
      </c>
      <c r="E412" s="15">
        <v>7229.71</v>
      </c>
      <c r="F412" s="14" t="s">
        <v>824</v>
      </c>
      <c r="G412" s="14" t="s">
        <v>51</v>
      </c>
      <c r="H412" s="14" t="s">
        <v>40</v>
      </c>
      <c r="I412" s="14" t="s">
        <v>585</v>
      </c>
      <c r="J412" s="97">
        <f t="shared" si="96"/>
        <v>45662</v>
      </c>
      <c r="L412" s="19" t="str">
        <f t="shared" si="97"/>
        <v/>
      </c>
      <c r="M412" s="5">
        <f t="shared" si="98"/>
        <v>45673</v>
      </c>
      <c r="O412" s="19" t="str">
        <f t="shared" si="99"/>
        <v/>
      </c>
      <c r="P412" s="5">
        <f t="shared" si="100"/>
        <v>45688</v>
      </c>
      <c r="R412" s="19" t="str">
        <f t="shared" si="101"/>
        <v/>
      </c>
      <c r="S412" s="5">
        <f t="shared" si="111"/>
        <v>45693</v>
      </c>
      <c r="T412" s="4">
        <v>45694</v>
      </c>
      <c r="U412" s="19">
        <f t="shared" si="102"/>
        <v>-1</v>
      </c>
      <c r="V412" s="5">
        <f t="shared" si="103"/>
        <v>45732</v>
      </c>
      <c r="W412" s="4">
        <v>45735</v>
      </c>
      <c r="X412" s="19">
        <f t="shared" si="104"/>
        <v>-3</v>
      </c>
      <c r="Y412" s="51">
        <f t="shared" si="105"/>
        <v>45757</v>
      </c>
      <c r="Z412" s="4">
        <v>45783</v>
      </c>
      <c r="AA412" s="49">
        <f t="shared" si="106"/>
        <v>-26</v>
      </c>
      <c r="AB412" s="51">
        <f t="shared" si="107"/>
        <v>45762</v>
      </c>
      <c r="AC412" s="49">
        <f t="shared" si="108"/>
        <v>-21</v>
      </c>
      <c r="AD412" s="43">
        <f t="shared" si="109"/>
        <v>45762</v>
      </c>
      <c r="AE412" s="4">
        <v>45783</v>
      </c>
      <c r="AF412" s="19">
        <f t="shared" si="110"/>
        <v>-21</v>
      </c>
      <c r="AG412" s="67"/>
      <c r="AH412" s="2"/>
      <c r="AI412" s="2"/>
      <c r="AJ412" s="2"/>
      <c r="AK412" s="2"/>
      <c r="AL412" s="2"/>
    </row>
    <row r="413" spans="1:38" ht="14.45">
      <c r="A413" s="156">
        <v>412</v>
      </c>
      <c r="B413" s="55">
        <v>45762</v>
      </c>
      <c r="C413" s="40">
        <v>646825489</v>
      </c>
      <c r="D413" s="14" t="s">
        <v>556</v>
      </c>
      <c r="E413" s="15">
        <v>8713.6200000000008</v>
      </c>
      <c r="F413" s="14" t="s">
        <v>825</v>
      </c>
      <c r="G413" s="14" t="s">
        <v>51</v>
      </c>
      <c r="H413" s="14" t="s">
        <v>40</v>
      </c>
      <c r="I413" s="14" t="s">
        <v>585</v>
      </c>
      <c r="J413" s="97">
        <f t="shared" si="96"/>
        <v>45662</v>
      </c>
      <c r="L413" s="19" t="str">
        <f t="shared" si="97"/>
        <v/>
      </c>
      <c r="M413" s="5">
        <f t="shared" si="98"/>
        <v>45673</v>
      </c>
      <c r="O413" s="19" t="str">
        <f t="shared" si="99"/>
        <v/>
      </c>
      <c r="P413" s="5">
        <f t="shared" si="100"/>
        <v>45688</v>
      </c>
      <c r="R413" s="19" t="str">
        <f t="shared" si="101"/>
        <v/>
      </c>
      <c r="S413" s="5">
        <f t="shared" si="111"/>
        <v>45693</v>
      </c>
      <c r="T413" s="4">
        <v>45694</v>
      </c>
      <c r="U413" s="19">
        <f t="shared" si="102"/>
        <v>-1</v>
      </c>
      <c r="V413" s="5">
        <f t="shared" si="103"/>
        <v>45732</v>
      </c>
      <c r="W413" s="4">
        <v>45735</v>
      </c>
      <c r="X413" s="19">
        <f t="shared" si="104"/>
        <v>-3</v>
      </c>
      <c r="Y413" s="51">
        <f t="shared" si="105"/>
        <v>45757</v>
      </c>
      <c r="Z413" s="4">
        <v>45783</v>
      </c>
      <c r="AA413" s="49">
        <f t="shared" si="106"/>
        <v>-26</v>
      </c>
      <c r="AB413" s="51">
        <f t="shared" si="107"/>
        <v>45762</v>
      </c>
      <c r="AC413" s="49">
        <f t="shared" si="108"/>
        <v>-21</v>
      </c>
      <c r="AD413" s="43">
        <f t="shared" si="109"/>
        <v>45762</v>
      </c>
      <c r="AE413" s="4">
        <v>45783</v>
      </c>
      <c r="AF413" s="19">
        <f t="shared" si="110"/>
        <v>-21</v>
      </c>
      <c r="AG413" s="67"/>
      <c r="AH413" s="2"/>
      <c r="AI413" s="2"/>
      <c r="AJ413" s="2"/>
      <c r="AK413" s="2"/>
      <c r="AL413" s="2"/>
    </row>
    <row r="414" spans="1:38" ht="14.45">
      <c r="A414" s="156">
        <v>413</v>
      </c>
      <c r="B414" s="55">
        <v>45762</v>
      </c>
      <c r="C414" s="40">
        <v>643138266</v>
      </c>
      <c r="D414" s="14" t="s">
        <v>556</v>
      </c>
      <c r="E414" s="15">
        <v>10934.04</v>
      </c>
      <c r="F414" s="14" t="s">
        <v>826</v>
      </c>
      <c r="G414" s="14" t="s">
        <v>51</v>
      </c>
      <c r="H414" s="14" t="s">
        <v>40</v>
      </c>
      <c r="I414" s="14" t="s">
        <v>585</v>
      </c>
      <c r="J414" s="97">
        <f t="shared" si="96"/>
        <v>45662</v>
      </c>
      <c r="L414" s="19" t="str">
        <f t="shared" si="97"/>
        <v/>
      </c>
      <c r="M414" s="5">
        <f t="shared" si="98"/>
        <v>45673</v>
      </c>
      <c r="O414" s="19" t="str">
        <f t="shared" si="99"/>
        <v/>
      </c>
      <c r="P414" s="5">
        <f t="shared" si="100"/>
        <v>45688</v>
      </c>
      <c r="R414" s="19" t="str">
        <f t="shared" si="101"/>
        <v/>
      </c>
      <c r="S414" s="5">
        <f t="shared" si="111"/>
        <v>45693</v>
      </c>
      <c r="T414" s="4">
        <v>45694</v>
      </c>
      <c r="U414" s="19">
        <f t="shared" si="102"/>
        <v>-1</v>
      </c>
      <c r="V414" s="5">
        <f t="shared" si="103"/>
        <v>45732</v>
      </c>
      <c r="W414" s="4">
        <v>45735</v>
      </c>
      <c r="X414" s="19">
        <f t="shared" si="104"/>
        <v>-3</v>
      </c>
      <c r="Y414" s="51">
        <f t="shared" si="105"/>
        <v>45757</v>
      </c>
      <c r="Z414" s="4">
        <v>45783</v>
      </c>
      <c r="AA414" s="49">
        <f t="shared" si="106"/>
        <v>-26</v>
      </c>
      <c r="AB414" s="51">
        <f t="shared" si="107"/>
        <v>45762</v>
      </c>
      <c r="AC414" s="49">
        <f t="shared" si="108"/>
        <v>-21</v>
      </c>
      <c r="AD414" s="43">
        <f t="shared" si="109"/>
        <v>45762</v>
      </c>
      <c r="AE414" s="4">
        <v>45783</v>
      </c>
      <c r="AF414" s="19">
        <f t="shared" si="110"/>
        <v>-21</v>
      </c>
      <c r="AG414" s="67"/>
      <c r="AH414" s="2"/>
      <c r="AI414" s="2"/>
      <c r="AJ414" s="2"/>
      <c r="AK414" s="2"/>
      <c r="AL414" s="2"/>
    </row>
    <row r="415" spans="1:38" ht="14.45">
      <c r="A415" s="156">
        <v>414</v>
      </c>
      <c r="B415" s="55">
        <v>45762</v>
      </c>
      <c r="C415" s="40">
        <v>643941826</v>
      </c>
      <c r="D415" s="14" t="s">
        <v>556</v>
      </c>
      <c r="E415" s="15">
        <v>8736</v>
      </c>
      <c r="F415" s="14" t="s">
        <v>827</v>
      </c>
      <c r="G415" s="14" t="s">
        <v>51</v>
      </c>
      <c r="H415" s="14" t="s">
        <v>40</v>
      </c>
      <c r="I415" s="14" t="s">
        <v>585</v>
      </c>
      <c r="J415" s="97">
        <f t="shared" si="96"/>
        <v>45662</v>
      </c>
      <c r="L415" s="19" t="str">
        <f t="shared" si="97"/>
        <v/>
      </c>
      <c r="M415" s="5">
        <f t="shared" si="98"/>
        <v>45673</v>
      </c>
      <c r="O415" s="19" t="str">
        <f t="shared" si="99"/>
        <v/>
      </c>
      <c r="P415" s="5">
        <f t="shared" si="100"/>
        <v>45688</v>
      </c>
      <c r="R415" s="19" t="str">
        <f t="shared" si="101"/>
        <v/>
      </c>
      <c r="S415" s="5">
        <f t="shared" si="111"/>
        <v>45693</v>
      </c>
      <c r="T415" s="4">
        <v>45694</v>
      </c>
      <c r="U415" s="19">
        <f t="shared" si="102"/>
        <v>-1</v>
      </c>
      <c r="V415" s="5">
        <f t="shared" si="103"/>
        <v>45732</v>
      </c>
      <c r="W415" s="4">
        <v>45735</v>
      </c>
      <c r="X415" s="19">
        <f t="shared" si="104"/>
        <v>-3</v>
      </c>
      <c r="Y415" s="51">
        <f t="shared" si="105"/>
        <v>45757</v>
      </c>
      <c r="Z415" s="4">
        <v>45783</v>
      </c>
      <c r="AA415" s="49">
        <f t="shared" si="106"/>
        <v>-26</v>
      </c>
      <c r="AB415" s="51">
        <f t="shared" si="107"/>
        <v>45762</v>
      </c>
      <c r="AC415" s="49">
        <f t="shared" si="108"/>
        <v>-21</v>
      </c>
      <c r="AD415" s="43">
        <f t="shared" si="109"/>
        <v>45762</v>
      </c>
      <c r="AE415" s="4">
        <v>45783</v>
      </c>
      <c r="AF415" s="19">
        <f t="shared" si="110"/>
        <v>-21</v>
      </c>
      <c r="AG415" s="67"/>
      <c r="AH415" s="2"/>
      <c r="AI415" s="2"/>
      <c r="AJ415" s="2"/>
      <c r="AK415" s="2"/>
      <c r="AL415" s="2"/>
    </row>
    <row r="416" spans="1:38" ht="14.45">
      <c r="A416" s="156">
        <v>415</v>
      </c>
      <c r="B416" s="55">
        <v>45762</v>
      </c>
      <c r="C416" s="40">
        <v>643617095</v>
      </c>
      <c r="D416" s="14" t="s">
        <v>556</v>
      </c>
      <c r="E416" s="15">
        <v>8331.75</v>
      </c>
      <c r="F416" s="14" t="s">
        <v>828</v>
      </c>
      <c r="G416" s="14" t="s">
        <v>51</v>
      </c>
      <c r="H416" s="14" t="s">
        <v>40</v>
      </c>
      <c r="I416" s="14" t="s">
        <v>585</v>
      </c>
      <c r="J416" s="97">
        <f t="shared" si="96"/>
        <v>45662</v>
      </c>
      <c r="L416" s="19" t="str">
        <f t="shared" si="97"/>
        <v/>
      </c>
      <c r="M416" s="5">
        <f t="shared" si="98"/>
        <v>45673</v>
      </c>
      <c r="O416" s="19" t="str">
        <f t="shared" si="99"/>
        <v/>
      </c>
      <c r="P416" s="5">
        <f t="shared" si="100"/>
        <v>45688</v>
      </c>
      <c r="R416" s="19" t="str">
        <f t="shared" si="101"/>
        <v/>
      </c>
      <c r="S416" s="5">
        <f t="shared" si="111"/>
        <v>45693</v>
      </c>
      <c r="T416" s="4">
        <v>45694</v>
      </c>
      <c r="U416" s="19">
        <f t="shared" si="102"/>
        <v>-1</v>
      </c>
      <c r="V416" s="5">
        <f t="shared" si="103"/>
        <v>45732</v>
      </c>
      <c r="W416" s="4">
        <v>45735</v>
      </c>
      <c r="X416" s="19">
        <f t="shared" si="104"/>
        <v>-3</v>
      </c>
      <c r="Y416" s="51">
        <f t="shared" si="105"/>
        <v>45757</v>
      </c>
      <c r="Z416" s="4">
        <v>45783</v>
      </c>
      <c r="AA416" s="49">
        <f t="shared" si="106"/>
        <v>-26</v>
      </c>
      <c r="AB416" s="51">
        <f t="shared" si="107"/>
        <v>45762</v>
      </c>
      <c r="AC416" s="49">
        <f t="shared" si="108"/>
        <v>-21</v>
      </c>
      <c r="AD416" s="43">
        <f t="shared" si="109"/>
        <v>45762</v>
      </c>
      <c r="AE416" s="4">
        <v>45783</v>
      </c>
      <c r="AF416" s="19">
        <f t="shared" si="110"/>
        <v>-21</v>
      </c>
      <c r="AG416" s="67"/>
      <c r="AH416" s="2"/>
      <c r="AI416" s="2"/>
      <c r="AJ416" s="2"/>
      <c r="AK416" s="2"/>
      <c r="AL416" s="2"/>
    </row>
    <row r="417" spans="1:38" ht="14.45">
      <c r="A417" s="156">
        <v>416</v>
      </c>
      <c r="B417" s="55">
        <v>45762</v>
      </c>
      <c r="C417" s="40" t="s">
        <v>829</v>
      </c>
      <c r="D417" s="14" t="s">
        <v>830</v>
      </c>
      <c r="E417" s="15">
        <v>25043.72</v>
      </c>
      <c r="F417" s="14" t="s">
        <v>831</v>
      </c>
      <c r="G417" s="14" t="s">
        <v>51</v>
      </c>
      <c r="H417" s="14" t="s">
        <v>40</v>
      </c>
      <c r="I417" s="14" t="s">
        <v>585</v>
      </c>
      <c r="J417" s="97">
        <f t="shared" si="96"/>
        <v>45662</v>
      </c>
      <c r="K417" s="4">
        <v>45664</v>
      </c>
      <c r="L417" s="19">
        <f t="shared" si="97"/>
        <v>-2</v>
      </c>
      <c r="M417" s="5">
        <f t="shared" si="98"/>
        <v>45673</v>
      </c>
      <c r="O417" s="19" t="str">
        <f t="shared" si="99"/>
        <v/>
      </c>
      <c r="P417" s="5">
        <f t="shared" si="100"/>
        <v>45688</v>
      </c>
      <c r="R417" s="19" t="str">
        <f t="shared" si="101"/>
        <v/>
      </c>
      <c r="S417" s="5">
        <f t="shared" si="111"/>
        <v>45693</v>
      </c>
      <c r="T417" s="4">
        <v>45667</v>
      </c>
      <c r="U417" s="19">
        <f t="shared" si="102"/>
        <v>26</v>
      </c>
      <c r="V417" s="5">
        <f t="shared" si="103"/>
        <v>45732</v>
      </c>
      <c r="W417" s="4">
        <v>45734</v>
      </c>
      <c r="X417" s="19">
        <f t="shared" si="104"/>
        <v>-2</v>
      </c>
      <c r="Y417" s="51">
        <f t="shared" si="105"/>
        <v>45757</v>
      </c>
      <c r="Z417" s="4">
        <v>45905</v>
      </c>
      <c r="AA417" s="49">
        <f t="shared" si="106"/>
        <v>-148</v>
      </c>
      <c r="AB417" s="51">
        <f t="shared" si="107"/>
        <v>45762</v>
      </c>
      <c r="AC417" s="49">
        <f t="shared" si="108"/>
        <v>-143</v>
      </c>
      <c r="AD417" s="43">
        <f t="shared" si="109"/>
        <v>45762</v>
      </c>
      <c r="AE417" s="4">
        <v>45786</v>
      </c>
      <c r="AF417" s="19">
        <f t="shared" si="110"/>
        <v>-24</v>
      </c>
      <c r="AG417" s="67"/>
      <c r="AH417" s="2"/>
      <c r="AI417" s="2"/>
      <c r="AJ417" s="2"/>
      <c r="AK417" s="2"/>
      <c r="AL417" s="2"/>
    </row>
    <row r="418" spans="1:38" s="9" customFormat="1" ht="14.45">
      <c r="A418" s="156">
        <v>417</v>
      </c>
      <c r="B418" s="57">
        <v>45762</v>
      </c>
      <c r="C418" s="88" t="s">
        <v>832</v>
      </c>
      <c r="D418" s="16" t="s">
        <v>833</v>
      </c>
      <c r="E418" s="17">
        <v>8205.1200000000008</v>
      </c>
      <c r="F418" s="16" t="s">
        <v>834</v>
      </c>
      <c r="G418" s="16" t="s">
        <v>46</v>
      </c>
      <c r="H418" s="16" t="s">
        <v>40</v>
      </c>
      <c r="I418" s="16" t="s">
        <v>585</v>
      </c>
      <c r="J418" s="98">
        <f t="shared" si="96"/>
        <v>45662</v>
      </c>
      <c r="K418" s="7">
        <v>45667</v>
      </c>
      <c r="L418" s="99">
        <f t="shared" si="97"/>
        <v>-5</v>
      </c>
      <c r="M418" s="20">
        <f t="shared" si="98"/>
        <v>45673</v>
      </c>
      <c r="N418" s="7"/>
      <c r="O418" s="99" t="str">
        <f t="shared" si="99"/>
        <v/>
      </c>
      <c r="P418" s="20">
        <f t="shared" si="100"/>
        <v>45688</v>
      </c>
      <c r="Q418" s="7">
        <v>45649</v>
      </c>
      <c r="R418" s="99">
        <f t="shared" si="101"/>
        <v>39</v>
      </c>
      <c r="S418" s="20">
        <f t="shared" si="111"/>
        <v>45693</v>
      </c>
      <c r="T418" s="7">
        <v>45649</v>
      </c>
      <c r="U418" s="99">
        <f t="shared" si="102"/>
        <v>44</v>
      </c>
      <c r="V418" s="20">
        <f t="shared" si="103"/>
        <v>45732</v>
      </c>
      <c r="W418" s="7">
        <v>45649</v>
      </c>
      <c r="X418" s="99">
        <f t="shared" si="104"/>
        <v>83</v>
      </c>
      <c r="Y418" s="51">
        <f t="shared" si="105"/>
        <v>45757</v>
      </c>
      <c r="Z418" s="7">
        <v>45649</v>
      </c>
      <c r="AA418" s="49">
        <f t="shared" si="106"/>
        <v>108</v>
      </c>
      <c r="AB418" s="51">
        <f t="shared" si="107"/>
        <v>45762</v>
      </c>
      <c r="AC418" s="49">
        <f t="shared" si="108"/>
        <v>113</v>
      </c>
      <c r="AD418" s="100">
        <f t="shared" si="109"/>
        <v>45762</v>
      </c>
      <c r="AE418" s="7">
        <v>45649</v>
      </c>
      <c r="AF418" s="99">
        <f t="shared" si="110"/>
        <v>113</v>
      </c>
      <c r="AG418" s="68"/>
      <c r="AH418" s="8"/>
      <c r="AI418" s="8"/>
      <c r="AJ418" s="8"/>
      <c r="AK418" s="8"/>
      <c r="AL418" s="8"/>
    </row>
    <row r="419" spans="1:38" s="9" customFormat="1" ht="14.45">
      <c r="A419" s="156">
        <v>418</v>
      </c>
      <c r="B419" s="57">
        <v>45762</v>
      </c>
      <c r="C419" s="88" t="s">
        <v>832</v>
      </c>
      <c r="D419" s="16" t="s">
        <v>833</v>
      </c>
      <c r="E419" s="17">
        <v>4002.9</v>
      </c>
      <c r="F419" s="16" t="s">
        <v>835</v>
      </c>
      <c r="G419" s="16" t="s">
        <v>46</v>
      </c>
      <c r="H419" s="16" t="s">
        <v>40</v>
      </c>
      <c r="I419" s="16" t="s">
        <v>585</v>
      </c>
      <c r="J419" s="98">
        <f t="shared" si="96"/>
        <v>45662</v>
      </c>
      <c r="K419" s="7">
        <v>45667</v>
      </c>
      <c r="L419" s="99">
        <f t="shared" si="97"/>
        <v>-5</v>
      </c>
      <c r="M419" s="20">
        <f t="shared" si="98"/>
        <v>45673</v>
      </c>
      <c r="N419" s="7"/>
      <c r="O419" s="99" t="str">
        <f t="shared" si="99"/>
        <v/>
      </c>
      <c r="P419" s="20">
        <f t="shared" si="100"/>
        <v>45688</v>
      </c>
      <c r="Q419" s="7">
        <v>45649</v>
      </c>
      <c r="R419" s="99">
        <f t="shared" si="101"/>
        <v>39</v>
      </c>
      <c r="S419" s="20">
        <f t="shared" si="111"/>
        <v>45693</v>
      </c>
      <c r="T419" s="7">
        <v>45649</v>
      </c>
      <c r="U419" s="99">
        <f t="shared" si="102"/>
        <v>44</v>
      </c>
      <c r="V419" s="20">
        <f t="shared" si="103"/>
        <v>45732</v>
      </c>
      <c r="W419" s="7">
        <v>45649</v>
      </c>
      <c r="X419" s="99">
        <f t="shared" si="104"/>
        <v>83</v>
      </c>
      <c r="Y419" s="51">
        <f t="shared" si="105"/>
        <v>45757</v>
      </c>
      <c r="Z419" s="7">
        <v>45649</v>
      </c>
      <c r="AA419" s="49">
        <f t="shared" si="106"/>
        <v>108</v>
      </c>
      <c r="AB419" s="51">
        <f t="shared" si="107"/>
        <v>45762</v>
      </c>
      <c r="AC419" s="49">
        <f t="shared" si="108"/>
        <v>113</v>
      </c>
      <c r="AD419" s="100">
        <f t="shared" si="109"/>
        <v>45762</v>
      </c>
      <c r="AE419" s="7">
        <v>45649</v>
      </c>
      <c r="AF419" s="99">
        <f t="shared" si="110"/>
        <v>113</v>
      </c>
      <c r="AG419" s="68"/>
      <c r="AH419" s="8"/>
      <c r="AI419" s="8"/>
      <c r="AJ419" s="8"/>
      <c r="AK419" s="8"/>
      <c r="AL419" s="8"/>
    </row>
    <row r="420" spans="1:38" ht="14.45">
      <c r="A420" s="156">
        <v>419</v>
      </c>
      <c r="B420" s="55">
        <v>45762</v>
      </c>
      <c r="C420" s="40">
        <v>3922400001132</v>
      </c>
      <c r="D420" s="14" t="s">
        <v>836</v>
      </c>
      <c r="E420" s="15">
        <v>49795.53</v>
      </c>
      <c r="F420" s="14" t="s">
        <v>797</v>
      </c>
      <c r="G420" s="14" t="s">
        <v>35</v>
      </c>
      <c r="H420" s="14" t="s">
        <v>36</v>
      </c>
      <c r="I420" s="14" t="s">
        <v>37</v>
      </c>
      <c r="J420" s="97">
        <f t="shared" si="96"/>
        <v>45662</v>
      </c>
      <c r="L420" s="19" t="str">
        <f t="shared" si="97"/>
        <v/>
      </c>
      <c r="M420" s="5">
        <f t="shared" si="98"/>
        <v>45673</v>
      </c>
      <c r="O420" s="19" t="str">
        <f t="shared" si="99"/>
        <v/>
      </c>
      <c r="P420" s="5">
        <f t="shared" si="100"/>
        <v>45688</v>
      </c>
      <c r="R420" s="19" t="str">
        <f t="shared" si="101"/>
        <v/>
      </c>
      <c r="S420" s="5">
        <f t="shared" si="111"/>
        <v>45693</v>
      </c>
      <c r="T420" s="4">
        <v>45722</v>
      </c>
      <c r="U420" s="19">
        <f t="shared" si="102"/>
        <v>-29</v>
      </c>
      <c r="V420" s="5">
        <f t="shared" si="103"/>
        <v>45732</v>
      </c>
      <c r="W420" s="4">
        <v>45736</v>
      </c>
      <c r="X420" s="19">
        <f t="shared" si="104"/>
        <v>-4</v>
      </c>
      <c r="Y420" s="51">
        <f t="shared" si="105"/>
        <v>45757</v>
      </c>
      <c r="AA420" s="49" t="str">
        <f t="shared" si="106"/>
        <v/>
      </c>
      <c r="AB420" s="51">
        <f t="shared" si="107"/>
        <v>45762</v>
      </c>
      <c r="AC420" s="49" t="str">
        <f t="shared" si="108"/>
        <v/>
      </c>
      <c r="AD420" s="43">
        <f t="shared" si="109"/>
        <v>45762</v>
      </c>
      <c r="AF420" s="19" t="str">
        <f t="shared" si="110"/>
        <v/>
      </c>
      <c r="AG420" s="67"/>
      <c r="AH420" s="2"/>
      <c r="AI420" s="2"/>
      <c r="AJ420" s="2"/>
      <c r="AK420" s="2"/>
      <c r="AL420" s="2"/>
    </row>
    <row r="421" spans="1:38" ht="14.45">
      <c r="A421" s="156">
        <v>420</v>
      </c>
      <c r="B421" s="55">
        <v>45762</v>
      </c>
      <c r="C421" s="40" t="s">
        <v>837</v>
      </c>
      <c r="D421" s="14" t="s">
        <v>38</v>
      </c>
      <c r="E421" s="15">
        <v>83.78</v>
      </c>
      <c r="F421" s="14" t="s">
        <v>838</v>
      </c>
      <c r="G421" s="14" t="s">
        <v>190</v>
      </c>
      <c r="H421" s="14" t="s">
        <v>40</v>
      </c>
      <c r="I421" s="14" t="s">
        <v>41</v>
      </c>
      <c r="J421" s="97">
        <f t="shared" si="96"/>
        <v>45662</v>
      </c>
      <c r="L421" s="19" t="str">
        <f t="shared" si="97"/>
        <v/>
      </c>
      <c r="M421" s="5">
        <f t="shared" si="98"/>
        <v>45673</v>
      </c>
      <c r="N421" s="4">
        <v>45729</v>
      </c>
      <c r="O421" s="19">
        <f t="shared" si="99"/>
        <v>-56</v>
      </c>
      <c r="P421" s="5">
        <f t="shared" si="100"/>
        <v>45688</v>
      </c>
      <c r="Q421" s="4">
        <v>45741</v>
      </c>
      <c r="R421" s="19">
        <f t="shared" si="101"/>
        <v>-53</v>
      </c>
      <c r="S421" s="5">
        <f t="shared" si="111"/>
        <v>45693</v>
      </c>
      <c r="T421" s="4">
        <v>45742</v>
      </c>
      <c r="U421" s="19">
        <f t="shared" si="102"/>
        <v>-49</v>
      </c>
      <c r="V421" s="5">
        <f t="shared" si="103"/>
        <v>45732</v>
      </c>
      <c r="W421" s="4">
        <v>45742</v>
      </c>
      <c r="X421" s="19">
        <f t="shared" si="104"/>
        <v>-10</v>
      </c>
      <c r="Y421" s="51">
        <f t="shared" si="105"/>
        <v>45757</v>
      </c>
      <c r="Z421" s="4">
        <v>45762</v>
      </c>
      <c r="AA421" s="49">
        <f t="shared" si="106"/>
        <v>-5</v>
      </c>
      <c r="AB421" s="51">
        <f t="shared" si="107"/>
        <v>45762</v>
      </c>
      <c r="AC421" s="49">
        <f t="shared" si="108"/>
        <v>0</v>
      </c>
      <c r="AD421" s="43">
        <f t="shared" si="109"/>
        <v>45762</v>
      </c>
      <c r="AE421" s="4">
        <v>45762</v>
      </c>
      <c r="AF421" s="19">
        <f t="shared" si="110"/>
        <v>0</v>
      </c>
      <c r="AG421" s="67"/>
      <c r="AH421" s="2"/>
      <c r="AI421" s="2"/>
      <c r="AJ421" s="2"/>
      <c r="AK421" s="2"/>
      <c r="AL421" s="2"/>
    </row>
    <row r="422" spans="1:38" ht="14.45">
      <c r="A422" s="156">
        <v>421</v>
      </c>
      <c r="B422" s="55">
        <v>45764</v>
      </c>
      <c r="C422" s="40">
        <v>608825782</v>
      </c>
      <c r="D422" s="14" t="s">
        <v>839</v>
      </c>
      <c r="E422" s="15">
        <v>7326</v>
      </c>
      <c r="F422" s="14" t="s">
        <v>840</v>
      </c>
      <c r="G422" s="14" t="s">
        <v>35</v>
      </c>
      <c r="H422" s="14" t="s">
        <v>40</v>
      </c>
      <c r="I422" s="14" t="s">
        <v>62</v>
      </c>
      <c r="J422" s="97">
        <f t="shared" si="96"/>
        <v>45664</v>
      </c>
      <c r="L422" s="19" t="str">
        <f t="shared" si="97"/>
        <v/>
      </c>
      <c r="M422" s="5">
        <f t="shared" si="98"/>
        <v>45675</v>
      </c>
      <c r="O422" s="19" t="str">
        <f t="shared" si="99"/>
        <v/>
      </c>
      <c r="P422" s="5">
        <f t="shared" si="100"/>
        <v>45690</v>
      </c>
      <c r="R422" s="19" t="str">
        <f t="shared" si="101"/>
        <v/>
      </c>
      <c r="S422" s="5">
        <f t="shared" si="111"/>
        <v>45695</v>
      </c>
      <c r="T422" s="4">
        <v>45714</v>
      </c>
      <c r="U422" s="19">
        <f t="shared" si="102"/>
        <v>-19</v>
      </c>
      <c r="V422" s="5">
        <f t="shared" si="103"/>
        <v>45734</v>
      </c>
      <c r="W422" s="4">
        <v>45743</v>
      </c>
      <c r="X422" s="19">
        <f t="shared" si="104"/>
        <v>-9</v>
      </c>
      <c r="Y422" s="51">
        <f t="shared" si="105"/>
        <v>45759</v>
      </c>
      <c r="AA422" s="49" t="str">
        <f t="shared" si="106"/>
        <v/>
      </c>
      <c r="AB422" s="51">
        <f t="shared" si="107"/>
        <v>45764</v>
      </c>
      <c r="AC422" s="49" t="str">
        <f t="shared" si="108"/>
        <v/>
      </c>
      <c r="AD422" s="43">
        <f t="shared" si="109"/>
        <v>45764</v>
      </c>
      <c r="AF422" s="19" t="str">
        <f t="shared" si="110"/>
        <v/>
      </c>
      <c r="AG422" s="67"/>
      <c r="AH422" s="2"/>
      <c r="AI422" s="2"/>
      <c r="AJ422" s="2"/>
      <c r="AK422" s="2"/>
      <c r="AL422" s="2"/>
    </row>
    <row r="423" spans="1:38" ht="14.45">
      <c r="A423" s="156">
        <v>422</v>
      </c>
      <c r="B423" s="55">
        <v>45765</v>
      </c>
      <c r="C423" s="40" t="s">
        <v>841</v>
      </c>
      <c r="D423" s="14" t="s">
        <v>842</v>
      </c>
      <c r="E423" s="15">
        <v>26423.18</v>
      </c>
      <c r="F423" s="14" t="s">
        <v>843</v>
      </c>
      <c r="G423" s="14" t="s">
        <v>35</v>
      </c>
      <c r="H423" s="14" t="s">
        <v>36</v>
      </c>
      <c r="I423" s="14" t="s">
        <v>37</v>
      </c>
      <c r="J423" s="97">
        <f t="shared" si="96"/>
        <v>45665</v>
      </c>
      <c r="L423" s="19" t="str">
        <f t="shared" si="97"/>
        <v/>
      </c>
      <c r="M423" s="5">
        <f t="shared" si="98"/>
        <v>45676</v>
      </c>
      <c r="O423" s="19" t="str">
        <f t="shared" si="99"/>
        <v/>
      </c>
      <c r="P423" s="5">
        <f t="shared" si="100"/>
        <v>45691</v>
      </c>
      <c r="R423" s="19" t="str">
        <f t="shared" si="101"/>
        <v/>
      </c>
      <c r="S423" s="5">
        <f t="shared" si="111"/>
        <v>45696</v>
      </c>
      <c r="T423" s="4">
        <v>45702</v>
      </c>
      <c r="U423" s="19">
        <f t="shared" si="102"/>
        <v>-6</v>
      </c>
      <c r="V423" s="5">
        <f t="shared" si="103"/>
        <v>45735</v>
      </c>
      <c r="W423" s="4">
        <v>45723</v>
      </c>
      <c r="X423" s="19">
        <f t="shared" si="104"/>
        <v>12</v>
      </c>
      <c r="Y423" s="51">
        <f t="shared" si="105"/>
        <v>45760</v>
      </c>
      <c r="Z423" s="4">
        <v>45768</v>
      </c>
      <c r="AA423" s="49">
        <f t="shared" si="106"/>
        <v>-8</v>
      </c>
      <c r="AB423" s="51">
        <f t="shared" si="107"/>
        <v>45765</v>
      </c>
      <c r="AC423" s="49">
        <f t="shared" si="108"/>
        <v>-3</v>
      </c>
      <c r="AD423" s="43">
        <f t="shared" si="109"/>
        <v>45765</v>
      </c>
      <c r="AE423" s="4">
        <v>45768</v>
      </c>
      <c r="AF423" s="19">
        <f t="shared" si="110"/>
        <v>-3</v>
      </c>
      <c r="AG423" s="67"/>
      <c r="AH423" s="2"/>
      <c r="AI423" s="2"/>
      <c r="AJ423" s="2"/>
      <c r="AK423" s="2"/>
      <c r="AL423" s="2"/>
    </row>
    <row r="424" spans="1:38" ht="14.45">
      <c r="A424" s="156">
        <v>423</v>
      </c>
      <c r="B424" s="55">
        <v>45765</v>
      </c>
      <c r="C424" s="40" t="s">
        <v>844</v>
      </c>
      <c r="D424" s="14" t="s">
        <v>845</v>
      </c>
      <c r="E424" s="15">
        <v>27292.82</v>
      </c>
      <c r="F424" s="14" t="s">
        <v>846</v>
      </c>
      <c r="G424" s="14" t="s">
        <v>35</v>
      </c>
      <c r="H424" s="14" t="s">
        <v>36</v>
      </c>
      <c r="I424" s="14" t="s">
        <v>52</v>
      </c>
      <c r="J424" s="97">
        <f t="shared" si="96"/>
        <v>45665</v>
      </c>
      <c r="L424" s="19" t="str">
        <f t="shared" si="97"/>
        <v/>
      </c>
      <c r="M424" s="5">
        <f t="shared" si="98"/>
        <v>45676</v>
      </c>
      <c r="O424" s="19" t="str">
        <f t="shared" si="99"/>
        <v/>
      </c>
      <c r="P424" s="5">
        <f t="shared" si="100"/>
        <v>45691</v>
      </c>
      <c r="R424" s="19" t="str">
        <f t="shared" si="101"/>
        <v/>
      </c>
      <c r="S424" s="5">
        <f t="shared" si="111"/>
        <v>45696</v>
      </c>
      <c r="U424" s="19" t="str">
        <f t="shared" si="102"/>
        <v/>
      </c>
      <c r="V424" s="5">
        <f t="shared" si="103"/>
        <v>45735</v>
      </c>
      <c r="W424" s="4">
        <v>45720</v>
      </c>
      <c r="X424" s="19">
        <f t="shared" si="104"/>
        <v>15</v>
      </c>
      <c r="Y424" s="51">
        <f t="shared" si="105"/>
        <v>45760</v>
      </c>
      <c r="Z424" s="4">
        <v>45769</v>
      </c>
      <c r="AA424" s="49">
        <f t="shared" si="106"/>
        <v>-9</v>
      </c>
      <c r="AB424" s="51">
        <f t="shared" si="107"/>
        <v>45765</v>
      </c>
      <c r="AC424" s="49">
        <f t="shared" si="108"/>
        <v>-4</v>
      </c>
      <c r="AD424" s="43">
        <f t="shared" si="109"/>
        <v>45765</v>
      </c>
      <c r="AE424" s="4">
        <v>45769</v>
      </c>
      <c r="AF424" s="19">
        <f t="shared" si="110"/>
        <v>-4</v>
      </c>
      <c r="AG424" s="67"/>
      <c r="AH424" s="2"/>
      <c r="AI424" s="2"/>
      <c r="AJ424" s="2"/>
      <c r="AK424" s="2"/>
      <c r="AL424" s="2"/>
    </row>
    <row r="425" spans="1:38" ht="14.45">
      <c r="A425" s="156">
        <v>424</v>
      </c>
      <c r="B425" s="55">
        <v>45766</v>
      </c>
      <c r="C425" s="40">
        <v>607662186</v>
      </c>
      <c r="D425" s="14" t="s">
        <v>847</v>
      </c>
      <c r="E425" s="15">
        <v>5907.2</v>
      </c>
      <c r="F425" s="14" t="s">
        <v>848</v>
      </c>
      <c r="G425" s="14" t="s">
        <v>190</v>
      </c>
      <c r="H425" s="14" t="s">
        <v>36</v>
      </c>
      <c r="I425" s="14" t="s">
        <v>41</v>
      </c>
      <c r="J425" s="97">
        <f t="shared" si="96"/>
        <v>45666</v>
      </c>
      <c r="L425" s="19" t="str">
        <f t="shared" si="97"/>
        <v/>
      </c>
      <c r="M425" s="5">
        <f t="shared" si="98"/>
        <v>45677</v>
      </c>
      <c r="N425" s="4">
        <v>45732</v>
      </c>
      <c r="O425" s="19">
        <f t="shared" si="99"/>
        <v>-55</v>
      </c>
      <c r="P425" s="5">
        <f t="shared" si="100"/>
        <v>45692</v>
      </c>
      <c r="R425" s="19" t="str">
        <f t="shared" si="101"/>
        <v/>
      </c>
      <c r="S425" s="5">
        <f t="shared" si="111"/>
        <v>45697</v>
      </c>
      <c r="T425" s="4">
        <v>45732</v>
      </c>
      <c r="U425" s="19">
        <f t="shared" si="102"/>
        <v>-35</v>
      </c>
      <c r="V425" s="5">
        <f t="shared" si="103"/>
        <v>45736</v>
      </c>
      <c r="W425" s="4">
        <v>45732</v>
      </c>
      <c r="X425" s="19">
        <f t="shared" si="104"/>
        <v>4</v>
      </c>
      <c r="Y425" s="51">
        <f t="shared" si="105"/>
        <v>45761</v>
      </c>
      <c r="Z425" s="4">
        <v>45828</v>
      </c>
      <c r="AA425" s="49">
        <f t="shared" si="106"/>
        <v>-67</v>
      </c>
      <c r="AB425" s="51">
        <f t="shared" si="107"/>
        <v>45766</v>
      </c>
      <c r="AC425" s="49">
        <f t="shared" si="108"/>
        <v>-62</v>
      </c>
      <c r="AD425" s="43">
        <f t="shared" si="109"/>
        <v>45766</v>
      </c>
      <c r="AE425" s="4">
        <v>45828</v>
      </c>
      <c r="AF425" s="19">
        <f t="shared" si="110"/>
        <v>-62</v>
      </c>
      <c r="AG425" s="67"/>
      <c r="AH425" s="2"/>
      <c r="AI425" s="2"/>
      <c r="AJ425" s="2"/>
      <c r="AK425" s="2"/>
      <c r="AL425" s="2"/>
    </row>
    <row r="426" spans="1:38" ht="14.45">
      <c r="A426" s="156">
        <v>425</v>
      </c>
      <c r="B426" s="55">
        <v>45766</v>
      </c>
      <c r="C426" s="40" t="s">
        <v>849</v>
      </c>
      <c r="D426" s="14" t="s">
        <v>850</v>
      </c>
      <c r="E426" s="15">
        <v>3671.06</v>
      </c>
      <c r="F426" s="14" t="s">
        <v>851</v>
      </c>
      <c r="G426" s="14" t="s">
        <v>35</v>
      </c>
      <c r="H426" s="14" t="s">
        <v>36</v>
      </c>
      <c r="I426" s="14" t="s">
        <v>93</v>
      </c>
      <c r="J426" s="97">
        <f t="shared" si="96"/>
        <v>45666</v>
      </c>
      <c r="K426" s="4">
        <v>45692</v>
      </c>
      <c r="L426" s="19">
        <f t="shared" si="97"/>
        <v>-26</v>
      </c>
      <c r="M426" s="5">
        <f t="shared" si="98"/>
        <v>45677</v>
      </c>
      <c r="N426" s="4">
        <v>45727</v>
      </c>
      <c r="O426" s="19">
        <f t="shared" si="99"/>
        <v>-50</v>
      </c>
      <c r="P426" s="5">
        <f t="shared" si="100"/>
        <v>45692</v>
      </c>
      <c r="Q426" s="4">
        <v>45728</v>
      </c>
      <c r="R426" s="19">
        <f t="shared" si="101"/>
        <v>-36</v>
      </c>
      <c r="S426" s="5">
        <f t="shared" si="111"/>
        <v>45697</v>
      </c>
      <c r="T426" s="4">
        <v>45658</v>
      </c>
      <c r="U426" s="19">
        <f t="shared" si="102"/>
        <v>39</v>
      </c>
      <c r="V426" s="5">
        <f t="shared" si="103"/>
        <v>45736</v>
      </c>
      <c r="W426" s="4">
        <v>45756</v>
      </c>
      <c r="X426" s="19">
        <f t="shared" si="104"/>
        <v>-20</v>
      </c>
      <c r="Y426" s="51">
        <f t="shared" si="105"/>
        <v>45761</v>
      </c>
      <c r="Z426" s="4">
        <v>45766</v>
      </c>
      <c r="AA426" s="49">
        <f t="shared" si="106"/>
        <v>-5</v>
      </c>
      <c r="AB426" s="51">
        <f t="shared" si="107"/>
        <v>45766</v>
      </c>
      <c r="AC426" s="49">
        <f t="shared" si="108"/>
        <v>0</v>
      </c>
      <c r="AD426" s="43">
        <f t="shared" si="109"/>
        <v>45766</v>
      </c>
      <c r="AE426" s="4">
        <v>45766</v>
      </c>
      <c r="AF426" s="19">
        <f t="shared" si="110"/>
        <v>0</v>
      </c>
      <c r="AG426" s="67"/>
      <c r="AH426" s="2"/>
      <c r="AI426" s="2"/>
      <c r="AJ426" s="2"/>
      <c r="AK426" s="2"/>
      <c r="AL426" s="2"/>
    </row>
    <row r="427" spans="1:38" ht="14.45">
      <c r="A427" s="156">
        <v>426</v>
      </c>
      <c r="B427" s="55">
        <v>45766</v>
      </c>
      <c r="C427" s="40" t="s">
        <v>852</v>
      </c>
      <c r="D427" s="14" t="s">
        <v>853</v>
      </c>
      <c r="E427" s="15">
        <v>7146.46</v>
      </c>
      <c r="F427" s="14" t="s">
        <v>854</v>
      </c>
      <c r="G427" s="14" t="s">
        <v>46</v>
      </c>
      <c r="H427" s="14" t="s">
        <v>40</v>
      </c>
      <c r="I427" s="14" t="s">
        <v>229</v>
      </c>
      <c r="J427" s="97">
        <f t="shared" si="96"/>
        <v>45666</v>
      </c>
      <c r="K427" s="4">
        <v>45667</v>
      </c>
      <c r="L427" s="19">
        <f t="shared" si="97"/>
        <v>-1</v>
      </c>
      <c r="M427" s="5">
        <f t="shared" si="98"/>
        <v>45677</v>
      </c>
      <c r="O427" s="19" t="str">
        <f t="shared" si="99"/>
        <v/>
      </c>
      <c r="P427" s="5">
        <f t="shared" si="100"/>
        <v>45692</v>
      </c>
      <c r="R427" s="19" t="str">
        <f t="shared" si="101"/>
        <v/>
      </c>
      <c r="S427" s="5">
        <f t="shared" si="111"/>
        <v>45697</v>
      </c>
      <c r="T427" s="4">
        <v>45660</v>
      </c>
      <c r="U427" s="19">
        <f t="shared" si="102"/>
        <v>37</v>
      </c>
      <c r="V427" s="5">
        <f t="shared" si="103"/>
        <v>45736</v>
      </c>
      <c r="W427" s="4">
        <v>45726</v>
      </c>
      <c r="X427" s="19">
        <f t="shared" si="104"/>
        <v>10</v>
      </c>
      <c r="Y427" s="51">
        <f t="shared" si="105"/>
        <v>45761</v>
      </c>
      <c r="Z427" s="4">
        <v>45750</v>
      </c>
      <c r="AA427" s="49">
        <f t="shared" si="106"/>
        <v>11</v>
      </c>
      <c r="AB427" s="51">
        <f t="shared" si="107"/>
        <v>45766</v>
      </c>
      <c r="AC427" s="49">
        <f t="shared" si="108"/>
        <v>16</v>
      </c>
      <c r="AD427" s="43">
        <f t="shared" si="109"/>
        <v>45766</v>
      </c>
      <c r="AE427" s="4">
        <v>45750</v>
      </c>
      <c r="AF427" s="19">
        <f t="shared" si="110"/>
        <v>16</v>
      </c>
      <c r="AG427" s="67"/>
      <c r="AH427" s="2"/>
      <c r="AI427" s="2"/>
      <c r="AJ427" s="2"/>
      <c r="AK427" s="2"/>
      <c r="AL427" s="2"/>
    </row>
    <row r="428" spans="1:38" ht="14.45">
      <c r="A428" s="156">
        <v>427</v>
      </c>
      <c r="B428" s="55">
        <v>45768</v>
      </c>
      <c r="C428" s="40" t="s">
        <v>855</v>
      </c>
      <c r="D428" s="14" t="s">
        <v>38</v>
      </c>
      <c r="E428" s="15">
        <v>127.11</v>
      </c>
      <c r="F428" s="14" t="s">
        <v>856</v>
      </c>
      <c r="G428" s="14" t="s">
        <v>190</v>
      </c>
      <c r="H428" s="14" t="s">
        <v>40</v>
      </c>
      <c r="I428" s="14" t="s">
        <v>41</v>
      </c>
      <c r="J428" s="97">
        <f t="shared" si="96"/>
        <v>45668</v>
      </c>
      <c r="L428" s="19" t="str">
        <f t="shared" si="97"/>
        <v/>
      </c>
      <c r="M428" s="5">
        <f t="shared" si="98"/>
        <v>45679</v>
      </c>
      <c r="N428" s="4">
        <v>45729</v>
      </c>
      <c r="O428" s="19">
        <f t="shared" si="99"/>
        <v>-50</v>
      </c>
      <c r="P428" s="5">
        <f t="shared" si="100"/>
        <v>45694</v>
      </c>
      <c r="Q428" s="4">
        <v>45741</v>
      </c>
      <c r="R428" s="19">
        <f t="shared" si="101"/>
        <v>-47</v>
      </c>
      <c r="S428" s="5">
        <f t="shared" si="111"/>
        <v>45699</v>
      </c>
      <c r="T428" s="4">
        <v>45742</v>
      </c>
      <c r="U428" s="19">
        <f t="shared" si="102"/>
        <v>-43</v>
      </c>
      <c r="V428" s="5">
        <f t="shared" si="103"/>
        <v>45738</v>
      </c>
      <c r="W428" s="4">
        <v>45742</v>
      </c>
      <c r="X428" s="19">
        <f t="shared" si="104"/>
        <v>-4</v>
      </c>
      <c r="Y428" s="51">
        <f t="shared" si="105"/>
        <v>45763</v>
      </c>
      <c r="Z428" s="4">
        <v>45762</v>
      </c>
      <c r="AA428" s="49">
        <f t="shared" si="106"/>
        <v>1</v>
      </c>
      <c r="AB428" s="51">
        <f t="shared" si="107"/>
        <v>45768</v>
      </c>
      <c r="AC428" s="49">
        <f t="shared" si="108"/>
        <v>6</v>
      </c>
      <c r="AD428" s="43">
        <f t="shared" si="109"/>
        <v>45768</v>
      </c>
      <c r="AE428" s="4">
        <v>45762</v>
      </c>
      <c r="AF428" s="19">
        <f t="shared" si="110"/>
        <v>6</v>
      </c>
      <c r="AG428" s="67"/>
      <c r="AH428" s="2"/>
      <c r="AI428" s="2"/>
      <c r="AJ428" s="2"/>
      <c r="AK428" s="2"/>
      <c r="AL428" s="2"/>
    </row>
    <row r="429" spans="1:38" ht="14.45">
      <c r="A429" s="156">
        <v>428</v>
      </c>
      <c r="B429" s="55">
        <v>45768</v>
      </c>
      <c r="C429" s="40" t="s">
        <v>857</v>
      </c>
      <c r="D429" s="14" t="s">
        <v>38</v>
      </c>
      <c r="E429" s="15">
        <v>191.93</v>
      </c>
      <c r="F429" s="14" t="s">
        <v>858</v>
      </c>
      <c r="G429" s="14" t="s">
        <v>190</v>
      </c>
      <c r="H429" s="14" t="s">
        <v>40</v>
      </c>
      <c r="I429" s="14" t="s">
        <v>41</v>
      </c>
      <c r="J429" s="97">
        <f t="shared" si="96"/>
        <v>45668</v>
      </c>
      <c r="L429" s="19" t="str">
        <f t="shared" si="97"/>
        <v/>
      </c>
      <c r="M429" s="5">
        <f t="shared" si="98"/>
        <v>45679</v>
      </c>
      <c r="N429" s="4">
        <v>45729</v>
      </c>
      <c r="O429" s="19">
        <f t="shared" si="99"/>
        <v>-50</v>
      </c>
      <c r="P429" s="5">
        <f t="shared" si="100"/>
        <v>45694</v>
      </c>
      <c r="Q429" s="4">
        <v>45741</v>
      </c>
      <c r="R429" s="19">
        <f t="shared" si="101"/>
        <v>-47</v>
      </c>
      <c r="S429" s="5">
        <f t="shared" si="111"/>
        <v>45699</v>
      </c>
      <c r="T429" s="4">
        <v>45742</v>
      </c>
      <c r="U429" s="19">
        <f t="shared" si="102"/>
        <v>-43</v>
      </c>
      <c r="V429" s="5">
        <f t="shared" si="103"/>
        <v>45738</v>
      </c>
      <c r="W429" s="4">
        <v>45742</v>
      </c>
      <c r="X429" s="19">
        <f t="shared" si="104"/>
        <v>-4</v>
      </c>
      <c r="Y429" s="51">
        <f t="shared" si="105"/>
        <v>45763</v>
      </c>
      <c r="Z429" s="4">
        <v>45762</v>
      </c>
      <c r="AA429" s="49">
        <f t="shared" si="106"/>
        <v>1</v>
      </c>
      <c r="AB429" s="51">
        <f t="shared" si="107"/>
        <v>45768</v>
      </c>
      <c r="AC429" s="49">
        <f t="shared" si="108"/>
        <v>6</v>
      </c>
      <c r="AD429" s="43">
        <f t="shared" si="109"/>
        <v>45768</v>
      </c>
      <c r="AE429" s="4">
        <v>45762</v>
      </c>
      <c r="AF429" s="19">
        <f t="shared" si="110"/>
        <v>6</v>
      </c>
      <c r="AG429" s="67"/>
      <c r="AH429" s="2"/>
      <c r="AI429" s="2"/>
      <c r="AJ429" s="2"/>
      <c r="AK429" s="2"/>
      <c r="AL429" s="2"/>
    </row>
    <row r="430" spans="1:38" ht="14.45">
      <c r="A430" s="156">
        <v>429</v>
      </c>
      <c r="B430" s="55">
        <v>45769</v>
      </c>
      <c r="C430" s="40" t="s">
        <v>859</v>
      </c>
      <c r="D430" s="14" t="s">
        <v>860</v>
      </c>
      <c r="E430" s="15">
        <v>2410.7800000000002</v>
      </c>
      <c r="F430" s="14" t="s">
        <v>861</v>
      </c>
      <c r="G430" s="14" t="s">
        <v>120</v>
      </c>
      <c r="H430" s="14" t="s">
        <v>40</v>
      </c>
      <c r="I430" s="14" t="s">
        <v>37</v>
      </c>
      <c r="J430" s="97">
        <f t="shared" si="96"/>
        <v>45669</v>
      </c>
      <c r="K430" s="4">
        <v>45760</v>
      </c>
      <c r="L430" s="19">
        <f t="shared" si="97"/>
        <v>-91</v>
      </c>
      <c r="M430" s="5">
        <f t="shared" si="98"/>
        <v>45680</v>
      </c>
      <c r="N430" s="4">
        <v>45760</v>
      </c>
      <c r="O430" s="19">
        <f t="shared" si="99"/>
        <v>-80</v>
      </c>
      <c r="P430" s="5">
        <f t="shared" si="100"/>
        <v>45695</v>
      </c>
      <c r="R430" s="19" t="str">
        <f t="shared" si="101"/>
        <v/>
      </c>
      <c r="S430" s="5">
        <f t="shared" si="111"/>
        <v>45700</v>
      </c>
      <c r="T430" s="4">
        <v>45760</v>
      </c>
      <c r="U430" s="19">
        <f t="shared" si="102"/>
        <v>-60</v>
      </c>
      <c r="V430" s="5">
        <f t="shared" si="103"/>
        <v>45739</v>
      </c>
      <c r="W430" s="4">
        <v>45760</v>
      </c>
      <c r="X430" s="19">
        <f t="shared" si="104"/>
        <v>-21</v>
      </c>
      <c r="Y430" s="51">
        <f t="shared" si="105"/>
        <v>45764</v>
      </c>
      <c r="Z430" s="4">
        <v>45775</v>
      </c>
      <c r="AA430" s="49">
        <f t="shared" si="106"/>
        <v>-11</v>
      </c>
      <c r="AB430" s="51">
        <f t="shared" si="107"/>
        <v>45769</v>
      </c>
      <c r="AC430" s="49">
        <f t="shared" si="108"/>
        <v>-6</v>
      </c>
      <c r="AD430" s="43">
        <f t="shared" si="109"/>
        <v>45769</v>
      </c>
      <c r="AE430" s="4">
        <v>45775</v>
      </c>
      <c r="AF430" s="19">
        <f t="shared" si="110"/>
        <v>-6</v>
      </c>
      <c r="AG430" s="67"/>
      <c r="AH430" s="2"/>
      <c r="AI430" s="2"/>
      <c r="AJ430" s="2"/>
      <c r="AK430" s="2"/>
      <c r="AL430" s="2"/>
    </row>
    <row r="431" spans="1:38" ht="14.45">
      <c r="A431" s="156">
        <v>430</v>
      </c>
      <c r="B431" s="55">
        <v>45769</v>
      </c>
      <c r="C431" s="40" t="s">
        <v>862</v>
      </c>
      <c r="D431" s="14" t="s">
        <v>863</v>
      </c>
      <c r="E431" s="15">
        <v>287839.78999999998</v>
      </c>
      <c r="F431" s="14" t="s">
        <v>864</v>
      </c>
      <c r="G431" s="14" t="s">
        <v>120</v>
      </c>
      <c r="H431" s="14" t="s">
        <v>36</v>
      </c>
      <c r="I431" s="14" t="s">
        <v>37</v>
      </c>
      <c r="J431" s="97">
        <f t="shared" si="96"/>
        <v>45669</v>
      </c>
      <c r="L431" s="19" t="str">
        <f t="shared" si="97"/>
        <v/>
      </c>
      <c r="M431" s="5">
        <f t="shared" si="98"/>
        <v>45680</v>
      </c>
      <c r="O431" s="19" t="str">
        <f t="shared" si="99"/>
        <v/>
      </c>
      <c r="P431" s="5">
        <f t="shared" si="100"/>
        <v>45695</v>
      </c>
      <c r="R431" s="19" t="str">
        <f t="shared" si="101"/>
        <v/>
      </c>
      <c r="S431" s="5">
        <f t="shared" si="111"/>
        <v>45700</v>
      </c>
      <c r="T431" s="4">
        <v>45763</v>
      </c>
      <c r="U431" s="19">
        <f t="shared" si="102"/>
        <v>-63</v>
      </c>
      <c r="V431" s="5">
        <f t="shared" si="103"/>
        <v>45739</v>
      </c>
      <c r="W431" s="4">
        <v>45763</v>
      </c>
      <c r="X431" s="19">
        <f t="shared" si="104"/>
        <v>-24</v>
      </c>
      <c r="Y431" s="51">
        <f t="shared" si="105"/>
        <v>45764</v>
      </c>
      <c r="Z431" s="4">
        <v>45795</v>
      </c>
      <c r="AA431" s="49">
        <f t="shared" si="106"/>
        <v>-31</v>
      </c>
      <c r="AB431" s="51">
        <f t="shared" si="107"/>
        <v>45769</v>
      </c>
      <c r="AC431" s="49">
        <f t="shared" si="108"/>
        <v>-26</v>
      </c>
      <c r="AD431" s="43">
        <f t="shared" si="109"/>
        <v>45769</v>
      </c>
      <c r="AE431" s="4">
        <v>45795</v>
      </c>
      <c r="AF431" s="19">
        <f t="shared" si="110"/>
        <v>-26</v>
      </c>
      <c r="AG431" s="67"/>
      <c r="AH431" s="2"/>
      <c r="AI431" s="2"/>
      <c r="AJ431" s="2"/>
      <c r="AK431" s="2"/>
      <c r="AL431" s="2"/>
    </row>
    <row r="432" spans="1:38" ht="14.45">
      <c r="A432" s="156">
        <v>431</v>
      </c>
      <c r="B432" s="55">
        <v>45769</v>
      </c>
      <c r="C432" s="40" t="s">
        <v>865</v>
      </c>
      <c r="D432" s="14" t="s">
        <v>866</v>
      </c>
      <c r="E432" s="15">
        <v>2819.58</v>
      </c>
      <c r="F432" s="14" t="s">
        <v>867</v>
      </c>
      <c r="G432" s="14" t="s">
        <v>46</v>
      </c>
      <c r="H432" s="14" t="s">
        <v>40</v>
      </c>
      <c r="I432" s="14" t="s">
        <v>93</v>
      </c>
      <c r="J432" s="97">
        <f t="shared" si="96"/>
        <v>45669</v>
      </c>
      <c r="K432" s="4">
        <v>45692</v>
      </c>
      <c r="L432" s="19">
        <f t="shared" si="97"/>
        <v>-23</v>
      </c>
      <c r="M432" s="5">
        <f t="shared" si="98"/>
        <v>45680</v>
      </c>
      <c r="O432" s="19" t="str">
        <f t="shared" si="99"/>
        <v/>
      </c>
      <c r="P432" s="5">
        <f t="shared" si="100"/>
        <v>45695</v>
      </c>
      <c r="R432" s="19" t="str">
        <f t="shared" si="101"/>
        <v/>
      </c>
      <c r="S432" s="5">
        <f t="shared" si="111"/>
        <v>45700</v>
      </c>
      <c r="T432" s="4">
        <v>45667</v>
      </c>
      <c r="U432" s="19">
        <f t="shared" si="102"/>
        <v>33</v>
      </c>
      <c r="V432" s="5">
        <f t="shared" si="103"/>
        <v>45739</v>
      </c>
      <c r="W432" s="4">
        <v>45750</v>
      </c>
      <c r="X432" s="19">
        <f t="shared" si="104"/>
        <v>-11</v>
      </c>
      <c r="Y432" s="51">
        <f t="shared" si="105"/>
        <v>45764</v>
      </c>
      <c r="Z432" s="4">
        <v>45782</v>
      </c>
      <c r="AA432" s="49">
        <f t="shared" si="106"/>
        <v>-18</v>
      </c>
      <c r="AB432" s="51">
        <f t="shared" si="107"/>
        <v>45769</v>
      </c>
      <c r="AC432" s="49">
        <f t="shared" si="108"/>
        <v>-13</v>
      </c>
      <c r="AD432" s="43">
        <f t="shared" si="109"/>
        <v>45769</v>
      </c>
      <c r="AE432" s="4">
        <v>45782</v>
      </c>
      <c r="AF432" s="19">
        <f t="shared" si="110"/>
        <v>-13</v>
      </c>
      <c r="AG432" s="67"/>
      <c r="AH432" s="2"/>
      <c r="AI432" s="2"/>
      <c r="AJ432" s="2"/>
      <c r="AK432" s="2"/>
      <c r="AL432" s="2"/>
    </row>
    <row r="433" spans="1:38" ht="14.45">
      <c r="A433" s="156">
        <v>432</v>
      </c>
      <c r="B433" s="55">
        <v>45769</v>
      </c>
      <c r="C433" s="40" t="s">
        <v>868</v>
      </c>
      <c r="D433" s="14" t="s">
        <v>38</v>
      </c>
      <c r="E433" s="15">
        <v>377.62</v>
      </c>
      <c r="F433" s="14" t="s">
        <v>869</v>
      </c>
      <c r="G433" s="14" t="s">
        <v>190</v>
      </c>
      <c r="H433" s="14" t="s">
        <v>40</v>
      </c>
      <c r="I433" s="14" t="s">
        <v>41</v>
      </c>
      <c r="J433" s="97">
        <f t="shared" si="96"/>
        <v>45669</v>
      </c>
      <c r="L433" s="19" t="str">
        <f t="shared" si="97"/>
        <v/>
      </c>
      <c r="M433" s="5">
        <f t="shared" si="98"/>
        <v>45680</v>
      </c>
      <c r="N433" s="4">
        <v>45729</v>
      </c>
      <c r="O433" s="19">
        <f t="shared" si="99"/>
        <v>-49</v>
      </c>
      <c r="P433" s="5">
        <f t="shared" si="100"/>
        <v>45695</v>
      </c>
      <c r="Q433" s="4">
        <v>45741</v>
      </c>
      <c r="R433" s="19">
        <f t="shared" si="101"/>
        <v>-46</v>
      </c>
      <c r="S433" s="5">
        <f t="shared" si="111"/>
        <v>45700</v>
      </c>
      <c r="T433" s="4">
        <v>45742</v>
      </c>
      <c r="U433" s="19">
        <f t="shared" si="102"/>
        <v>-42</v>
      </c>
      <c r="V433" s="5">
        <f t="shared" si="103"/>
        <v>45739</v>
      </c>
      <c r="W433" s="4">
        <v>45742</v>
      </c>
      <c r="X433" s="19">
        <f t="shared" si="104"/>
        <v>-3</v>
      </c>
      <c r="Y433" s="51">
        <f t="shared" si="105"/>
        <v>45764</v>
      </c>
      <c r="Z433" s="4">
        <v>45762</v>
      </c>
      <c r="AA433" s="49">
        <f t="shared" si="106"/>
        <v>2</v>
      </c>
      <c r="AB433" s="51">
        <f t="shared" si="107"/>
        <v>45769</v>
      </c>
      <c r="AC433" s="49">
        <f t="shared" si="108"/>
        <v>7</v>
      </c>
      <c r="AD433" s="43">
        <f t="shared" si="109"/>
        <v>45769</v>
      </c>
      <c r="AE433" s="4">
        <v>45762</v>
      </c>
      <c r="AF433" s="19">
        <f t="shared" si="110"/>
        <v>7</v>
      </c>
      <c r="AG433" s="67"/>
      <c r="AH433" s="2"/>
      <c r="AI433" s="2"/>
      <c r="AJ433" s="2"/>
      <c r="AK433" s="2"/>
      <c r="AL433" s="2"/>
    </row>
    <row r="434" spans="1:38" ht="14.45">
      <c r="A434" s="156">
        <v>433</v>
      </c>
      <c r="B434" s="55">
        <v>45769</v>
      </c>
      <c r="C434" s="40" t="s">
        <v>870</v>
      </c>
      <c r="D434" s="14" t="s">
        <v>38</v>
      </c>
      <c r="E434" s="15">
        <v>100.79</v>
      </c>
      <c r="F434" s="14" t="s">
        <v>871</v>
      </c>
      <c r="G434" s="14" t="s">
        <v>190</v>
      </c>
      <c r="H434" s="14" t="s">
        <v>40</v>
      </c>
      <c r="I434" s="14" t="s">
        <v>41</v>
      </c>
      <c r="J434" s="97">
        <f t="shared" si="96"/>
        <v>45669</v>
      </c>
      <c r="L434" s="19" t="str">
        <f t="shared" si="97"/>
        <v/>
      </c>
      <c r="M434" s="5">
        <f t="shared" si="98"/>
        <v>45680</v>
      </c>
      <c r="N434" s="4">
        <v>45729</v>
      </c>
      <c r="O434" s="19">
        <f t="shared" si="99"/>
        <v>-49</v>
      </c>
      <c r="P434" s="5">
        <f t="shared" si="100"/>
        <v>45695</v>
      </c>
      <c r="Q434" s="4">
        <v>45741</v>
      </c>
      <c r="R434" s="19">
        <f t="shared" si="101"/>
        <v>-46</v>
      </c>
      <c r="S434" s="5">
        <f t="shared" si="111"/>
        <v>45700</v>
      </c>
      <c r="T434" s="4">
        <v>45742</v>
      </c>
      <c r="U434" s="19">
        <f t="shared" si="102"/>
        <v>-42</v>
      </c>
      <c r="V434" s="5">
        <f t="shared" si="103"/>
        <v>45739</v>
      </c>
      <c r="W434" s="4">
        <v>45742</v>
      </c>
      <c r="X434" s="19">
        <f t="shared" si="104"/>
        <v>-3</v>
      </c>
      <c r="Y434" s="51">
        <f t="shared" si="105"/>
        <v>45764</v>
      </c>
      <c r="Z434" s="4">
        <v>45762</v>
      </c>
      <c r="AA434" s="49">
        <f t="shared" si="106"/>
        <v>2</v>
      </c>
      <c r="AB434" s="51">
        <f t="shared" si="107"/>
        <v>45769</v>
      </c>
      <c r="AC434" s="49">
        <f t="shared" si="108"/>
        <v>7</v>
      </c>
      <c r="AD434" s="43">
        <f t="shared" si="109"/>
        <v>45769</v>
      </c>
      <c r="AE434" s="4">
        <v>45762</v>
      </c>
      <c r="AF434" s="19">
        <f t="shared" si="110"/>
        <v>7</v>
      </c>
      <c r="AG434" s="67"/>
      <c r="AH434" s="2"/>
      <c r="AI434" s="2"/>
      <c r="AJ434" s="2"/>
      <c r="AK434" s="2"/>
      <c r="AL434" s="2"/>
    </row>
    <row r="435" spans="1:38" ht="14.45">
      <c r="A435" s="156">
        <v>434</v>
      </c>
      <c r="B435" s="55">
        <v>45769</v>
      </c>
      <c r="C435" s="40" t="s">
        <v>872</v>
      </c>
      <c r="D435" s="14" t="s">
        <v>38</v>
      </c>
      <c r="E435" s="15">
        <v>45.6</v>
      </c>
      <c r="F435" s="14" t="s">
        <v>873</v>
      </c>
      <c r="G435" s="14" t="s">
        <v>190</v>
      </c>
      <c r="H435" s="14" t="s">
        <v>40</v>
      </c>
      <c r="I435" s="14" t="s">
        <v>41</v>
      </c>
      <c r="J435" s="97">
        <f t="shared" si="96"/>
        <v>45669</v>
      </c>
      <c r="L435" s="19" t="str">
        <f t="shared" si="97"/>
        <v/>
      </c>
      <c r="M435" s="5">
        <f t="shared" si="98"/>
        <v>45680</v>
      </c>
      <c r="N435" s="4">
        <v>45729</v>
      </c>
      <c r="O435" s="19">
        <f t="shared" si="99"/>
        <v>-49</v>
      </c>
      <c r="P435" s="5">
        <f t="shared" si="100"/>
        <v>45695</v>
      </c>
      <c r="Q435" s="4">
        <v>45741</v>
      </c>
      <c r="R435" s="19">
        <f t="shared" si="101"/>
        <v>-46</v>
      </c>
      <c r="S435" s="5">
        <f t="shared" si="111"/>
        <v>45700</v>
      </c>
      <c r="T435" s="4">
        <v>45742</v>
      </c>
      <c r="U435" s="19">
        <f t="shared" si="102"/>
        <v>-42</v>
      </c>
      <c r="V435" s="5">
        <f t="shared" si="103"/>
        <v>45739</v>
      </c>
      <c r="W435" s="4">
        <v>45742</v>
      </c>
      <c r="X435" s="19">
        <f t="shared" si="104"/>
        <v>-3</v>
      </c>
      <c r="Y435" s="51">
        <f t="shared" si="105"/>
        <v>45764</v>
      </c>
      <c r="Z435" s="4">
        <v>45762</v>
      </c>
      <c r="AA435" s="49">
        <f t="shared" si="106"/>
        <v>2</v>
      </c>
      <c r="AB435" s="51">
        <f t="shared" si="107"/>
        <v>45769</v>
      </c>
      <c r="AC435" s="49">
        <f t="shared" si="108"/>
        <v>7</v>
      </c>
      <c r="AD435" s="43">
        <f t="shared" si="109"/>
        <v>45769</v>
      </c>
      <c r="AE435" s="4">
        <v>45762</v>
      </c>
      <c r="AF435" s="19">
        <f t="shared" si="110"/>
        <v>7</v>
      </c>
      <c r="AG435" s="67"/>
      <c r="AH435" s="2"/>
      <c r="AI435" s="2"/>
      <c r="AJ435" s="2"/>
      <c r="AK435" s="2"/>
      <c r="AL435" s="2"/>
    </row>
    <row r="436" spans="1:38" ht="14.45">
      <c r="A436" s="156">
        <v>435</v>
      </c>
      <c r="B436" s="55">
        <v>45769</v>
      </c>
      <c r="C436" s="40" t="s">
        <v>874</v>
      </c>
      <c r="D436" s="14" t="s">
        <v>38</v>
      </c>
      <c r="E436" s="15">
        <v>13.23</v>
      </c>
      <c r="F436" s="14" t="s">
        <v>875</v>
      </c>
      <c r="G436" s="14" t="s">
        <v>190</v>
      </c>
      <c r="H436" s="14" t="s">
        <v>40</v>
      </c>
      <c r="I436" s="14" t="s">
        <v>41</v>
      </c>
      <c r="J436" s="97">
        <f t="shared" si="96"/>
        <v>45669</v>
      </c>
      <c r="L436" s="19" t="str">
        <f t="shared" si="97"/>
        <v/>
      </c>
      <c r="M436" s="5">
        <f t="shared" si="98"/>
        <v>45680</v>
      </c>
      <c r="N436" s="4">
        <v>45729</v>
      </c>
      <c r="O436" s="19">
        <f t="shared" si="99"/>
        <v>-49</v>
      </c>
      <c r="P436" s="5">
        <f t="shared" si="100"/>
        <v>45695</v>
      </c>
      <c r="Q436" s="4">
        <v>45741</v>
      </c>
      <c r="R436" s="19">
        <f t="shared" si="101"/>
        <v>-46</v>
      </c>
      <c r="S436" s="5">
        <f t="shared" si="111"/>
        <v>45700</v>
      </c>
      <c r="T436" s="4">
        <v>45742</v>
      </c>
      <c r="U436" s="19">
        <f t="shared" si="102"/>
        <v>-42</v>
      </c>
      <c r="V436" s="5">
        <f t="shared" si="103"/>
        <v>45739</v>
      </c>
      <c r="W436" s="4">
        <v>45742</v>
      </c>
      <c r="X436" s="19">
        <f t="shared" si="104"/>
        <v>-3</v>
      </c>
      <c r="Y436" s="51">
        <f t="shared" si="105"/>
        <v>45764</v>
      </c>
      <c r="Z436" s="4">
        <v>45762</v>
      </c>
      <c r="AA436" s="49">
        <f t="shared" si="106"/>
        <v>2</v>
      </c>
      <c r="AB436" s="51">
        <f t="shared" si="107"/>
        <v>45769</v>
      </c>
      <c r="AC436" s="49">
        <f t="shared" si="108"/>
        <v>7</v>
      </c>
      <c r="AD436" s="43">
        <f t="shared" si="109"/>
        <v>45769</v>
      </c>
      <c r="AE436" s="4">
        <v>45762</v>
      </c>
      <c r="AF436" s="19">
        <f t="shared" si="110"/>
        <v>7</v>
      </c>
      <c r="AG436" s="67"/>
      <c r="AH436" s="2"/>
      <c r="AI436" s="2"/>
      <c r="AJ436" s="2"/>
      <c r="AK436" s="2"/>
      <c r="AL436" s="2"/>
    </row>
    <row r="437" spans="1:38" ht="14.45">
      <c r="A437" s="156">
        <v>436</v>
      </c>
      <c r="B437" s="55">
        <v>45770</v>
      </c>
      <c r="C437" s="40" t="s">
        <v>876</v>
      </c>
      <c r="D437" s="14" t="s">
        <v>166</v>
      </c>
      <c r="E437" s="15">
        <v>117614.76</v>
      </c>
      <c r="F437" s="14" t="s">
        <v>877</v>
      </c>
      <c r="G437" s="14" t="s">
        <v>35</v>
      </c>
      <c r="H437" s="14" t="s">
        <v>36</v>
      </c>
      <c r="I437" s="14" t="s">
        <v>37</v>
      </c>
      <c r="J437" s="97">
        <f t="shared" si="96"/>
        <v>45670</v>
      </c>
      <c r="L437" s="19" t="str">
        <f t="shared" si="97"/>
        <v/>
      </c>
      <c r="M437" s="5">
        <f t="shared" si="98"/>
        <v>45681</v>
      </c>
      <c r="O437" s="19" t="str">
        <f t="shared" si="99"/>
        <v/>
      </c>
      <c r="P437" s="5">
        <f t="shared" si="100"/>
        <v>45696</v>
      </c>
      <c r="R437" s="19" t="str">
        <f t="shared" si="101"/>
        <v/>
      </c>
      <c r="S437" s="5">
        <f t="shared" si="111"/>
        <v>45701</v>
      </c>
      <c r="T437" s="4">
        <v>45687</v>
      </c>
      <c r="U437" s="19">
        <f t="shared" si="102"/>
        <v>14</v>
      </c>
      <c r="V437" s="5">
        <f t="shared" si="103"/>
        <v>45740</v>
      </c>
      <c r="W437" s="4">
        <v>45750</v>
      </c>
      <c r="X437" s="19">
        <f t="shared" si="104"/>
        <v>-10</v>
      </c>
      <c r="Y437" s="51">
        <f t="shared" si="105"/>
        <v>45765</v>
      </c>
      <c r="Z437" s="4">
        <v>45770</v>
      </c>
      <c r="AA437" s="49">
        <f t="shared" si="106"/>
        <v>-5</v>
      </c>
      <c r="AB437" s="51">
        <f t="shared" si="107"/>
        <v>45770</v>
      </c>
      <c r="AC437" s="49">
        <f t="shared" si="108"/>
        <v>0</v>
      </c>
      <c r="AD437" s="43">
        <f t="shared" si="109"/>
        <v>45770</v>
      </c>
      <c r="AE437" s="4">
        <v>45770</v>
      </c>
      <c r="AF437" s="19">
        <f t="shared" si="110"/>
        <v>0</v>
      </c>
      <c r="AG437" s="67"/>
      <c r="AH437" s="2"/>
      <c r="AI437" s="2"/>
      <c r="AJ437" s="2"/>
      <c r="AK437" s="2"/>
      <c r="AL437" s="2"/>
    </row>
    <row r="438" spans="1:38" ht="14.45">
      <c r="A438" s="156">
        <v>437</v>
      </c>
      <c r="B438" s="55">
        <v>45770</v>
      </c>
      <c r="C438" s="40" t="s">
        <v>878</v>
      </c>
      <c r="D438" s="14" t="s">
        <v>166</v>
      </c>
      <c r="E438" s="15">
        <v>11606.08</v>
      </c>
      <c r="F438" s="14" t="s">
        <v>879</v>
      </c>
      <c r="G438" s="14" t="s">
        <v>35</v>
      </c>
      <c r="H438" s="14" t="s">
        <v>40</v>
      </c>
      <c r="I438" s="14" t="s">
        <v>41</v>
      </c>
      <c r="J438" s="97">
        <f t="shared" si="96"/>
        <v>45670</v>
      </c>
      <c r="L438" s="19" t="str">
        <f t="shared" si="97"/>
        <v/>
      </c>
      <c r="M438" s="5">
        <f t="shared" si="98"/>
        <v>45681</v>
      </c>
      <c r="O438" s="19" t="str">
        <f t="shared" si="99"/>
        <v/>
      </c>
      <c r="P438" s="5">
        <f t="shared" si="100"/>
        <v>45696</v>
      </c>
      <c r="R438" s="19" t="str">
        <f t="shared" si="101"/>
        <v/>
      </c>
      <c r="S438" s="5">
        <f t="shared" si="111"/>
        <v>45701</v>
      </c>
      <c r="T438" s="4">
        <v>45687</v>
      </c>
      <c r="U438" s="19">
        <f t="shared" si="102"/>
        <v>14</v>
      </c>
      <c r="V438" s="5">
        <f t="shared" si="103"/>
        <v>45740</v>
      </c>
      <c r="W438" s="4">
        <v>45750</v>
      </c>
      <c r="X438" s="19">
        <f t="shared" si="104"/>
        <v>-10</v>
      </c>
      <c r="Y438" s="51">
        <f t="shared" si="105"/>
        <v>45765</v>
      </c>
      <c r="Z438" s="4">
        <v>45770</v>
      </c>
      <c r="AA438" s="49">
        <f t="shared" si="106"/>
        <v>-5</v>
      </c>
      <c r="AB438" s="51">
        <f t="shared" si="107"/>
        <v>45770</v>
      </c>
      <c r="AC438" s="49">
        <f t="shared" si="108"/>
        <v>0</v>
      </c>
      <c r="AD438" s="43">
        <f t="shared" si="109"/>
        <v>45770</v>
      </c>
      <c r="AE438" s="4">
        <v>45770</v>
      </c>
      <c r="AF438" s="19">
        <f t="shared" si="110"/>
        <v>0</v>
      </c>
      <c r="AG438" s="67"/>
      <c r="AH438" s="2"/>
      <c r="AI438" s="2"/>
      <c r="AJ438" s="2"/>
      <c r="AK438" s="2"/>
      <c r="AL438" s="2"/>
    </row>
    <row r="439" spans="1:38" ht="14.45">
      <c r="A439" s="156">
        <v>438</v>
      </c>
      <c r="B439" s="55">
        <v>45770</v>
      </c>
      <c r="C439" s="40" t="s">
        <v>880</v>
      </c>
      <c r="D439" s="14" t="s">
        <v>166</v>
      </c>
      <c r="E439" s="15">
        <v>178500</v>
      </c>
      <c r="F439" s="14" t="s">
        <v>881</v>
      </c>
      <c r="G439" s="14" t="s">
        <v>46</v>
      </c>
      <c r="H439" s="14" t="s">
        <v>36</v>
      </c>
      <c r="I439" s="14" t="s">
        <v>443</v>
      </c>
      <c r="J439" s="97">
        <f t="shared" si="96"/>
        <v>45670</v>
      </c>
      <c r="K439" s="4">
        <v>45667</v>
      </c>
      <c r="L439" s="19">
        <f t="shared" si="97"/>
        <v>3</v>
      </c>
      <c r="M439" s="5">
        <f t="shared" si="98"/>
        <v>45681</v>
      </c>
      <c r="O439" s="19" t="str">
        <f t="shared" si="99"/>
        <v/>
      </c>
      <c r="P439" s="5">
        <f t="shared" si="100"/>
        <v>45696</v>
      </c>
      <c r="R439" s="19" t="str">
        <f t="shared" si="101"/>
        <v/>
      </c>
      <c r="S439" s="5">
        <f t="shared" si="111"/>
        <v>45701</v>
      </c>
      <c r="T439" s="4">
        <v>45680</v>
      </c>
      <c r="U439" s="19">
        <f t="shared" si="102"/>
        <v>21</v>
      </c>
      <c r="V439" s="5">
        <f t="shared" si="103"/>
        <v>45740</v>
      </c>
      <c r="W439" s="4">
        <v>45741</v>
      </c>
      <c r="X439" s="19">
        <f t="shared" si="104"/>
        <v>-1</v>
      </c>
      <c r="Y439" s="51">
        <f t="shared" si="105"/>
        <v>45765</v>
      </c>
      <c r="Z439" s="4">
        <v>45757</v>
      </c>
      <c r="AA439" s="49">
        <f t="shared" si="106"/>
        <v>8</v>
      </c>
      <c r="AB439" s="51">
        <f t="shared" si="107"/>
        <v>45770</v>
      </c>
      <c r="AC439" s="49">
        <f t="shared" si="108"/>
        <v>13</v>
      </c>
      <c r="AD439" s="43">
        <f t="shared" si="109"/>
        <v>45770</v>
      </c>
      <c r="AE439" s="4">
        <v>45757</v>
      </c>
      <c r="AF439" s="19">
        <f t="shared" si="110"/>
        <v>13</v>
      </c>
      <c r="AG439" s="67"/>
      <c r="AH439" s="2"/>
      <c r="AI439" s="2"/>
      <c r="AJ439" s="2"/>
      <c r="AK439" s="2"/>
      <c r="AL439" s="2"/>
    </row>
    <row r="440" spans="1:38" ht="14.45">
      <c r="A440" s="156">
        <v>439</v>
      </c>
      <c r="B440" s="55">
        <v>45770</v>
      </c>
      <c r="C440" s="40" t="s">
        <v>882</v>
      </c>
      <c r="D440" s="14" t="s">
        <v>177</v>
      </c>
      <c r="E440" s="15">
        <v>494940.27</v>
      </c>
      <c r="F440" s="14" t="s">
        <v>883</v>
      </c>
      <c r="G440" s="14" t="s">
        <v>120</v>
      </c>
      <c r="H440" s="14" t="s">
        <v>40</v>
      </c>
      <c r="I440" s="14" t="s">
        <v>37</v>
      </c>
      <c r="J440" s="97">
        <f t="shared" si="96"/>
        <v>45670</v>
      </c>
      <c r="K440" s="4">
        <v>45642</v>
      </c>
      <c r="L440" s="19">
        <f t="shared" si="97"/>
        <v>28</v>
      </c>
      <c r="M440" s="5">
        <f t="shared" si="98"/>
        <v>45681</v>
      </c>
      <c r="O440" s="19" t="str">
        <f t="shared" si="99"/>
        <v/>
      </c>
      <c r="P440" s="5">
        <f t="shared" si="100"/>
        <v>45696</v>
      </c>
      <c r="R440" s="19" t="str">
        <f t="shared" si="101"/>
        <v/>
      </c>
      <c r="S440" s="5">
        <f t="shared" si="111"/>
        <v>45701</v>
      </c>
      <c r="T440" s="4">
        <v>45643</v>
      </c>
      <c r="U440" s="19">
        <f t="shared" si="102"/>
        <v>58</v>
      </c>
      <c r="V440" s="5">
        <f t="shared" si="103"/>
        <v>45740</v>
      </c>
      <c r="W440" s="4">
        <v>45744</v>
      </c>
      <c r="X440" s="19">
        <f t="shared" si="104"/>
        <v>-4</v>
      </c>
      <c r="Y440" s="51">
        <f t="shared" si="105"/>
        <v>45765</v>
      </c>
      <c r="Z440" s="4">
        <v>45791</v>
      </c>
      <c r="AA440" s="49">
        <f t="shared" si="106"/>
        <v>-26</v>
      </c>
      <c r="AB440" s="51">
        <f t="shared" si="107"/>
        <v>45770</v>
      </c>
      <c r="AC440" s="49">
        <f t="shared" si="108"/>
        <v>-21</v>
      </c>
      <c r="AD440" s="43">
        <f t="shared" si="109"/>
        <v>45770</v>
      </c>
      <c r="AE440" s="4">
        <v>45791</v>
      </c>
      <c r="AF440" s="19">
        <f t="shared" si="110"/>
        <v>-21</v>
      </c>
      <c r="AG440" s="67"/>
      <c r="AH440" s="2"/>
      <c r="AI440" s="2"/>
      <c r="AJ440" s="2"/>
      <c r="AK440" s="2"/>
      <c r="AL440" s="2"/>
    </row>
    <row r="441" spans="1:38" ht="14.45">
      <c r="A441" s="156">
        <v>440</v>
      </c>
      <c r="B441" s="55">
        <v>45770</v>
      </c>
      <c r="C441" s="40" t="s">
        <v>884</v>
      </c>
      <c r="D441" s="14" t="s">
        <v>177</v>
      </c>
      <c r="E441" s="15">
        <v>681518.41</v>
      </c>
      <c r="F441" s="14" t="s">
        <v>885</v>
      </c>
      <c r="G441" s="14" t="s">
        <v>120</v>
      </c>
      <c r="H441" s="14" t="s">
        <v>40</v>
      </c>
      <c r="I441" s="14" t="s">
        <v>37</v>
      </c>
      <c r="J441" s="97">
        <f t="shared" si="96"/>
        <v>45670</v>
      </c>
      <c r="K441" s="4">
        <v>45642</v>
      </c>
      <c r="L441" s="19">
        <f t="shared" si="97"/>
        <v>28</v>
      </c>
      <c r="M441" s="5">
        <f t="shared" si="98"/>
        <v>45681</v>
      </c>
      <c r="O441" s="19" t="str">
        <f t="shared" si="99"/>
        <v/>
      </c>
      <c r="P441" s="5">
        <f t="shared" si="100"/>
        <v>45696</v>
      </c>
      <c r="R441" s="19" t="str">
        <f t="shared" si="101"/>
        <v/>
      </c>
      <c r="S441" s="5">
        <f t="shared" si="111"/>
        <v>45701</v>
      </c>
      <c r="T441" s="4">
        <v>45643</v>
      </c>
      <c r="U441" s="19">
        <f t="shared" si="102"/>
        <v>58</v>
      </c>
      <c r="V441" s="5">
        <f t="shared" si="103"/>
        <v>45740</v>
      </c>
      <c r="W441" s="4">
        <v>45744</v>
      </c>
      <c r="X441" s="19">
        <f t="shared" si="104"/>
        <v>-4</v>
      </c>
      <c r="Y441" s="51">
        <f t="shared" si="105"/>
        <v>45765</v>
      </c>
      <c r="Z441" s="4">
        <v>45786</v>
      </c>
      <c r="AA441" s="49">
        <f t="shared" si="106"/>
        <v>-21</v>
      </c>
      <c r="AB441" s="51">
        <f t="shared" si="107"/>
        <v>45770</v>
      </c>
      <c r="AC441" s="49">
        <f t="shared" si="108"/>
        <v>-16</v>
      </c>
      <c r="AD441" s="43">
        <f t="shared" si="109"/>
        <v>45770</v>
      </c>
      <c r="AE441" s="4">
        <v>45786</v>
      </c>
      <c r="AF441" s="19">
        <f t="shared" si="110"/>
        <v>-16</v>
      </c>
      <c r="AG441" s="67"/>
      <c r="AH441" s="2"/>
      <c r="AI441" s="2"/>
      <c r="AJ441" s="2"/>
      <c r="AK441" s="2"/>
      <c r="AL441" s="2"/>
    </row>
    <row r="442" spans="1:38" ht="14.45">
      <c r="A442" s="156">
        <v>441</v>
      </c>
      <c r="B442" s="55">
        <v>45770</v>
      </c>
      <c r="C442" s="40" t="s">
        <v>886</v>
      </c>
      <c r="D442" s="14" t="s">
        <v>177</v>
      </c>
      <c r="E442" s="15">
        <v>185602.6</v>
      </c>
      <c r="F442" s="14" t="s">
        <v>883</v>
      </c>
      <c r="G442" s="14" t="s">
        <v>190</v>
      </c>
      <c r="H442" s="14" t="s">
        <v>40</v>
      </c>
      <c r="I442" s="14" t="s">
        <v>37</v>
      </c>
      <c r="J442" s="97">
        <f t="shared" si="96"/>
        <v>45670</v>
      </c>
      <c r="K442" s="4">
        <v>45642</v>
      </c>
      <c r="L442" s="19">
        <f t="shared" si="97"/>
        <v>28</v>
      </c>
      <c r="M442" s="5">
        <f t="shared" si="98"/>
        <v>45681</v>
      </c>
      <c r="O442" s="19" t="str">
        <f t="shared" si="99"/>
        <v/>
      </c>
      <c r="P442" s="5">
        <f t="shared" si="100"/>
        <v>45696</v>
      </c>
      <c r="R442" s="19" t="str">
        <f t="shared" si="101"/>
        <v/>
      </c>
      <c r="S442" s="5">
        <f t="shared" si="111"/>
        <v>45701</v>
      </c>
      <c r="T442" s="4">
        <v>45643</v>
      </c>
      <c r="U442" s="19">
        <f t="shared" si="102"/>
        <v>58</v>
      </c>
      <c r="V442" s="5">
        <f t="shared" si="103"/>
        <v>45740</v>
      </c>
      <c r="W442" s="4">
        <v>45744</v>
      </c>
      <c r="X442" s="19">
        <f t="shared" si="104"/>
        <v>-4</v>
      </c>
      <c r="Y442" s="51">
        <f t="shared" si="105"/>
        <v>45765</v>
      </c>
      <c r="Z442" s="4">
        <v>45791</v>
      </c>
      <c r="AA442" s="49">
        <f t="shared" si="106"/>
        <v>-26</v>
      </c>
      <c r="AB442" s="51">
        <f t="shared" si="107"/>
        <v>45770</v>
      </c>
      <c r="AC442" s="49">
        <f t="shared" si="108"/>
        <v>-21</v>
      </c>
      <c r="AD442" s="43">
        <f t="shared" si="109"/>
        <v>45770</v>
      </c>
      <c r="AE442" s="4">
        <v>45791</v>
      </c>
      <c r="AF442" s="19">
        <f t="shared" si="110"/>
        <v>-21</v>
      </c>
      <c r="AG442" s="67"/>
      <c r="AH442" s="2"/>
      <c r="AI442" s="2"/>
      <c r="AJ442" s="2"/>
      <c r="AK442" s="2"/>
      <c r="AL442" s="2"/>
    </row>
    <row r="443" spans="1:38" ht="14.45">
      <c r="A443" s="156">
        <v>442</v>
      </c>
      <c r="B443" s="55">
        <v>45770</v>
      </c>
      <c r="C443" s="40" t="s">
        <v>887</v>
      </c>
      <c r="D443" s="14" t="s">
        <v>177</v>
      </c>
      <c r="E443" s="15">
        <v>148482.07999999999</v>
      </c>
      <c r="F443" s="14" t="s">
        <v>883</v>
      </c>
      <c r="G443" s="14" t="s">
        <v>190</v>
      </c>
      <c r="H443" s="14" t="s">
        <v>40</v>
      </c>
      <c r="I443" s="14" t="s">
        <v>37</v>
      </c>
      <c r="J443" s="97">
        <f t="shared" si="96"/>
        <v>45670</v>
      </c>
      <c r="K443" s="4">
        <v>45642</v>
      </c>
      <c r="L443" s="19">
        <f t="shared" si="97"/>
        <v>28</v>
      </c>
      <c r="M443" s="5">
        <f t="shared" si="98"/>
        <v>45681</v>
      </c>
      <c r="O443" s="19" t="str">
        <f t="shared" si="99"/>
        <v/>
      </c>
      <c r="P443" s="5">
        <f t="shared" si="100"/>
        <v>45696</v>
      </c>
      <c r="R443" s="19" t="str">
        <f t="shared" si="101"/>
        <v/>
      </c>
      <c r="S443" s="5">
        <f t="shared" si="111"/>
        <v>45701</v>
      </c>
      <c r="T443" s="4">
        <v>45643</v>
      </c>
      <c r="U443" s="19">
        <f t="shared" si="102"/>
        <v>58</v>
      </c>
      <c r="V443" s="5">
        <f t="shared" si="103"/>
        <v>45740</v>
      </c>
      <c r="W443" s="4">
        <v>45744</v>
      </c>
      <c r="X443" s="19">
        <f t="shared" si="104"/>
        <v>-4</v>
      </c>
      <c r="Y443" s="51">
        <f t="shared" si="105"/>
        <v>45765</v>
      </c>
      <c r="Z443" s="4">
        <v>45791</v>
      </c>
      <c r="AA443" s="49">
        <f t="shared" si="106"/>
        <v>-26</v>
      </c>
      <c r="AB443" s="51">
        <f t="shared" si="107"/>
        <v>45770</v>
      </c>
      <c r="AC443" s="49">
        <f t="shared" si="108"/>
        <v>-21</v>
      </c>
      <c r="AD443" s="43">
        <f t="shared" si="109"/>
        <v>45770</v>
      </c>
      <c r="AE443" s="4">
        <v>45791</v>
      </c>
      <c r="AF443" s="19">
        <f t="shared" si="110"/>
        <v>-21</v>
      </c>
      <c r="AG443" s="67"/>
      <c r="AH443" s="2"/>
      <c r="AI443" s="2"/>
      <c r="AJ443" s="2"/>
      <c r="AK443" s="2"/>
      <c r="AL443" s="2"/>
    </row>
    <row r="444" spans="1:38" ht="14.45">
      <c r="A444" s="156">
        <v>443</v>
      </c>
      <c r="B444" s="55">
        <v>45770</v>
      </c>
      <c r="C444" s="40" t="s">
        <v>888</v>
      </c>
      <c r="D444" s="14" t="s">
        <v>177</v>
      </c>
      <c r="E444" s="15">
        <v>173229.09</v>
      </c>
      <c r="F444" s="14" t="s">
        <v>883</v>
      </c>
      <c r="G444" s="14" t="s">
        <v>190</v>
      </c>
      <c r="H444" s="14" t="s">
        <v>40</v>
      </c>
      <c r="I444" s="14" t="s">
        <v>37</v>
      </c>
      <c r="J444" s="97">
        <f t="shared" si="96"/>
        <v>45670</v>
      </c>
      <c r="K444" s="4">
        <v>45642</v>
      </c>
      <c r="L444" s="19">
        <f t="shared" si="97"/>
        <v>28</v>
      </c>
      <c r="M444" s="5">
        <f t="shared" si="98"/>
        <v>45681</v>
      </c>
      <c r="O444" s="19" t="str">
        <f t="shared" si="99"/>
        <v/>
      </c>
      <c r="P444" s="5">
        <f t="shared" si="100"/>
        <v>45696</v>
      </c>
      <c r="R444" s="19" t="str">
        <f t="shared" si="101"/>
        <v/>
      </c>
      <c r="S444" s="5">
        <f t="shared" si="111"/>
        <v>45701</v>
      </c>
      <c r="T444" s="4">
        <v>45643</v>
      </c>
      <c r="U444" s="19">
        <f t="shared" si="102"/>
        <v>58</v>
      </c>
      <c r="V444" s="5">
        <f t="shared" si="103"/>
        <v>45740</v>
      </c>
      <c r="W444" s="4">
        <v>45744</v>
      </c>
      <c r="X444" s="19">
        <f t="shared" si="104"/>
        <v>-4</v>
      </c>
      <c r="Y444" s="51">
        <f t="shared" si="105"/>
        <v>45765</v>
      </c>
      <c r="Z444" s="4">
        <v>45791</v>
      </c>
      <c r="AA444" s="49">
        <f t="shared" si="106"/>
        <v>-26</v>
      </c>
      <c r="AB444" s="51">
        <f t="shared" si="107"/>
        <v>45770</v>
      </c>
      <c r="AC444" s="49">
        <f t="shared" si="108"/>
        <v>-21</v>
      </c>
      <c r="AD444" s="43">
        <f t="shared" si="109"/>
        <v>45770</v>
      </c>
      <c r="AE444" s="4">
        <v>45791</v>
      </c>
      <c r="AF444" s="19">
        <f t="shared" si="110"/>
        <v>-21</v>
      </c>
      <c r="AG444" s="67"/>
      <c r="AH444" s="2"/>
      <c r="AI444" s="2"/>
      <c r="AJ444" s="2"/>
      <c r="AK444" s="2"/>
      <c r="AL444" s="2"/>
    </row>
    <row r="445" spans="1:38" ht="14.45">
      <c r="A445" s="156">
        <v>444</v>
      </c>
      <c r="B445" s="55">
        <v>45770</v>
      </c>
      <c r="C445" s="40" t="s">
        <v>889</v>
      </c>
      <c r="D445" s="14" t="s">
        <v>177</v>
      </c>
      <c r="E445" s="15">
        <v>235096.63</v>
      </c>
      <c r="F445" s="14" t="s">
        <v>883</v>
      </c>
      <c r="G445" s="14" t="s">
        <v>190</v>
      </c>
      <c r="H445" s="14" t="s">
        <v>40</v>
      </c>
      <c r="I445" s="14" t="s">
        <v>37</v>
      </c>
      <c r="J445" s="97">
        <f t="shared" si="96"/>
        <v>45670</v>
      </c>
      <c r="K445" s="4">
        <v>45642</v>
      </c>
      <c r="L445" s="19">
        <f t="shared" si="97"/>
        <v>28</v>
      </c>
      <c r="M445" s="5">
        <f t="shared" si="98"/>
        <v>45681</v>
      </c>
      <c r="O445" s="19" t="str">
        <f t="shared" si="99"/>
        <v/>
      </c>
      <c r="P445" s="5">
        <f t="shared" si="100"/>
        <v>45696</v>
      </c>
      <c r="R445" s="19" t="str">
        <f t="shared" si="101"/>
        <v/>
      </c>
      <c r="S445" s="5">
        <f t="shared" si="111"/>
        <v>45701</v>
      </c>
      <c r="T445" s="4">
        <v>45643</v>
      </c>
      <c r="U445" s="19">
        <f t="shared" si="102"/>
        <v>58</v>
      </c>
      <c r="V445" s="5">
        <f t="shared" si="103"/>
        <v>45740</v>
      </c>
      <c r="W445" s="4">
        <v>45744</v>
      </c>
      <c r="X445" s="19">
        <f t="shared" si="104"/>
        <v>-4</v>
      </c>
      <c r="Y445" s="51">
        <f t="shared" si="105"/>
        <v>45765</v>
      </c>
      <c r="Z445" s="4">
        <v>45786</v>
      </c>
      <c r="AA445" s="49">
        <f t="shared" si="106"/>
        <v>-21</v>
      </c>
      <c r="AB445" s="51">
        <f t="shared" si="107"/>
        <v>45770</v>
      </c>
      <c r="AC445" s="49">
        <f t="shared" si="108"/>
        <v>-16</v>
      </c>
      <c r="AD445" s="43">
        <f t="shared" si="109"/>
        <v>45770</v>
      </c>
      <c r="AE445" s="4">
        <v>45786</v>
      </c>
      <c r="AF445" s="19">
        <f t="shared" si="110"/>
        <v>-16</v>
      </c>
      <c r="AG445" s="67"/>
      <c r="AH445" s="2"/>
      <c r="AI445" s="2"/>
      <c r="AJ445" s="2"/>
      <c r="AK445" s="2"/>
      <c r="AL445" s="2"/>
    </row>
    <row r="446" spans="1:38" ht="14.45">
      <c r="A446" s="156">
        <v>445</v>
      </c>
      <c r="B446" s="55">
        <v>45770</v>
      </c>
      <c r="C446" s="40" t="s">
        <v>890</v>
      </c>
      <c r="D446" s="14" t="s">
        <v>177</v>
      </c>
      <c r="E446" s="15">
        <v>255569.4</v>
      </c>
      <c r="F446" s="14" t="s">
        <v>885</v>
      </c>
      <c r="G446" s="14" t="s">
        <v>120</v>
      </c>
      <c r="H446" s="14" t="s">
        <v>40</v>
      </c>
      <c r="I446" s="14" t="s">
        <v>37</v>
      </c>
      <c r="J446" s="97">
        <f t="shared" si="96"/>
        <v>45670</v>
      </c>
      <c r="K446" s="4">
        <v>45642</v>
      </c>
      <c r="L446" s="19">
        <f t="shared" si="97"/>
        <v>28</v>
      </c>
      <c r="M446" s="5">
        <f t="shared" si="98"/>
        <v>45681</v>
      </c>
      <c r="O446" s="19" t="str">
        <f t="shared" si="99"/>
        <v/>
      </c>
      <c r="P446" s="5">
        <f t="shared" si="100"/>
        <v>45696</v>
      </c>
      <c r="R446" s="19" t="str">
        <f t="shared" si="101"/>
        <v/>
      </c>
      <c r="S446" s="5">
        <f t="shared" si="111"/>
        <v>45701</v>
      </c>
      <c r="T446" s="4">
        <v>45643</v>
      </c>
      <c r="U446" s="19">
        <f t="shared" si="102"/>
        <v>58</v>
      </c>
      <c r="V446" s="5">
        <f t="shared" si="103"/>
        <v>45740</v>
      </c>
      <c r="W446" s="4">
        <v>45744</v>
      </c>
      <c r="X446" s="19">
        <f t="shared" si="104"/>
        <v>-4</v>
      </c>
      <c r="Y446" s="51">
        <f t="shared" si="105"/>
        <v>45765</v>
      </c>
      <c r="Z446" s="4">
        <v>45786</v>
      </c>
      <c r="AA446" s="49">
        <f t="shared" si="106"/>
        <v>-21</v>
      </c>
      <c r="AB446" s="51">
        <f t="shared" si="107"/>
        <v>45770</v>
      </c>
      <c r="AC446" s="49">
        <f t="shared" si="108"/>
        <v>-16</v>
      </c>
      <c r="AD446" s="43">
        <f t="shared" si="109"/>
        <v>45770</v>
      </c>
      <c r="AE446" s="4">
        <v>45786</v>
      </c>
      <c r="AF446" s="19">
        <f t="shared" si="110"/>
        <v>-16</v>
      </c>
      <c r="AG446" s="67"/>
      <c r="AH446" s="2"/>
      <c r="AI446" s="2"/>
      <c r="AJ446" s="2"/>
      <c r="AK446" s="2"/>
      <c r="AL446" s="2"/>
    </row>
    <row r="447" spans="1:38" ht="14.45">
      <c r="A447" s="156">
        <v>446</v>
      </c>
      <c r="B447" s="55">
        <v>45770</v>
      </c>
      <c r="C447" s="40" t="s">
        <v>891</v>
      </c>
      <c r="D447" s="14" t="s">
        <v>177</v>
      </c>
      <c r="E447" s="15">
        <v>204455.52</v>
      </c>
      <c r="F447" s="14" t="s">
        <v>885</v>
      </c>
      <c r="G447" s="14" t="s">
        <v>120</v>
      </c>
      <c r="H447" s="14" t="s">
        <v>40</v>
      </c>
      <c r="I447" s="14" t="s">
        <v>37</v>
      </c>
      <c r="J447" s="97">
        <f t="shared" si="96"/>
        <v>45670</v>
      </c>
      <c r="K447" s="4">
        <v>45642</v>
      </c>
      <c r="L447" s="19">
        <f t="shared" si="97"/>
        <v>28</v>
      </c>
      <c r="M447" s="5">
        <f t="shared" si="98"/>
        <v>45681</v>
      </c>
      <c r="O447" s="19" t="str">
        <f t="shared" si="99"/>
        <v/>
      </c>
      <c r="P447" s="5">
        <f t="shared" si="100"/>
        <v>45696</v>
      </c>
      <c r="R447" s="19" t="str">
        <f t="shared" si="101"/>
        <v/>
      </c>
      <c r="S447" s="5">
        <f t="shared" si="111"/>
        <v>45701</v>
      </c>
      <c r="T447" s="4">
        <v>45643</v>
      </c>
      <c r="U447" s="19">
        <f t="shared" si="102"/>
        <v>58</v>
      </c>
      <c r="V447" s="5">
        <f t="shared" si="103"/>
        <v>45740</v>
      </c>
      <c r="W447" s="4">
        <v>45744</v>
      </c>
      <c r="X447" s="19">
        <f t="shared" si="104"/>
        <v>-4</v>
      </c>
      <c r="Y447" s="51">
        <f t="shared" si="105"/>
        <v>45765</v>
      </c>
      <c r="Z447" s="4">
        <v>45786</v>
      </c>
      <c r="AA447" s="49">
        <f t="shared" si="106"/>
        <v>-21</v>
      </c>
      <c r="AB447" s="51">
        <f t="shared" si="107"/>
        <v>45770</v>
      </c>
      <c r="AC447" s="49">
        <f t="shared" si="108"/>
        <v>-16</v>
      </c>
      <c r="AD447" s="43">
        <f t="shared" si="109"/>
        <v>45770</v>
      </c>
      <c r="AE447" s="4">
        <v>45786</v>
      </c>
      <c r="AF447" s="19">
        <f t="shared" si="110"/>
        <v>-16</v>
      </c>
      <c r="AG447" s="67"/>
      <c r="AH447" s="2"/>
      <c r="AI447" s="2"/>
      <c r="AJ447" s="2"/>
      <c r="AK447" s="2"/>
      <c r="AL447" s="2"/>
    </row>
    <row r="448" spans="1:38" ht="14.45">
      <c r="A448" s="156">
        <v>447</v>
      </c>
      <c r="B448" s="55">
        <v>45770</v>
      </c>
      <c r="C448" s="40" t="s">
        <v>892</v>
      </c>
      <c r="D448" s="14" t="s">
        <v>177</v>
      </c>
      <c r="E448" s="15">
        <v>238531.44</v>
      </c>
      <c r="F448" s="14" t="s">
        <v>885</v>
      </c>
      <c r="G448" s="14" t="s">
        <v>120</v>
      </c>
      <c r="H448" s="14" t="s">
        <v>40</v>
      </c>
      <c r="I448" s="14" t="s">
        <v>37</v>
      </c>
      <c r="J448" s="97">
        <f t="shared" si="96"/>
        <v>45670</v>
      </c>
      <c r="K448" s="4">
        <v>45642</v>
      </c>
      <c r="L448" s="19">
        <f t="shared" si="97"/>
        <v>28</v>
      </c>
      <c r="M448" s="5">
        <f t="shared" si="98"/>
        <v>45681</v>
      </c>
      <c r="O448" s="19" t="str">
        <f t="shared" si="99"/>
        <v/>
      </c>
      <c r="P448" s="5">
        <f t="shared" si="100"/>
        <v>45696</v>
      </c>
      <c r="R448" s="19" t="str">
        <f t="shared" si="101"/>
        <v/>
      </c>
      <c r="S448" s="5">
        <f t="shared" si="111"/>
        <v>45701</v>
      </c>
      <c r="T448" s="4">
        <v>45643</v>
      </c>
      <c r="U448" s="19">
        <f t="shared" si="102"/>
        <v>58</v>
      </c>
      <c r="V448" s="5">
        <f t="shared" si="103"/>
        <v>45740</v>
      </c>
      <c r="W448" s="4">
        <v>45744</v>
      </c>
      <c r="X448" s="19">
        <f t="shared" si="104"/>
        <v>-4</v>
      </c>
      <c r="Y448" s="51">
        <f t="shared" si="105"/>
        <v>45765</v>
      </c>
      <c r="Z448" s="4">
        <v>45786</v>
      </c>
      <c r="AA448" s="49">
        <f t="shared" si="106"/>
        <v>-21</v>
      </c>
      <c r="AB448" s="51">
        <f t="shared" si="107"/>
        <v>45770</v>
      </c>
      <c r="AC448" s="49">
        <f t="shared" si="108"/>
        <v>-16</v>
      </c>
      <c r="AD448" s="43">
        <f t="shared" si="109"/>
        <v>45770</v>
      </c>
      <c r="AE448" s="4">
        <v>45786</v>
      </c>
      <c r="AF448" s="19">
        <f t="shared" si="110"/>
        <v>-16</v>
      </c>
      <c r="AG448" s="67"/>
      <c r="AH448" s="2"/>
      <c r="AI448" s="2"/>
      <c r="AJ448" s="2"/>
      <c r="AK448" s="2"/>
      <c r="AL448" s="2"/>
    </row>
    <row r="449" spans="1:38" ht="14.45">
      <c r="A449" s="156">
        <v>448</v>
      </c>
      <c r="B449" s="55">
        <v>45770</v>
      </c>
      <c r="C449" s="40" t="s">
        <v>893</v>
      </c>
      <c r="D449" s="14" t="s">
        <v>177</v>
      </c>
      <c r="E449" s="15">
        <v>323721.25</v>
      </c>
      <c r="F449" s="14" t="s">
        <v>885</v>
      </c>
      <c r="G449" s="14" t="s">
        <v>120</v>
      </c>
      <c r="H449" s="14" t="s">
        <v>40</v>
      </c>
      <c r="I449" s="14" t="s">
        <v>37</v>
      </c>
      <c r="J449" s="97">
        <f t="shared" si="96"/>
        <v>45670</v>
      </c>
      <c r="K449" s="4">
        <v>45642</v>
      </c>
      <c r="L449" s="19">
        <f t="shared" si="97"/>
        <v>28</v>
      </c>
      <c r="M449" s="5">
        <f t="shared" si="98"/>
        <v>45681</v>
      </c>
      <c r="O449" s="19" t="str">
        <f t="shared" si="99"/>
        <v/>
      </c>
      <c r="P449" s="5">
        <f t="shared" si="100"/>
        <v>45696</v>
      </c>
      <c r="R449" s="19" t="str">
        <f t="shared" si="101"/>
        <v/>
      </c>
      <c r="S449" s="5">
        <f t="shared" si="111"/>
        <v>45701</v>
      </c>
      <c r="T449" s="4">
        <v>45643</v>
      </c>
      <c r="U449" s="19">
        <f t="shared" si="102"/>
        <v>58</v>
      </c>
      <c r="V449" s="5">
        <f t="shared" si="103"/>
        <v>45740</v>
      </c>
      <c r="W449" s="4">
        <v>45744</v>
      </c>
      <c r="X449" s="19">
        <f t="shared" si="104"/>
        <v>-4</v>
      </c>
      <c r="Y449" s="51">
        <f t="shared" si="105"/>
        <v>45765</v>
      </c>
      <c r="Z449" s="4">
        <v>45762</v>
      </c>
      <c r="AA449" s="49">
        <f t="shared" si="106"/>
        <v>3</v>
      </c>
      <c r="AB449" s="51">
        <f t="shared" si="107"/>
        <v>45770</v>
      </c>
      <c r="AC449" s="49">
        <f t="shared" si="108"/>
        <v>8</v>
      </c>
      <c r="AD449" s="43">
        <f t="shared" si="109"/>
        <v>45770</v>
      </c>
      <c r="AE449" s="4">
        <v>45762</v>
      </c>
      <c r="AF449" s="19">
        <f t="shared" si="110"/>
        <v>8</v>
      </c>
      <c r="AG449" s="67"/>
      <c r="AH449" s="2"/>
      <c r="AI449" s="2"/>
      <c r="AJ449" s="2"/>
      <c r="AK449" s="2"/>
      <c r="AL449" s="2"/>
    </row>
    <row r="450" spans="1:38" ht="14.45">
      <c r="A450" s="156">
        <v>449</v>
      </c>
      <c r="B450" s="55">
        <v>45770</v>
      </c>
      <c r="C450" s="40" t="s">
        <v>894</v>
      </c>
      <c r="D450" s="14" t="s">
        <v>895</v>
      </c>
      <c r="E450" s="15">
        <v>1450</v>
      </c>
      <c r="F450" s="14" t="s">
        <v>896</v>
      </c>
      <c r="G450" s="14" t="s">
        <v>46</v>
      </c>
      <c r="H450" s="14" t="s">
        <v>40</v>
      </c>
      <c r="I450" s="14" t="s">
        <v>229</v>
      </c>
      <c r="J450" s="97">
        <f t="shared" ref="J450:J513" si="112">B450-100</f>
        <v>45670</v>
      </c>
      <c r="K450" s="4">
        <v>45667</v>
      </c>
      <c r="L450" s="19">
        <f t="shared" ref="L450:L513" si="113">IF(OR(J450="", K450=""), "", J450-K450)</f>
        <v>3</v>
      </c>
      <c r="M450" s="5">
        <f t="shared" ref="M450:M513" si="114">B450-89</f>
        <v>45681</v>
      </c>
      <c r="O450" s="19" t="str">
        <f t="shared" ref="O450:O513" si="115">IF(OR(M450="", N450=""), "", M450-N450)</f>
        <v/>
      </c>
      <c r="P450" s="5">
        <f t="shared" ref="P450:P513" si="116">B450-74</f>
        <v>45696</v>
      </c>
      <c r="R450" s="19" t="str">
        <f t="shared" ref="R450:R513" si="117">IF(OR(P450="", Q450=""), "", P450-Q450)</f>
        <v/>
      </c>
      <c r="S450" s="5">
        <f t="shared" si="111"/>
        <v>45701</v>
      </c>
      <c r="T450" s="4">
        <v>45680</v>
      </c>
      <c r="U450" s="19">
        <f t="shared" ref="U450:U513" si="118">IF(OR(S450="", T450=""), "", S450-T450)</f>
        <v>21</v>
      </c>
      <c r="V450" s="5">
        <f t="shared" ref="V450:V513" si="119">B450-30</f>
        <v>45740</v>
      </c>
      <c r="W450" s="4">
        <v>45741</v>
      </c>
      <c r="X450" s="19">
        <f t="shared" ref="X450:X513" si="120">IF(OR(V450="", W450=""), "", V450-W450)</f>
        <v>-1</v>
      </c>
      <c r="Y450" s="51">
        <f t="shared" ref="Y450:Y513" si="121">B450-5</f>
        <v>45765</v>
      </c>
      <c r="Z450" s="4">
        <v>45750</v>
      </c>
      <c r="AA450" s="49">
        <f t="shared" ref="AA450:AA513" si="122">IF(OR(Y450="", Z450=""), "", Y450-Z450)</f>
        <v>15</v>
      </c>
      <c r="AB450" s="51">
        <f t="shared" ref="AB450:AB513" si="123">IF(B450&lt;&gt;"", B450, "")</f>
        <v>45770</v>
      </c>
      <c r="AC450" s="49">
        <f t="shared" ref="AC450:AC513" si="124">IF(OR(AB450="", Z450=""), "", AB450-Z450)</f>
        <v>20</v>
      </c>
      <c r="AD450" s="43">
        <f t="shared" ref="AD450:AD513" si="125">IF(B450&lt;&gt;"", B450, "")</f>
        <v>45770</v>
      </c>
      <c r="AE450" s="4">
        <v>45750</v>
      </c>
      <c r="AF450" s="19">
        <f t="shared" ref="AF450:AF513" si="126">IF(OR(AD450="", AE450=""), "", AD450-AE450)</f>
        <v>20</v>
      </c>
      <c r="AG450" s="67"/>
      <c r="AH450" s="2"/>
      <c r="AI450" s="2"/>
      <c r="AJ450" s="2"/>
      <c r="AK450" s="2"/>
      <c r="AL450" s="2"/>
    </row>
    <row r="451" spans="1:38" ht="14.45">
      <c r="A451" s="156">
        <v>450</v>
      </c>
      <c r="B451" s="55">
        <v>45770</v>
      </c>
      <c r="C451" s="40" t="s">
        <v>897</v>
      </c>
      <c r="D451" s="14" t="s">
        <v>38</v>
      </c>
      <c r="E451" s="15">
        <v>2565.0300000000002</v>
      </c>
      <c r="F451" s="14" t="s">
        <v>898</v>
      </c>
      <c r="G451" s="14" t="s">
        <v>190</v>
      </c>
      <c r="H451" s="14" t="s">
        <v>40</v>
      </c>
      <c r="I451" s="14" t="s">
        <v>41</v>
      </c>
      <c r="J451" s="97">
        <f t="shared" si="112"/>
        <v>45670</v>
      </c>
      <c r="L451" s="19" t="str">
        <f t="shared" si="113"/>
        <v/>
      </c>
      <c r="M451" s="5">
        <f t="shared" si="114"/>
        <v>45681</v>
      </c>
      <c r="N451" s="4">
        <v>45729</v>
      </c>
      <c r="O451" s="19">
        <f t="shared" si="115"/>
        <v>-48</v>
      </c>
      <c r="P451" s="5">
        <f t="shared" si="116"/>
        <v>45696</v>
      </c>
      <c r="Q451" s="4">
        <v>45741</v>
      </c>
      <c r="R451" s="19">
        <f t="shared" si="117"/>
        <v>-45</v>
      </c>
      <c r="S451" s="5">
        <f t="shared" si="111"/>
        <v>45701</v>
      </c>
      <c r="T451" s="4">
        <v>45742</v>
      </c>
      <c r="U451" s="19">
        <f t="shared" si="118"/>
        <v>-41</v>
      </c>
      <c r="V451" s="5">
        <f t="shared" si="119"/>
        <v>45740</v>
      </c>
      <c r="W451" s="4">
        <v>45742</v>
      </c>
      <c r="X451" s="19">
        <f t="shared" si="120"/>
        <v>-2</v>
      </c>
      <c r="Y451" s="51">
        <f t="shared" si="121"/>
        <v>45765</v>
      </c>
      <c r="Z451" s="4">
        <v>45762</v>
      </c>
      <c r="AA451" s="49">
        <f t="shared" si="122"/>
        <v>3</v>
      </c>
      <c r="AB451" s="51">
        <f t="shared" si="123"/>
        <v>45770</v>
      </c>
      <c r="AC451" s="49">
        <f t="shared" si="124"/>
        <v>8</v>
      </c>
      <c r="AD451" s="43">
        <f t="shared" si="125"/>
        <v>45770</v>
      </c>
      <c r="AE451" s="4">
        <v>45762</v>
      </c>
      <c r="AF451" s="19">
        <f t="shared" si="126"/>
        <v>8</v>
      </c>
      <c r="AG451" s="67"/>
      <c r="AH451" s="2"/>
      <c r="AI451" s="2"/>
      <c r="AJ451" s="2"/>
      <c r="AK451" s="2"/>
      <c r="AL451" s="2"/>
    </row>
    <row r="452" spans="1:38" ht="14.45">
      <c r="A452" s="156">
        <v>451</v>
      </c>
      <c r="B452" s="55">
        <v>45771</v>
      </c>
      <c r="C452" s="40" t="s">
        <v>899</v>
      </c>
      <c r="D452" s="14" t="s">
        <v>38</v>
      </c>
      <c r="E452" s="15">
        <v>99.14</v>
      </c>
      <c r="F452" s="14" t="s">
        <v>134</v>
      </c>
      <c r="G452" s="14" t="s">
        <v>190</v>
      </c>
      <c r="H452" s="14" t="s">
        <v>40</v>
      </c>
      <c r="I452" s="14" t="s">
        <v>41</v>
      </c>
      <c r="J452" s="97">
        <f t="shared" si="112"/>
        <v>45671</v>
      </c>
      <c r="L452" s="19" t="str">
        <f t="shared" si="113"/>
        <v/>
      </c>
      <c r="M452" s="5">
        <f t="shared" si="114"/>
        <v>45682</v>
      </c>
      <c r="N452" s="4">
        <v>45729</v>
      </c>
      <c r="O452" s="19">
        <f t="shared" si="115"/>
        <v>-47</v>
      </c>
      <c r="P452" s="5">
        <f t="shared" si="116"/>
        <v>45697</v>
      </c>
      <c r="Q452" s="4">
        <v>45741</v>
      </c>
      <c r="R452" s="19">
        <f t="shared" si="117"/>
        <v>-44</v>
      </c>
      <c r="S452" s="5">
        <f t="shared" si="111"/>
        <v>45702</v>
      </c>
      <c r="T452" s="4">
        <v>45742</v>
      </c>
      <c r="U452" s="19">
        <f t="shared" si="118"/>
        <v>-40</v>
      </c>
      <c r="V452" s="5">
        <f t="shared" si="119"/>
        <v>45741</v>
      </c>
      <c r="W452" s="4">
        <v>45742</v>
      </c>
      <c r="X452" s="19">
        <f t="shared" si="120"/>
        <v>-1</v>
      </c>
      <c r="Y452" s="51">
        <f t="shared" si="121"/>
        <v>45766</v>
      </c>
      <c r="Z452" s="4">
        <v>45762</v>
      </c>
      <c r="AA452" s="49">
        <f t="shared" si="122"/>
        <v>4</v>
      </c>
      <c r="AB452" s="51">
        <f t="shared" si="123"/>
        <v>45771</v>
      </c>
      <c r="AC452" s="49">
        <f t="shared" si="124"/>
        <v>9</v>
      </c>
      <c r="AD452" s="43">
        <f t="shared" si="125"/>
        <v>45771</v>
      </c>
      <c r="AE452" s="4">
        <v>45762</v>
      </c>
      <c r="AF452" s="19">
        <f t="shared" si="126"/>
        <v>9</v>
      </c>
      <c r="AG452" s="67"/>
      <c r="AH452" s="2"/>
      <c r="AI452" s="2"/>
      <c r="AJ452" s="2"/>
      <c r="AK452" s="2"/>
      <c r="AL452" s="2"/>
    </row>
    <row r="453" spans="1:38" ht="14.45">
      <c r="A453" s="156">
        <v>452</v>
      </c>
      <c r="B453" s="55">
        <v>45771</v>
      </c>
      <c r="C453" s="40" t="s">
        <v>900</v>
      </c>
      <c r="D453" s="14" t="s">
        <v>38</v>
      </c>
      <c r="E453" s="15">
        <v>127.39</v>
      </c>
      <c r="F453" s="14" t="s">
        <v>135</v>
      </c>
      <c r="G453" s="14" t="s">
        <v>190</v>
      </c>
      <c r="H453" s="14" t="s">
        <v>40</v>
      </c>
      <c r="I453" s="14" t="s">
        <v>41</v>
      </c>
      <c r="J453" s="97">
        <f t="shared" si="112"/>
        <v>45671</v>
      </c>
      <c r="L453" s="19" t="str">
        <f t="shared" si="113"/>
        <v/>
      </c>
      <c r="M453" s="5">
        <f t="shared" si="114"/>
        <v>45682</v>
      </c>
      <c r="N453" s="4">
        <v>45729</v>
      </c>
      <c r="O453" s="19">
        <f t="shared" si="115"/>
        <v>-47</v>
      </c>
      <c r="P453" s="5">
        <f t="shared" si="116"/>
        <v>45697</v>
      </c>
      <c r="Q453" s="4">
        <v>45741</v>
      </c>
      <c r="R453" s="19">
        <f t="shared" si="117"/>
        <v>-44</v>
      </c>
      <c r="S453" s="5">
        <f t="shared" ref="S453:S516" si="127">B453-69</f>
        <v>45702</v>
      </c>
      <c r="T453" s="4">
        <v>45742</v>
      </c>
      <c r="U453" s="19">
        <f t="shared" si="118"/>
        <v>-40</v>
      </c>
      <c r="V453" s="5">
        <f t="shared" si="119"/>
        <v>45741</v>
      </c>
      <c r="W453" s="4">
        <v>45742</v>
      </c>
      <c r="X453" s="19">
        <f t="shared" si="120"/>
        <v>-1</v>
      </c>
      <c r="Y453" s="51">
        <f t="shared" si="121"/>
        <v>45766</v>
      </c>
      <c r="Z453" s="4">
        <v>45762</v>
      </c>
      <c r="AA453" s="49">
        <f t="shared" si="122"/>
        <v>4</v>
      </c>
      <c r="AB453" s="51">
        <f t="shared" si="123"/>
        <v>45771</v>
      </c>
      <c r="AC453" s="49">
        <f t="shared" si="124"/>
        <v>9</v>
      </c>
      <c r="AD453" s="43">
        <f t="shared" si="125"/>
        <v>45771</v>
      </c>
      <c r="AE453" s="4">
        <v>45762</v>
      </c>
      <c r="AF453" s="19">
        <f t="shared" si="126"/>
        <v>9</v>
      </c>
      <c r="AG453" s="67"/>
      <c r="AH453" s="2"/>
      <c r="AI453" s="2"/>
      <c r="AJ453" s="2"/>
      <c r="AK453" s="2"/>
      <c r="AL453" s="2"/>
    </row>
    <row r="454" spans="1:38" ht="14.45">
      <c r="A454" s="156">
        <v>453</v>
      </c>
      <c r="B454" s="55">
        <v>45772</v>
      </c>
      <c r="C454" s="40" t="s">
        <v>901</v>
      </c>
      <c r="D454" s="14" t="s">
        <v>77</v>
      </c>
      <c r="E454" s="15">
        <v>77500.62</v>
      </c>
      <c r="F454" s="14" t="s">
        <v>902</v>
      </c>
      <c r="G454" s="14" t="s">
        <v>51</v>
      </c>
      <c r="H454" s="14" t="s">
        <v>36</v>
      </c>
      <c r="I454" s="14" t="s">
        <v>62</v>
      </c>
      <c r="J454" s="97">
        <f t="shared" si="112"/>
        <v>45672</v>
      </c>
      <c r="K454" s="4">
        <v>45698</v>
      </c>
      <c r="L454" s="19">
        <f t="shared" si="113"/>
        <v>-26</v>
      </c>
      <c r="M454" s="5">
        <f t="shared" si="114"/>
        <v>45683</v>
      </c>
      <c r="O454" s="19" t="str">
        <f t="shared" si="115"/>
        <v/>
      </c>
      <c r="P454" s="5">
        <f t="shared" si="116"/>
        <v>45698</v>
      </c>
      <c r="R454" s="19" t="str">
        <f t="shared" si="117"/>
        <v/>
      </c>
      <c r="S454" s="5">
        <f t="shared" si="127"/>
        <v>45703</v>
      </c>
      <c r="U454" s="19" t="str">
        <f t="shared" si="118"/>
        <v/>
      </c>
      <c r="V454" s="5">
        <f t="shared" si="119"/>
        <v>45742</v>
      </c>
      <c r="W454" s="4">
        <v>45705</v>
      </c>
      <c r="X454" s="19">
        <f t="shared" si="120"/>
        <v>37</v>
      </c>
      <c r="Y454" s="51">
        <f t="shared" si="121"/>
        <v>45767</v>
      </c>
      <c r="Z454" s="4">
        <v>45772</v>
      </c>
      <c r="AA454" s="49">
        <f t="shared" si="122"/>
        <v>-5</v>
      </c>
      <c r="AB454" s="51">
        <f t="shared" si="123"/>
        <v>45772</v>
      </c>
      <c r="AC454" s="49">
        <f t="shared" si="124"/>
        <v>0</v>
      </c>
      <c r="AD454" s="43">
        <f t="shared" si="125"/>
        <v>45772</v>
      </c>
      <c r="AE454" s="4">
        <v>45772</v>
      </c>
      <c r="AF454" s="19">
        <f t="shared" si="126"/>
        <v>0</v>
      </c>
      <c r="AG454" s="67"/>
      <c r="AH454" s="2"/>
      <c r="AI454" s="2"/>
      <c r="AJ454" s="2"/>
      <c r="AK454" s="2"/>
      <c r="AL454" s="2"/>
    </row>
    <row r="455" spans="1:38" ht="14.45">
      <c r="A455" s="156">
        <v>454</v>
      </c>
      <c r="B455" s="55">
        <v>45772</v>
      </c>
      <c r="C455" s="40" t="s">
        <v>903</v>
      </c>
      <c r="D455" s="14" t="s">
        <v>904</v>
      </c>
      <c r="E455" s="15">
        <v>50000</v>
      </c>
      <c r="F455" s="14" t="s">
        <v>905</v>
      </c>
      <c r="G455" s="14" t="s">
        <v>35</v>
      </c>
      <c r="H455" s="14" t="s">
        <v>36</v>
      </c>
      <c r="I455" s="14" t="s">
        <v>47</v>
      </c>
      <c r="J455" s="97">
        <f t="shared" si="112"/>
        <v>45672</v>
      </c>
      <c r="L455" s="19" t="str">
        <f t="shared" si="113"/>
        <v/>
      </c>
      <c r="M455" s="5">
        <f t="shared" si="114"/>
        <v>45683</v>
      </c>
      <c r="O455" s="19" t="str">
        <f t="shared" si="115"/>
        <v/>
      </c>
      <c r="P455" s="5">
        <f t="shared" si="116"/>
        <v>45698</v>
      </c>
      <c r="R455" s="19" t="str">
        <f t="shared" si="117"/>
        <v/>
      </c>
      <c r="S455" s="5">
        <f t="shared" si="127"/>
        <v>45703</v>
      </c>
      <c r="U455" s="19" t="str">
        <f t="shared" si="118"/>
        <v/>
      </c>
      <c r="V455" s="5">
        <f t="shared" si="119"/>
        <v>45742</v>
      </c>
      <c r="X455" s="19" t="str">
        <f t="shared" si="120"/>
        <v/>
      </c>
      <c r="Y455" s="51">
        <f t="shared" si="121"/>
        <v>45767</v>
      </c>
      <c r="AA455" s="49" t="str">
        <f t="shared" si="122"/>
        <v/>
      </c>
      <c r="AB455" s="51">
        <f t="shared" si="123"/>
        <v>45772</v>
      </c>
      <c r="AC455" s="49" t="str">
        <f t="shared" si="124"/>
        <v/>
      </c>
      <c r="AD455" s="43">
        <f t="shared" si="125"/>
        <v>45772</v>
      </c>
      <c r="AF455" s="19" t="str">
        <f t="shared" si="126"/>
        <v/>
      </c>
      <c r="AG455" s="67"/>
      <c r="AH455" s="2"/>
      <c r="AI455" s="2"/>
      <c r="AJ455" s="2"/>
      <c r="AK455" s="2"/>
      <c r="AL455" s="2"/>
    </row>
    <row r="456" spans="1:38" ht="14.45">
      <c r="A456" s="156">
        <v>455</v>
      </c>
      <c r="B456" s="55">
        <v>45773</v>
      </c>
      <c r="C456" s="40" t="s">
        <v>906</v>
      </c>
      <c r="D456" s="14" t="s">
        <v>907</v>
      </c>
      <c r="E456" s="15">
        <v>6937.06</v>
      </c>
      <c r="F456" s="14" t="s">
        <v>908</v>
      </c>
      <c r="G456" s="14" t="s">
        <v>35</v>
      </c>
      <c r="H456" s="14" t="s">
        <v>36</v>
      </c>
      <c r="I456" s="14" t="s">
        <v>37</v>
      </c>
      <c r="J456" s="97">
        <f t="shared" si="112"/>
        <v>45673</v>
      </c>
      <c r="L456" s="19" t="str">
        <f t="shared" si="113"/>
        <v/>
      </c>
      <c r="M456" s="5">
        <f t="shared" si="114"/>
        <v>45684</v>
      </c>
      <c r="O456" s="19" t="str">
        <f t="shared" si="115"/>
        <v/>
      </c>
      <c r="P456" s="5">
        <f t="shared" si="116"/>
        <v>45699</v>
      </c>
      <c r="R456" s="19" t="str">
        <f t="shared" si="117"/>
        <v/>
      </c>
      <c r="S456" s="5">
        <f t="shared" si="127"/>
        <v>45704</v>
      </c>
      <c r="T456" s="4">
        <v>45687</v>
      </c>
      <c r="U456" s="19">
        <f t="shared" si="118"/>
        <v>17</v>
      </c>
      <c r="V456" s="5">
        <f t="shared" si="119"/>
        <v>45743</v>
      </c>
      <c r="W456" s="4">
        <v>45757</v>
      </c>
      <c r="X456" s="19">
        <f t="shared" si="120"/>
        <v>-14</v>
      </c>
      <c r="Y456" s="51">
        <f t="shared" si="121"/>
        <v>45768</v>
      </c>
      <c r="Z456" s="4">
        <v>45779</v>
      </c>
      <c r="AA456" s="49">
        <f t="shared" si="122"/>
        <v>-11</v>
      </c>
      <c r="AB456" s="51">
        <f t="shared" si="123"/>
        <v>45773</v>
      </c>
      <c r="AC456" s="49">
        <f t="shared" si="124"/>
        <v>-6</v>
      </c>
      <c r="AD456" s="43">
        <f t="shared" si="125"/>
        <v>45773</v>
      </c>
      <c r="AE456" s="4">
        <v>45779</v>
      </c>
      <c r="AF456" s="19">
        <f t="shared" si="126"/>
        <v>-6</v>
      </c>
      <c r="AG456" s="67"/>
      <c r="AH456" s="2"/>
      <c r="AI456" s="2"/>
      <c r="AJ456" s="2"/>
      <c r="AK456" s="2"/>
      <c r="AL456" s="2"/>
    </row>
    <row r="457" spans="1:38" ht="14.45">
      <c r="A457" s="156">
        <v>456</v>
      </c>
      <c r="B457" s="55">
        <v>45773</v>
      </c>
      <c r="C457" s="40" t="s">
        <v>909</v>
      </c>
      <c r="D457" s="14" t="s">
        <v>38</v>
      </c>
      <c r="E457" s="15">
        <v>709.72</v>
      </c>
      <c r="F457" s="14" t="s">
        <v>910</v>
      </c>
      <c r="G457" s="14" t="s">
        <v>190</v>
      </c>
      <c r="H457" s="14" t="s">
        <v>40</v>
      </c>
      <c r="I457" s="14" t="s">
        <v>41</v>
      </c>
      <c r="J457" s="97">
        <f t="shared" si="112"/>
        <v>45673</v>
      </c>
      <c r="L457" s="19" t="str">
        <f t="shared" si="113"/>
        <v/>
      </c>
      <c r="M457" s="5">
        <f t="shared" si="114"/>
        <v>45684</v>
      </c>
      <c r="N457" s="4">
        <v>45729</v>
      </c>
      <c r="O457" s="19">
        <f t="shared" si="115"/>
        <v>-45</v>
      </c>
      <c r="P457" s="5">
        <f t="shared" si="116"/>
        <v>45699</v>
      </c>
      <c r="Q457" s="4">
        <v>45741</v>
      </c>
      <c r="R457" s="19">
        <f t="shared" si="117"/>
        <v>-42</v>
      </c>
      <c r="S457" s="5">
        <f t="shared" si="127"/>
        <v>45704</v>
      </c>
      <c r="T457" s="4">
        <v>45742</v>
      </c>
      <c r="U457" s="19">
        <f t="shared" si="118"/>
        <v>-38</v>
      </c>
      <c r="V457" s="5">
        <f t="shared" si="119"/>
        <v>45743</v>
      </c>
      <c r="W457" s="4">
        <v>45742</v>
      </c>
      <c r="X457" s="19">
        <f t="shared" si="120"/>
        <v>1</v>
      </c>
      <c r="Y457" s="51">
        <f t="shared" si="121"/>
        <v>45768</v>
      </c>
      <c r="Z457" s="4">
        <v>45762</v>
      </c>
      <c r="AA457" s="49">
        <f t="shared" si="122"/>
        <v>6</v>
      </c>
      <c r="AB457" s="51">
        <f t="shared" si="123"/>
        <v>45773</v>
      </c>
      <c r="AC457" s="49">
        <f t="shared" si="124"/>
        <v>11</v>
      </c>
      <c r="AD457" s="43">
        <f t="shared" si="125"/>
        <v>45773</v>
      </c>
      <c r="AE457" s="4">
        <v>45762</v>
      </c>
      <c r="AF457" s="19">
        <f t="shared" si="126"/>
        <v>11</v>
      </c>
      <c r="AG457" s="67"/>
      <c r="AH457" s="2"/>
      <c r="AI457" s="2"/>
      <c r="AJ457" s="2"/>
      <c r="AK457" s="2"/>
      <c r="AL457" s="2"/>
    </row>
    <row r="458" spans="1:38" ht="14.45">
      <c r="A458" s="156">
        <v>457</v>
      </c>
      <c r="B458" s="55">
        <v>45773</v>
      </c>
      <c r="C458" s="40" t="s">
        <v>911</v>
      </c>
      <c r="D458" s="14" t="s">
        <v>38</v>
      </c>
      <c r="E458" s="15">
        <v>359.1</v>
      </c>
      <c r="F458" s="14" t="s">
        <v>912</v>
      </c>
      <c r="G458" s="14" t="s">
        <v>190</v>
      </c>
      <c r="H458" s="14" t="s">
        <v>40</v>
      </c>
      <c r="I458" s="14" t="s">
        <v>41</v>
      </c>
      <c r="J458" s="97">
        <f t="shared" si="112"/>
        <v>45673</v>
      </c>
      <c r="L458" s="19" t="str">
        <f t="shared" si="113"/>
        <v/>
      </c>
      <c r="M458" s="5">
        <f t="shared" si="114"/>
        <v>45684</v>
      </c>
      <c r="N458" s="4">
        <v>45729</v>
      </c>
      <c r="O458" s="19">
        <f t="shared" si="115"/>
        <v>-45</v>
      </c>
      <c r="P458" s="5">
        <f t="shared" si="116"/>
        <v>45699</v>
      </c>
      <c r="Q458" s="4">
        <v>45741</v>
      </c>
      <c r="R458" s="19">
        <f t="shared" si="117"/>
        <v>-42</v>
      </c>
      <c r="S458" s="5">
        <f t="shared" si="127"/>
        <v>45704</v>
      </c>
      <c r="T458" s="4">
        <v>45742</v>
      </c>
      <c r="U458" s="19">
        <f t="shared" si="118"/>
        <v>-38</v>
      </c>
      <c r="V458" s="5">
        <f t="shared" si="119"/>
        <v>45743</v>
      </c>
      <c r="W458" s="4">
        <v>45742</v>
      </c>
      <c r="X458" s="19">
        <f t="shared" si="120"/>
        <v>1</v>
      </c>
      <c r="Y458" s="51">
        <f t="shared" si="121"/>
        <v>45768</v>
      </c>
      <c r="Z458" s="4">
        <v>45762</v>
      </c>
      <c r="AA458" s="49">
        <f t="shared" si="122"/>
        <v>6</v>
      </c>
      <c r="AB458" s="51">
        <f t="shared" si="123"/>
        <v>45773</v>
      </c>
      <c r="AC458" s="49">
        <f t="shared" si="124"/>
        <v>11</v>
      </c>
      <c r="AD458" s="43">
        <f t="shared" si="125"/>
        <v>45773</v>
      </c>
      <c r="AE458" s="4">
        <v>45762</v>
      </c>
      <c r="AF458" s="19">
        <f t="shared" si="126"/>
        <v>11</v>
      </c>
      <c r="AG458" s="67"/>
      <c r="AH458" s="2"/>
      <c r="AI458" s="2"/>
      <c r="AJ458" s="2"/>
      <c r="AK458" s="2"/>
      <c r="AL458" s="2"/>
    </row>
    <row r="459" spans="1:38" ht="14.45">
      <c r="A459" s="156">
        <v>458</v>
      </c>
      <c r="B459" s="55">
        <v>45773</v>
      </c>
      <c r="C459" s="40" t="s">
        <v>913</v>
      </c>
      <c r="D459" s="14" t="s">
        <v>38</v>
      </c>
      <c r="E459" s="15">
        <v>123.24</v>
      </c>
      <c r="F459" s="14" t="s">
        <v>914</v>
      </c>
      <c r="G459" s="14" t="s">
        <v>190</v>
      </c>
      <c r="H459" s="14" t="s">
        <v>40</v>
      </c>
      <c r="I459" s="14" t="s">
        <v>41</v>
      </c>
      <c r="J459" s="97">
        <f t="shared" si="112"/>
        <v>45673</v>
      </c>
      <c r="L459" s="19" t="str">
        <f t="shared" si="113"/>
        <v/>
      </c>
      <c r="M459" s="5">
        <f t="shared" si="114"/>
        <v>45684</v>
      </c>
      <c r="N459" s="4">
        <v>45729</v>
      </c>
      <c r="O459" s="19">
        <f t="shared" si="115"/>
        <v>-45</v>
      </c>
      <c r="P459" s="5">
        <f t="shared" si="116"/>
        <v>45699</v>
      </c>
      <c r="Q459" s="4">
        <v>45741</v>
      </c>
      <c r="R459" s="19">
        <f t="shared" si="117"/>
        <v>-42</v>
      </c>
      <c r="S459" s="5">
        <f t="shared" si="127"/>
        <v>45704</v>
      </c>
      <c r="T459" s="4">
        <v>45742</v>
      </c>
      <c r="U459" s="19">
        <f t="shared" si="118"/>
        <v>-38</v>
      </c>
      <c r="V459" s="5">
        <f t="shared" si="119"/>
        <v>45743</v>
      </c>
      <c r="W459" s="4">
        <v>45742</v>
      </c>
      <c r="X459" s="19">
        <f t="shared" si="120"/>
        <v>1</v>
      </c>
      <c r="Y459" s="51">
        <f t="shared" si="121"/>
        <v>45768</v>
      </c>
      <c r="Z459" s="4">
        <v>45762</v>
      </c>
      <c r="AA459" s="49">
        <f t="shared" si="122"/>
        <v>6</v>
      </c>
      <c r="AB459" s="51">
        <f t="shared" si="123"/>
        <v>45773</v>
      </c>
      <c r="AC459" s="49">
        <f t="shared" si="124"/>
        <v>11</v>
      </c>
      <c r="AD459" s="43">
        <f t="shared" si="125"/>
        <v>45773</v>
      </c>
      <c r="AE459" s="4">
        <v>45762</v>
      </c>
      <c r="AF459" s="19">
        <f t="shared" si="126"/>
        <v>11</v>
      </c>
      <c r="AG459" s="67"/>
      <c r="AH459" s="2"/>
      <c r="AI459" s="2"/>
      <c r="AJ459" s="2"/>
      <c r="AK459" s="2"/>
      <c r="AL459" s="2"/>
    </row>
    <row r="460" spans="1:38" ht="14.45">
      <c r="A460" s="156">
        <v>459</v>
      </c>
      <c r="B460" s="55">
        <v>45774</v>
      </c>
      <c r="C460" s="40" t="s">
        <v>915</v>
      </c>
      <c r="D460" s="14" t="s">
        <v>916</v>
      </c>
      <c r="E460" s="15">
        <v>51653.63</v>
      </c>
      <c r="F460" s="14" t="s">
        <v>917</v>
      </c>
      <c r="G460" s="14" t="s">
        <v>120</v>
      </c>
      <c r="H460" s="14" t="s">
        <v>40</v>
      </c>
      <c r="I460" s="14" t="s">
        <v>93</v>
      </c>
      <c r="J460" s="97">
        <f t="shared" si="112"/>
        <v>45674</v>
      </c>
      <c r="L460" s="19" t="str">
        <f t="shared" si="113"/>
        <v/>
      </c>
      <c r="M460" s="5">
        <f t="shared" si="114"/>
        <v>45685</v>
      </c>
      <c r="O460" s="19" t="str">
        <f t="shared" si="115"/>
        <v/>
      </c>
      <c r="P460" s="5">
        <f t="shared" si="116"/>
        <v>45700</v>
      </c>
      <c r="R460" s="19" t="str">
        <f t="shared" si="117"/>
        <v/>
      </c>
      <c r="S460" s="5">
        <f t="shared" si="127"/>
        <v>45705</v>
      </c>
      <c r="T460" s="4">
        <v>45680</v>
      </c>
      <c r="U460" s="19">
        <f t="shared" si="118"/>
        <v>25</v>
      </c>
      <c r="V460" s="5">
        <f t="shared" si="119"/>
        <v>45744</v>
      </c>
      <c r="W460" s="4">
        <v>45698</v>
      </c>
      <c r="X460" s="19">
        <f t="shared" si="120"/>
        <v>46</v>
      </c>
      <c r="Y460" s="51">
        <f t="shared" si="121"/>
        <v>45769</v>
      </c>
      <c r="Z460" s="4">
        <v>45783</v>
      </c>
      <c r="AA460" s="49">
        <f t="shared" si="122"/>
        <v>-14</v>
      </c>
      <c r="AB460" s="51">
        <f t="shared" si="123"/>
        <v>45774</v>
      </c>
      <c r="AC460" s="49">
        <f t="shared" si="124"/>
        <v>-9</v>
      </c>
      <c r="AD460" s="43">
        <f t="shared" si="125"/>
        <v>45774</v>
      </c>
      <c r="AE460" s="4">
        <v>45783</v>
      </c>
      <c r="AF460" s="19">
        <f t="shared" si="126"/>
        <v>-9</v>
      </c>
      <c r="AG460" s="67"/>
      <c r="AH460" s="2"/>
      <c r="AI460" s="2"/>
      <c r="AJ460" s="2"/>
      <c r="AK460" s="2"/>
      <c r="AL460" s="2"/>
    </row>
    <row r="461" spans="1:38" ht="14.45">
      <c r="A461" s="156">
        <v>460</v>
      </c>
      <c r="B461" s="55">
        <v>45774</v>
      </c>
      <c r="C461" s="40" t="s">
        <v>918</v>
      </c>
      <c r="D461" s="14" t="s">
        <v>919</v>
      </c>
      <c r="E461" s="15">
        <v>50376.97</v>
      </c>
      <c r="F461" s="14" t="s">
        <v>920</v>
      </c>
      <c r="G461" s="14" t="s">
        <v>51</v>
      </c>
      <c r="H461" s="14" t="s">
        <v>40</v>
      </c>
      <c r="I461" s="14" t="s">
        <v>93</v>
      </c>
      <c r="J461" s="97">
        <f t="shared" si="112"/>
        <v>45674</v>
      </c>
      <c r="K461" s="4">
        <v>45692</v>
      </c>
      <c r="L461" s="19">
        <f t="shared" si="113"/>
        <v>-18</v>
      </c>
      <c r="M461" s="5">
        <f t="shared" si="114"/>
        <v>45685</v>
      </c>
      <c r="O461" s="19" t="str">
        <f t="shared" si="115"/>
        <v/>
      </c>
      <c r="P461" s="5">
        <f t="shared" si="116"/>
        <v>45700</v>
      </c>
      <c r="R461" s="19" t="str">
        <f t="shared" si="117"/>
        <v/>
      </c>
      <c r="S461" s="5">
        <f t="shared" si="127"/>
        <v>45705</v>
      </c>
      <c r="T461" s="4">
        <v>45673</v>
      </c>
      <c r="U461" s="19">
        <f t="shared" si="118"/>
        <v>32</v>
      </c>
      <c r="V461" s="5">
        <f t="shared" si="119"/>
        <v>45744</v>
      </c>
      <c r="W461" s="4">
        <v>45757</v>
      </c>
      <c r="X461" s="19">
        <f t="shared" si="120"/>
        <v>-13</v>
      </c>
      <c r="Y461" s="51">
        <f t="shared" si="121"/>
        <v>45769</v>
      </c>
      <c r="Z461" s="4">
        <v>45781</v>
      </c>
      <c r="AA461" s="49">
        <f t="shared" si="122"/>
        <v>-12</v>
      </c>
      <c r="AB461" s="51">
        <f t="shared" si="123"/>
        <v>45774</v>
      </c>
      <c r="AC461" s="49">
        <f t="shared" si="124"/>
        <v>-7</v>
      </c>
      <c r="AD461" s="43">
        <f t="shared" si="125"/>
        <v>45774</v>
      </c>
      <c r="AE461" s="4">
        <v>45781</v>
      </c>
      <c r="AF461" s="19">
        <f t="shared" si="126"/>
        <v>-7</v>
      </c>
      <c r="AG461" s="67"/>
      <c r="AH461" s="2"/>
      <c r="AI461" s="2"/>
      <c r="AJ461" s="2"/>
      <c r="AK461" s="2"/>
      <c r="AL461" s="2"/>
    </row>
    <row r="462" spans="1:38" ht="14.45">
      <c r="A462" s="156">
        <v>461</v>
      </c>
      <c r="B462" s="55">
        <v>45774</v>
      </c>
      <c r="C462" s="40" t="s">
        <v>921</v>
      </c>
      <c r="D462" s="14" t="s">
        <v>919</v>
      </c>
      <c r="E462" s="15">
        <v>1000</v>
      </c>
      <c r="F462" s="14" t="s">
        <v>922</v>
      </c>
      <c r="G462" s="14" t="s">
        <v>51</v>
      </c>
      <c r="H462" s="14" t="s">
        <v>40</v>
      </c>
      <c r="I462" s="14" t="s">
        <v>121</v>
      </c>
      <c r="J462" s="97">
        <f t="shared" si="112"/>
        <v>45674</v>
      </c>
      <c r="K462" s="4">
        <v>45692</v>
      </c>
      <c r="L462" s="19">
        <f t="shared" si="113"/>
        <v>-18</v>
      </c>
      <c r="M462" s="5">
        <f t="shared" si="114"/>
        <v>45685</v>
      </c>
      <c r="O462" s="19" t="str">
        <f t="shared" si="115"/>
        <v/>
      </c>
      <c r="P462" s="5">
        <f t="shared" si="116"/>
        <v>45700</v>
      </c>
      <c r="R462" s="19" t="str">
        <f t="shared" si="117"/>
        <v/>
      </c>
      <c r="S462" s="5">
        <f t="shared" si="127"/>
        <v>45705</v>
      </c>
      <c r="T462" s="4">
        <v>45673</v>
      </c>
      <c r="U462" s="19">
        <f t="shared" si="118"/>
        <v>32</v>
      </c>
      <c r="V462" s="5">
        <f t="shared" si="119"/>
        <v>45744</v>
      </c>
      <c r="W462" s="4">
        <v>45757</v>
      </c>
      <c r="X462" s="19">
        <f t="shared" si="120"/>
        <v>-13</v>
      </c>
      <c r="Y462" s="51">
        <f t="shared" si="121"/>
        <v>45769</v>
      </c>
      <c r="Z462" s="4">
        <v>45781</v>
      </c>
      <c r="AA462" s="49">
        <f t="shared" si="122"/>
        <v>-12</v>
      </c>
      <c r="AB462" s="51">
        <f t="shared" si="123"/>
        <v>45774</v>
      </c>
      <c r="AC462" s="49">
        <f t="shared" si="124"/>
        <v>-7</v>
      </c>
      <c r="AD462" s="43">
        <f t="shared" si="125"/>
        <v>45774</v>
      </c>
      <c r="AE462" s="4">
        <v>45781</v>
      </c>
      <c r="AF462" s="19">
        <f t="shared" si="126"/>
        <v>-7</v>
      </c>
      <c r="AG462" s="67"/>
      <c r="AH462" s="2"/>
      <c r="AI462" s="2"/>
      <c r="AJ462" s="2"/>
      <c r="AK462" s="2"/>
      <c r="AL462" s="2"/>
    </row>
    <row r="463" spans="1:38" s="9" customFormat="1" ht="14.45">
      <c r="A463" s="156">
        <v>462</v>
      </c>
      <c r="B463" s="57">
        <v>45774</v>
      </c>
      <c r="C463" s="88" t="s">
        <v>832</v>
      </c>
      <c r="D463" s="16" t="s">
        <v>49</v>
      </c>
      <c r="E463" s="17">
        <v>14393.97</v>
      </c>
      <c r="F463" s="16" t="s">
        <v>923</v>
      </c>
      <c r="G463" s="16" t="s">
        <v>46</v>
      </c>
      <c r="H463" s="16" t="s">
        <v>40</v>
      </c>
      <c r="I463" s="16" t="s">
        <v>229</v>
      </c>
      <c r="J463" s="98">
        <f t="shared" si="112"/>
        <v>45674</v>
      </c>
      <c r="K463" s="7"/>
      <c r="L463" s="99" t="str">
        <f t="shared" si="113"/>
        <v/>
      </c>
      <c r="M463" s="20">
        <f t="shared" si="114"/>
        <v>45685</v>
      </c>
      <c r="N463" s="7"/>
      <c r="O463" s="99" t="str">
        <f t="shared" si="115"/>
        <v/>
      </c>
      <c r="P463" s="20">
        <f t="shared" si="116"/>
        <v>45700</v>
      </c>
      <c r="Q463" s="7"/>
      <c r="R463" s="99" t="str">
        <f t="shared" si="117"/>
        <v/>
      </c>
      <c r="S463" s="20">
        <f t="shared" si="127"/>
        <v>45705</v>
      </c>
      <c r="T463" s="7">
        <v>45774</v>
      </c>
      <c r="U463" s="99">
        <f t="shared" si="118"/>
        <v>-69</v>
      </c>
      <c r="V463" s="20">
        <f t="shared" si="119"/>
        <v>45744</v>
      </c>
      <c r="W463" s="7">
        <v>45774</v>
      </c>
      <c r="X463" s="99">
        <f t="shared" si="120"/>
        <v>-30</v>
      </c>
      <c r="Y463" s="51">
        <f t="shared" si="121"/>
        <v>45769</v>
      </c>
      <c r="Z463" s="7">
        <v>45774</v>
      </c>
      <c r="AA463" s="49">
        <f t="shared" si="122"/>
        <v>-5</v>
      </c>
      <c r="AB463" s="51">
        <f t="shared" si="123"/>
        <v>45774</v>
      </c>
      <c r="AC463" s="49">
        <f t="shared" si="124"/>
        <v>0</v>
      </c>
      <c r="AD463" s="100">
        <f t="shared" si="125"/>
        <v>45774</v>
      </c>
      <c r="AE463" s="7">
        <v>45774</v>
      </c>
      <c r="AF463" s="99">
        <f t="shared" si="126"/>
        <v>0</v>
      </c>
      <c r="AG463" s="68"/>
      <c r="AH463" s="8"/>
      <c r="AI463" s="8"/>
      <c r="AJ463" s="8"/>
      <c r="AK463" s="8"/>
      <c r="AL463" s="8"/>
    </row>
    <row r="464" spans="1:38" ht="14.45">
      <c r="A464" s="156">
        <v>463</v>
      </c>
      <c r="B464" s="55">
        <v>45775</v>
      </c>
      <c r="C464" s="40" t="s">
        <v>924</v>
      </c>
      <c r="D464" s="14" t="s">
        <v>925</v>
      </c>
      <c r="E464" s="15">
        <v>18723.650000000001</v>
      </c>
      <c r="F464" s="14" t="s">
        <v>926</v>
      </c>
      <c r="G464" s="14" t="s">
        <v>110</v>
      </c>
      <c r="H464" s="14" t="s">
        <v>36</v>
      </c>
      <c r="I464" s="14" t="s">
        <v>62</v>
      </c>
      <c r="J464" s="97">
        <f t="shared" si="112"/>
        <v>45675</v>
      </c>
      <c r="L464" s="19" t="str">
        <f t="shared" si="113"/>
        <v/>
      </c>
      <c r="M464" s="5">
        <f t="shared" si="114"/>
        <v>45686</v>
      </c>
      <c r="N464" s="4">
        <v>45719</v>
      </c>
      <c r="O464" s="19">
        <f t="shared" si="115"/>
        <v>-33</v>
      </c>
      <c r="P464" s="5">
        <f t="shared" si="116"/>
        <v>45701</v>
      </c>
      <c r="R464" s="19" t="str">
        <f t="shared" si="117"/>
        <v/>
      </c>
      <c r="S464" s="5">
        <f t="shared" si="127"/>
        <v>45706</v>
      </c>
      <c r="T464" s="4">
        <v>45719</v>
      </c>
      <c r="U464" s="19">
        <f t="shared" si="118"/>
        <v>-13</v>
      </c>
      <c r="V464" s="5">
        <f t="shared" si="119"/>
        <v>45745</v>
      </c>
      <c r="W464" s="4">
        <v>45719</v>
      </c>
      <c r="X464" s="19">
        <f t="shared" si="120"/>
        <v>26</v>
      </c>
      <c r="Y464" s="51">
        <f t="shared" si="121"/>
        <v>45770</v>
      </c>
      <c r="Z464" s="4">
        <v>45719</v>
      </c>
      <c r="AA464" s="49">
        <f t="shared" si="122"/>
        <v>51</v>
      </c>
      <c r="AB464" s="51">
        <f t="shared" si="123"/>
        <v>45775</v>
      </c>
      <c r="AC464" s="49">
        <f t="shared" si="124"/>
        <v>56</v>
      </c>
      <c r="AD464" s="43">
        <f t="shared" si="125"/>
        <v>45775</v>
      </c>
      <c r="AE464" s="4">
        <v>45719</v>
      </c>
      <c r="AF464" s="19">
        <f t="shared" si="126"/>
        <v>56</v>
      </c>
      <c r="AG464" s="67"/>
      <c r="AH464" s="2"/>
      <c r="AI464" s="2"/>
      <c r="AJ464" s="2"/>
      <c r="AK464" s="2"/>
      <c r="AL464" s="2"/>
    </row>
    <row r="465" spans="1:38" ht="14.45">
      <c r="A465" s="156">
        <v>464</v>
      </c>
      <c r="B465" s="55">
        <v>45775</v>
      </c>
      <c r="C465" s="40" t="s">
        <v>500</v>
      </c>
      <c r="D465" s="14" t="s">
        <v>501</v>
      </c>
      <c r="E465" s="15">
        <v>60651.95</v>
      </c>
      <c r="F465" s="14" t="s">
        <v>502</v>
      </c>
      <c r="G465" s="14" t="s">
        <v>35</v>
      </c>
      <c r="H465" s="14" t="s">
        <v>36</v>
      </c>
      <c r="I465" s="14" t="s">
        <v>52</v>
      </c>
      <c r="J465" s="97">
        <f t="shared" si="112"/>
        <v>45675</v>
      </c>
      <c r="L465" s="19" t="str">
        <f t="shared" si="113"/>
        <v/>
      </c>
      <c r="M465" s="5">
        <f t="shared" si="114"/>
        <v>45686</v>
      </c>
      <c r="O465" s="19" t="str">
        <f t="shared" si="115"/>
        <v/>
      </c>
      <c r="P465" s="5">
        <f t="shared" si="116"/>
        <v>45701</v>
      </c>
      <c r="R465" s="19" t="str">
        <f t="shared" si="117"/>
        <v/>
      </c>
      <c r="S465" s="5">
        <f t="shared" si="127"/>
        <v>45706</v>
      </c>
      <c r="U465" s="19" t="str">
        <f t="shared" si="118"/>
        <v/>
      </c>
      <c r="V465" s="5">
        <f t="shared" si="119"/>
        <v>45745</v>
      </c>
      <c r="W465" s="4">
        <v>45720</v>
      </c>
      <c r="X465" s="19">
        <f t="shared" si="120"/>
        <v>25</v>
      </c>
      <c r="Y465" s="51">
        <f t="shared" si="121"/>
        <v>45770</v>
      </c>
      <c r="AA465" s="49" t="str">
        <f t="shared" si="122"/>
        <v/>
      </c>
      <c r="AB465" s="51">
        <f t="shared" si="123"/>
        <v>45775</v>
      </c>
      <c r="AC465" s="49" t="str">
        <f t="shared" si="124"/>
        <v/>
      </c>
      <c r="AD465" s="43">
        <f t="shared" si="125"/>
        <v>45775</v>
      </c>
      <c r="AF465" s="19" t="str">
        <f t="shared" si="126"/>
        <v/>
      </c>
      <c r="AG465" s="67"/>
      <c r="AH465" s="2"/>
      <c r="AI465" s="2"/>
      <c r="AJ465" s="2"/>
      <c r="AK465" s="2"/>
      <c r="AL465" s="2"/>
    </row>
    <row r="466" spans="1:38" ht="14.45">
      <c r="A466" s="156">
        <v>465</v>
      </c>
      <c r="B466" s="55">
        <v>45775</v>
      </c>
      <c r="C466" s="40" t="s">
        <v>927</v>
      </c>
      <c r="D466" s="14" t="s">
        <v>38</v>
      </c>
      <c r="E466" s="15">
        <v>340.89</v>
      </c>
      <c r="F466" s="14" t="s">
        <v>928</v>
      </c>
      <c r="G466" s="14" t="s">
        <v>190</v>
      </c>
      <c r="H466" s="14" t="s">
        <v>40</v>
      </c>
      <c r="I466" s="14" t="s">
        <v>41</v>
      </c>
      <c r="J466" s="97">
        <f t="shared" si="112"/>
        <v>45675</v>
      </c>
      <c r="L466" s="19" t="str">
        <f t="shared" si="113"/>
        <v/>
      </c>
      <c r="M466" s="5">
        <f t="shared" si="114"/>
        <v>45686</v>
      </c>
      <c r="N466" s="4">
        <v>45729</v>
      </c>
      <c r="O466" s="19">
        <f t="shared" si="115"/>
        <v>-43</v>
      </c>
      <c r="P466" s="5">
        <f t="shared" si="116"/>
        <v>45701</v>
      </c>
      <c r="Q466" s="4">
        <v>45741</v>
      </c>
      <c r="R466" s="19">
        <f t="shared" si="117"/>
        <v>-40</v>
      </c>
      <c r="S466" s="5">
        <f t="shared" si="127"/>
        <v>45706</v>
      </c>
      <c r="T466" s="4">
        <v>45742</v>
      </c>
      <c r="U466" s="19">
        <f t="shared" si="118"/>
        <v>-36</v>
      </c>
      <c r="V466" s="5">
        <f t="shared" si="119"/>
        <v>45745</v>
      </c>
      <c r="W466" s="4">
        <v>45742</v>
      </c>
      <c r="X466" s="19">
        <f t="shared" si="120"/>
        <v>3</v>
      </c>
      <c r="Y466" s="51">
        <f t="shared" si="121"/>
        <v>45770</v>
      </c>
      <c r="Z466" s="4">
        <v>45762</v>
      </c>
      <c r="AA466" s="49">
        <f t="shared" si="122"/>
        <v>8</v>
      </c>
      <c r="AB466" s="51">
        <f t="shared" si="123"/>
        <v>45775</v>
      </c>
      <c r="AC466" s="49">
        <f t="shared" si="124"/>
        <v>13</v>
      </c>
      <c r="AD466" s="43">
        <f t="shared" si="125"/>
        <v>45775</v>
      </c>
      <c r="AE466" s="4">
        <v>45762</v>
      </c>
      <c r="AF466" s="19">
        <f t="shared" si="126"/>
        <v>13</v>
      </c>
      <c r="AG466" s="67"/>
      <c r="AH466" s="2"/>
      <c r="AI466" s="2"/>
      <c r="AJ466" s="2"/>
      <c r="AK466" s="2"/>
      <c r="AL466" s="2"/>
    </row>
    <row r="467" spans="1:38" ht="14.45">
      <c r="A467" s="156">
        <v>466</v>
      </c>
      <c r="B467" s="55">
        <v>45776</v>
      </c>
      <c r="C467" s="40" t="s">
        <v>929</v>
      </c>
      <c r="D467" s="14" t="s">
        <v>930</v>
      </c>
      <c r="E467" s="15">
        <v>5419.35</v>
      </c>
      <c r="F467" s="14" t="s">
        <v>931</v>
      </c>
      <c r="G467" s="14" t="s">
        <v>35</v>
      </c>
      <c r="H467" s="14" t="s">
        <v>36</v>
      </c>
      <c r="I467" s="14" t="s">
        <v>62</v>
      </c>
      <c r="J467" s="97">
        <f t="shared" si="112"/>
        <v>45676</v>
      </c>
      <c r="L467" s="19" t="str">
        <f t="shared" si="113"/>
        <v/>
      </c>
      <c r="M467" s="5">
        <f t="shared" si="114"/>
        <v>45687</v>
      </c>
      <c r="O467" s="19" t="str">
        <f t="shared" si="115"/>
        <v/>
      </c>
      <c r="P467" s="5">
        <f t="shared" si="116"/>
        <v>45702</v>
      </c>
      <c r="R467" s="19" t="str">
        <f t="shared" si="117"/>
        <v/>
      </c>
      <c r="S467" s="5">
        <f t="shared" si="127"/>
        <v>45707</v>
      </c>
      <c r="U467" s="19" t="str">
        <f t="shared" si="118"/>
        <v/>
      </c>
      <c r="V467" s="5">
        <f t="shared" si="119"/>
        <v>45746</v>
      </c>
      <c r="W467" s="4">
        <v>45720</v>
      </c>
      <c r="X467" s="19">
        <f t="shared" si="120"/>
        <v>26</v>
      </c>
      <c r="Y467" s="51">
        <f t="shared" si="121"/>
        <v>45771</v>
      </c>
      <c r="Z467" s="4">
        <v>45776</v>
      </c>
      <c r="AA467" s="49">
        <f t="shared" si="122"/>
        <v>-5</v>
      </c>
      <c r="AB467" s="51">
        <f t="shared" si="123"/>
        <v>45776</v>
      </c>
      <c r="AC467" s="49">
        <f t="shared" si="124"/>
        <v>0</v>
      </c>
      <c r="AD467" s="43">
        <f t="shared" si="125"/>
        <v>45776</v>
      </c>
      <c r="AE467" s="4">
        <v>45776</v>
      </c>
      <c r="AF467" s="19">
        <f t="shared" si="126"/>
        <v>0</v>
      </c>
      <c r="AG467" s="67"/>
      <c r="AH467" s="2"/>
      <c r="AI467" s="2"/>
      <c r="AJ467" s="2"/>
      <c r="AK467" s="2"/>
      <c r="AL467" s="2"/>
    </row>
    <row r="468" spans="1:38" ht="14.45">
      <c r="A468" s="156">
        <v>467</v>
      </c>
      <c r="B468" s="55">
        <v>45776</v>
      </c>
      <c r="C468" s="40" t="s">
        <v>932</v>
      </c>
      <c r="D468" s="14" t="s">
        <v>933</v>
      </c>
      <c r="E468" s="15">
        <v>14387</v>
      </c>
      <c r="F468" s="14" t="s">
        <v>934</v>
      </c>
      <c r="G468" s="14" t="s">
        <v>35</v>
      </c>
      <c r="H468" s="14" t="s">
        <v>40</v>
      </c>
      <c r="I468" s="14" t="s">
        <v>62</v>
      </c>
      <c r="J468" s="97">
        <f t="shared" si="112"/>
        <v>45676</v>
      </c>
      <c r="L468" s="19" t="str">
        <f t="shared" si="113"/>
        <v/>
      </c>
      <c r="M468" s="5">
        <f t="shared" si="114"/>
        <v>45687</v>
      </c>
      <c r="O468" s="19" t="str">
        <f t="shared" si="115"/>
        <v/>
      </c>
      <c r="P468" s="5">
        <f t="shared" si="116"/>
        <v>45702</v>
      </c>
      <c r="R468" s="19" t="str">
        <f t="shared" si="117"/>
        <v/>
      </c>
      <c r="S468" s="5">
        <f t="shared" si="127"/>
        <v>45707</v>
      </c>
      <c r="T468" s="4">
        <v>45707</v>
      </c>
      <c r="U468" s="19">
        <f t="shared" si="118"/>
        <v>0</v>
      </c>
      <c r="V468" s="5">
        <f t="shared" si="119"/>
        <v>45746</v>
      </c>
      <c r="W468" s="4">
        <v>45764</v>
      </c>
      <c r="X468" s="19">
        <f t="shared" si="120"/>
        <v>-18</v>
      </c>
      <c r="Y468" s="51">
        <f t="shared" si="121"/>
        <v>45771</v>
      </c>
      <c r="Z468" s="4">
        <v>45781</v>
      </c>
      <c r="AA468" s="49">
        <f t="shared" si="122"/>
        <v>-10</v>
      </c>
      <c r="AB468" s="51">
        <f t="shared" si="123"/>
        <v>45776</v>
      </c>
      <c r="AC468" s="49">
        <f t="shared" si="124"/>
        <v>-5</v>
      </c>
      <c r="AD468" s="43">
        <f t="shared" si="125"/>
        <v>45776</v>
      </c>
      <c r="AE468" s="4">
        <v>45781</v>
      </c>
      <c r="AF468" s="19">
        <f t="shared" si="126"/>
        <v>-5</v>
      </c>
      <c r="AG468" s="67"/>
      <c r="AH468" s="2"/>
      <c r="AI468" s="2"/>
      <c r="AJ468" s="2"/>
      <c r="AK468" s="2"/>
      <c r="AL468" s="2"/>
    </row>
    <row r="469" spans="1:38" ht="14.45">
      <c r="A469" s="156">
        <v>468</v>
      </c>
      <c r="B469" s="55">
        <v>45776</v>
      </c>
      <c r="C469" s="40" t="s">
        <v>935</v>
      </c>
      <c r="D469" s="14" t="s">
        <v>38</v>
      </c>
      <c r="E469" s="15">
        <v>676.38</v>
      </c>
      <c r="F469" s="14" t="s">
        <v>936</v>
      </c>
      <c r="G469" s="14" t="s">
        <v>190</v>
      </c>
      <c r="H469" s="14" t="s">
        <v>40</v>
      </c>
      <c r="I469" s="14" t="s">
        <v>41</v>
      </c>
      <c r="J469" s="97">
        <f t="shared" si="112"/>
        <v>45676</v>
      </c>
      <c r="L469" s="19" t="str">
        <f t="shared" si="113"/>
        <v/>
      </c>
      <c r="M469" s="5">
        <f t="shared" si="114"/>
        <v>45687</v>
      </c>
      <c r="N469" s="4">
        <v>45729</v>
      </c>
      <c r="O469" s="19">
        <f t="shared" si="115"/>
        <v>-42</v>
      </c>
      <c r="P469" s="5">
        <f t="shared" si="116"/>
        <v>45702</v>
      </c>
      <c r="Q469" s="4">
        <v>45741</v>
      </c>
      <c r="R469" s="19">
        <f t="shared" si="117"/>
        <v>-39</v>
      </c>
      <c r="S469" s="5">
        <f t="shared" si="127"/>
        <v>45707</v>
      </c>
      <c r="T469" s="4">
        <v>45742</v>
      </c>
      <c r="U469" s="19">
        <f t="shared" si="118"/>
        <v>-35</v>
      </c>
      <c r="V469" s="5">
        <f t="shared" si="119"/>
        <v>45746</v>
      </c>
      <c r="W469" s="4">
        <v>45742</v>
      </c>
      <c r="X469" s="19">
        <f t="shared" si="120"/>
        <v>4</v>
      </c>
      <c r="Y469" s="51">
        <f t="shared" si="121"/>
        <v>45771</v>
      </c>
      <c r="Z469" s="4">
        <v>45762</v>
      </c>
      <c r="AA469" s="49">
        <f t="shared" si="122"/>
        <v>9</v>
      </c>
      <c r="AB469" s="51">
        <f t="shared" si="123"/>
        <v>45776</v>
      </c>
      <c r="AC469" s="49">
        <f t="shared" si="124"/>
        <v>14</v>
      </c>
      <c r="AD469" s="43">
        <f t="shared" si="125"/>
        <v>45776</v>
      </c>
      <c r="AE469" s="4">
        <v>45762</v>
      </c>
      <c r="AF469" s="19">
        <f t="shared" si="126"/>
        <v>14</v>
      </c>
      <c r="AG469" s="67"/>
      <c r="AH469" s="2"/>
      <c r="AI469" s="2"/>
      <c r="AJ469" s="2"/>
      <c r="AK469" s="2"/>
      <c r="AL469" s="2"/>
    </row>
    <row r="470" spans="1:38" ht="14.45">
      <c r="A470" s="156">
        <v>469</v>
      </c>
      <c r="B470" s="55">
        <v>45777</v>
      </c>
      <c r="C470" s="40" t="s">
        <v>937</v>
      </c>
      <c r="D470" s="14" t="s">
        <v>938</v>
      </c>
      <c r="E470" s="15">
        <v>116892.27</v>
      </c>
      <c r="F470" s="14" t="s">
        <v>939</v>
      </c>
      <c r="G470" s="14" t="s">
        <v>120</v>
      </c>
      <c r="H470" s="14" t="s">
        <v>36</v>
      </c>
      <c r="I470" s="14" t="s">
        <v>37</v>
      </c>
      <c r="J470" s="97">
        <f t="shared" si="112"/>
        <v>45677</v>
      </c>
      <c r="K470" s="4">
        <v>45692</v>
      </c>
      <c r="L470" s="19">
        <f t="shared" si="113"/>
        <v>-15</v>
      </c>
      <c r="M470" s="5">
        <f t="shared" si="114"/>
        <v>45688</v>
      </c>
      <c r="N470" s="4">
        <v>45692</v>
      </c>
      <c r="O470" s="19">
        <f t="shared" si="115"/>
        <v>-4</v>
      </c>
      <c r="P470" s="5">
        <f t="shared" si="116"/>
        <v>45703</v>
      </c>
      <c r="R470" s="19" t="str">
        <f t="shared" si="117"/>
        <v/>
      </c>
      <c r="S470" s="5">
        <f t="shared" si="127"/>
        <v>45708</v>
      </c>
      <c r="T470" s="4">
        <v>45677</v>
      </c>
      <c r="U470" s="19">
        <f t="shared" si="118"/>
        <v>31</v>
      </c>
      <c r="V470" s="5">
        <f t="shared" si="119"/>
        <v>45747</v>
      </c>
      <c r="W470" s="4">
        <v>45752</v>
      </c>
      <c r="X470" s="19">
        <f t="shared" si="120"/>
        <v>-5</v>
      </c>
      <c r="Y470" s="51">
        <f t="shared" si="121"/>
        <v>45772</v>
      </c>
      <c r="Z470" s="4">
        <v>45795</v>
      </c>
      <c r="AA470" s="49">
        <f t="shared" si="122"/>
        <v>-23</v>
      </c>
      <c r="AB470" s="51">
        <f t="shared" si="123"/>
        <v>45777</v>
      </c>
      <c r="AC470" s="49">
        <f t="shared" si="124"/>
        <v>-18</v>
      </c>
      <c r="AD470" s="43">
        <f t="shared" si="125"/>
        <v>45777</v>
      </c>
      <c r="AE470" s="4">
        <v>45795</v>
      </c>
      <c r="AF470" s="19">
        <f t="shared" si="126"/>
        <v>-18</v>
      </c>
      <c r="AG470" s="67"/>
      <c r="AH470" s="2"/>
      <c r="AI470" s="2"/>
      <c r="AJ470" s="2"/>
      <c r="AK470" s="2"/>
      <c r="AL470" s="2"/>
    </row>
    <row r="471" spans="1:38" ht="14.45">
      <c r="A471" s="156">
        <v>470</v>
      </c>
      <c r="B471" s="55">
        <v>45777</v>
      </c>
      <c r="C471" s="40">
        <v>611500976</v>
      </c>
      <c r="D471" s="14" t="s">
        <v>938</v>
      </c>
      <c r="E471" s="15">
        <v>10049.120000000001</v>
      </c>
      <c r="F471" s="14" t="s">
        <v>940</v>
      </c>
      <c r="G471" s="14" t="s">
        <v>120</v>
      </c>
      <c r="H471" s="14" t="s">
        <v>36</v>
      </c>
      <c r="I471" s="14" t="s">
        <v>37</v>
      </c>
      <c r="J471" s="97">
        <f t="shared" si="112"/>
        <v>45677</v>
      </c>
      <c r="K471" s="4">
        <v>45692</v>
      </c>
      <c r="L471" s="19">
        <f t="shared" si="113"/>
        <v>-15</v>
      </c>
      <c r="M471" s="5">
        <f t="shared" si="114"/>
        <v>45688</v>
      </c>
      <c r="N471" s="4">
        <v>45692</v>
      </c>
      <c r="O471" s="19">
        <f t="shared" si="115"/>
        <v>-4</v>
      </c>
      <c r="P471" s="5">
        <f t="shared" si="116"/>
        <v>45703</v>
      </c>
      <c r="R471" s="19" t="str">
        <f t="shared" si="117"/>
        <v/>
      </c>
      <c r="S471" s="5">
        <f t="shared" si="127"/>
        <v>45708</v>
      </c>
      <c r="T471" s="4">
        <v>45677</v>
      </c>
      <c r="U471" s="19">
        <f t="shared" si="118"/>
        <v>31</v>
      </c>
      <c r="V471" s="5">
        <f t="shared" si="119"/>
        <v>45747</v>
      </c>
      <c r="W471" s="4">
        <v>45752</v>
      </c>
      <c r="X471" s="19">
        <f t="shared" si="120"/>
        <v>-5</v>
      </c>
      <c r="Y471" s="51">
        <f t="shared" si="121"/>
        <v>45772</v>
      </c>
      <c r="Z471" s="4">
        <v>45795</v>
      </c>
      <c r="AA471" s="49">
        <f t="shared" si="122"/>
        <v>-23</v>
      </c>
      <c r="AB471" s="51">
        <f t="shared" si="123"/>
        <v>45777</v>
      </c>
      <c r="AC471" s="49">
        <f t="shared" si="124"/>
        <v>-18</v>
      </c>
      <c r="AD471" s="43">
        <f t="shared" si="125"/>
        <v>45777</v>
      </c>
      <c r="AE471" s="4">
        <v>45795</v>
      </c>
      <c r="AF471" s="19">
        <f t="shared" si="126"/>
        <v>-18</v>
      </c>
      <c r="AG471" s="67"/>
      <c r="AH471" s="2"/>
      <c r="AI471" s="2"/>
      <c r="AJ471" s="2"/>
      <c r="AK471" s="2"/>
      <c r="AL471" s="2"/>
    </row>
    <row r="472" spans="1:38" ht="14.45">
      <c r="A472" s="156">
        <v>471</v>
      </c>
      <c r="B472" s="55">
        <v>45777</v>
      </c>
      <c r="C472" s="40" t="s">
        <v>941</v>
      </c>
      <c r="D472" s="14" t="s">
        <v>66</v>
      </c>
      <c r="E472" s="15">
        <v>234.03</v>
      </c>
      <c r="F472" s="14" t="s">
        <v>256</v>
      </c>
      <c r="G472" s="14" t="s">
        <v>110</v>
      </c>
      <c r="H472" s="14" t="s">
        <v>40</v>
      </c>
      <c r="I472" s="14" t="s">
        <v>62</v>
      </c>
      <c r="J472" s="97">
        <f t="shared" si="112"/>
        <v>45677</v>
      </c>
      <c r="K472" s="4">
        <v>45749</v>
      </c>
      <c r="L472" s="19">
        <f t="shared" si="113"/>
        <v>-72</v>
      </c>
      <c r="M472" s="5">
        <f t="shared" si="114"/>
        <v>45688</v>
      </c>
      <c r="N472" s="4">
        <v>45694</v>
      </c>
      <c r="O472" s="19">
        <f t="shared" si="115"/>
        <v>-6</v>
      </c>
      <c r="P472" s="5">
        <f t="shared" si="116"/>
        <v>45703</v>
      </c>
      <c r="R472" s="19" t="str">
        <f t="shared" si="117"/>
        <v/>
      </c>
      <c r="S472" s="5">
        <f t="shared" si="127"/>
        <v>45708</v>
      </c>
      <c r="T472" s="4">
        <v>45749</v>
      </c>
      <c r="U472" s="19">
        <f t="shared" si="118"/>
        <v>-41</v>
      </c>
      <c r="V472" s="5">
        <f t="shared" si="119"/>
        <v>45747</v>
      </c>
      <c r="W472" s="4">
        <v>45749</v>
      </c>
      <c r="X472" s="19">
        <f t="shared" si="120"/>
        <v>-2</v>
      </c>
      <c r="Y472" s="51">
        <f t="shared" si="121"/>
        <v>45772</v>
      </c>
      <c r="Z472" s="4">
        <v>45749</v>
      </c>
      <c r="AA472" s="49">
        <f t="shared" si="122"/>
        <v>23</v>
      </c>
      <c r="AB472" s="51">
        <f t="shared" si="123"/>
        <v>45777</v>
      </c>
      <c r="AC472" s="49">
        <f t="shared" si="124"/>
        <v>28</v>
      </c>
      <c r="AD472" s="43">
        <f t="shared" si="125"/>
        <v>45777</v>
      </c>
      <c r="AE472" s="4">
        <v>45749</v>
      </c>
      <c r="AF472" s="19">
        <f t="shared" si="126"/>
        <v>28</v>
      </c>
      <c r="AG472" s="67"/>
      <c r="AH472" s="2"/>
      <c r="AI472" s="2"/>
      <c r="AJ472" s="2"/>
      <c r="AK472" s="2"/>
      <c r="AL472" s="2"/>
    </row>
    <row r="473" spans="1:38" ht="14.45">
      <c r="A473" s="156">
        <v>472</v>
      </c>
      <c r="B473" s="55">
        <v>45777</v>
      </c>
      <c r="C473" s="40" t="s">
        <v>942</v>
      </c>
      <c r="D473" s="14" t="s">
        <v>943</v>
      </c>
      <c r="E473" s="15">
        <v>2162.9499999999998</v>
      </c>
      <c r="F473" s="14" t="s">
        <v>944</v>
      </c>
      <c r="G473" s="14" t="s">
        <v>120</v>
      </c>
      <c r="H473" s="14" t="s">
        <v>40</v>
      </c>
      <c r="I473" s="14" t="s">
        <v>93</v>
      </c>
      <c r="J473" s="97">
        <f t="shared" si="112"/>
        <v>45677</v>
      </c>
      <c r="L473" s="19" t="str">
        <f t="shared" si="113"/>
        <v/>
      </c>
      <c r="M473" s="5">
        <f t="shared" si="114"/>
        <v>45688</v>
      </c>
      <c r="O473" s="19" t="str">
        <f t="shared" si="115"/>
        <v/>
      </c>
      <c r="P473" s="5">
        <f t="shared" si="116"/>
        <v>45703</v>
      </c>
      <c r="R473" s="19" t="str">
        <f t="shared" si="117"/>
        <v/>
      </c>
      <c r="S473" s="5">
        <f t="shared" si="127"/>
        <v>45708</v>
      </c>
      <c r="T473" s="4">
        <v>45698</v>
      </c>
      <c r="U473" s="19">
        <f t="shared" si="118"/>
        <v>10</v>
      </c>
      <c r="V473" s="5">
        <f t="shared" si="119"/>
        <v>45747</v>
      </c>
      <c r="W473" s="4">
        <v>45698</v>
      </c>
      <c r="X473" s="19">
        <f t="shared" si="120"/>
        <v>49</v>
      </c>
      <c r="Y473" s="51">
        <f t="shared" si="121"/>
        <v>45772</v>
      </c>
      <c r="Z473" s="4">
        <v>45756</v>
      </c>
      <c r="AA473" s="49">
        <f t="shared" si="122"/>
        <v>16</v>
      </c>
      <c r="AB473" s="51">
        <f t="shared" si="123"/>
        <v>45777</v>
      </c>
      <c r="AC473" s="49">
        <f t="shared" si="124"/>
        <v>21</v>
      </c>
      <c r="AD473" s="43">
        <f t="shared" si="125"/>
        <v>45777</v>
      </c>
      <c r="AE473" s="4">
        <v>45756</v>
      </c>
      <c r="AF473" s="19">
        <f t="shared" si="126"/>
        <v>21</v>
      </c>
      <c r="AG473" s="67"/>
      <c r="AH473" s="2"/>
      <c r="AI473" s="2"/>
      <c r="AJ473" s="2"/>
      <c r="AK473" s="2"/>
      <c r="AL473" s="2"/>
    </row>
    <row r="474" spans="1:38" ht="14.45">
      <c r="A474" s="156">
        <v>473</v>
      </c>
      <c r="B474" s="55">
        <v>45777</v>
      </c>
      <c r="C474" s="40" t="s">
        <v>945</v>
      </c>
      <c r="D474" s="14" t="s">
        <v>946</v>
      </c>
      <c r="E474" s="15">
        <v>798100</v>
      </c>
      <c r="F474" s="14" t="s">
        <v>947</v>
      </c>
      <c r="G474" s="14" t="s">
        <v>46</v>
      </c>
      <c r="H474" s="14" t="s">
        <v>36</v>
      </c>
      <c r="I474" s="14" t="s">
        <v>62</v>
      </c>
      <c r="J474" s="97">
        <f t="shared" si="112"/>
        <v>45677</v>
      </c>
      <c r="K474" s="4">
        <v>45705</v>
      </c>
      <c r="L474" s="19">
        <f t="shared" si="113"/>
        <v>-28</v>
      </c>
      <c r="M474" s="5">
        <f t="shared" si="114"/>
        <v>45688</v>
      </c>
      <c r="N474" s="4">
        <v>45705</v>
      </c>
      <c r="O474" s="19">
        <f t="shared" si="115"/>
        <v>-17</v>
      </c>
      <c r="P474" s="5">
        <f t="shared" si="116"/>
        <v>45703</v>
      </c>
      <c r="R474" s="19" t="str">
        <f t="shared" si="117"/>
        <v/>
      </c>
      <c r="S474" s="5">
        <f t="shared" si="127"/>
        <v>45708</v>
      </c>
      <c r="T474" s="4">
        <v>45700</v>
      </c>
      <c r="U474" s="19">
        <f t="shared" si="118"/>
        <v>8</v>
      </c>
      <c r="V474" s="5">
        <f t="shared" si="119"/>
        <v>45747</v>
      </c>
      <c r="W474" s="4">
        <v>45763</v>
      </c>
      <c r="X474" s="19">
        <f t="shared" si="120"/>
        <v>-16</v>
      </c>
      <c r="Y474" s="51">
        <f t="shared" si="121"/>
        <v>45772</v>
      </c>
      <c r="Z474" s="4">
        <v>45783</v>
      </c>
      <c r="AA474" s="49">
        <f t="shared" si="122"/>
        <v>-11</v>
      </c>
      <c r="AB474" s="51">
        <f t="shared" si="123"/>
        <v>45777</v>
      </c>
      <c r="AC474" s="49">
        <f t="shared" si="124"/>
        <v>-6</v>
      </c>
      <c r="AD474" s="43">
        <f t="shared" si="125"/>
        <v>45777</v>
      </c>
      <c r="AE474" s="4">
        <v>45783</v>
      </c>
      <c r="AF474" s="19">
        <f t="shared" si="126"/>
        <v>-6</v>
      </c>
      <c r="AG474" s="67"/>
      <c r="AH474" s="2"/>
      <c r="AI474" s="2"/>
      <c r="AJ474" s="2"/>
      <c r="AK474" s="2"/>
      <c r="AL474" s="2"/>
    </row>
    <row r="475" spans="1:38" ht="14.45">
      <c r="A475" s="156">
        <v>474</v>
      </c>
      <c r="B475" s="55">
        <v>45777</v>
      </c>
      <c r="C475" s="40" t="s">
        <v>948</v>
      </c>
      <c r="D475" s="14" t="s">
        <v>946</v>
      </c>
      <c r="E475" s="15">
        <v>5850000</v>
      </c>
      <c r="F475" s="14" t="s">
        <v>623</v>
      </c>
      <c r="G475" s="14" t="s">
        <v>46</v>
      </c>
      <c r="H475" s="14" t="s">
        <v>36</v>
      </c>
      <c r="I475" s="14" t="s">
        <v>272</v>
      </c>
      <c r="J475" s="97">
        <f t="shared" si="112"/>
        <v>45677</v>
      </c>
      <c r="K475" s="4">
        <v>45705</v>
      </c>
      <c r="L475" s="19">
        <f t="shared" si="113"/>
        <v>-28</v>
      </c>
      <c r="M475" s="5">
        <f t="shared" si="114"/>
        <v>45688</v>
      </c>
      <c r="N475" s="4">
        <v>45705</v>
      </c>
      <c r="O475" s="19">
        <f t="shared" si="115"/>
        <v>-17</v>
      </c>
      <c r="P475" s="5">
        <f t="shared" si="116"/>
        <v>45703</v>
      </c>
      <c r="R475" s="19" t="str">
        <f t="shared" si="117"/>
        <v/>
      </c>
      <c r="S475" s="5">
        <f t="shared" si="127"/>
        <v>45708</v>
      </c>
      <c r="T475" s="4">
        <v>45700</v>
      </c>
      <c r="U475" s="19">
        <f t="shared" si="118"/>
        <v>8</v>
      </c>
      <c r="V475" s="5">
        <f t="shared" si="119"/>
        <v>45747</v>
      </c>
      <c r="W475" s="4">
        <v>45763</v>
      </c>
      <c r="X475" s="19">
        <f t="shared" si="120"/>
        <v>-16</v>
      </c>
      <c r="Y475" s="51">
        <f t="shared" si="121"/>
        <v>45772</v>
      </c>
      <c r="Z475" s="4">
        <v>45783</v>
      </c>
      <c r="AA475" s="49">
        <f t="shared" si="122"/>
        <v>-11</v>
      </c>
      <c r="AB475" s="51">
        <f t="shared" si="123"/>
        <v>45777</v>
      </c>
      <c r="AC475" s="49">
        <f t="shared" si="124"/>
        <v>-6</v>
      </c>
      <c r="AD475" s="43">
        <f t="shared" si="125"/>
        <v>45777</v>
      </c>
      <c r="AE475" s="4">
        <v>45783</v>
      </c>
      <c r="AF475" s="19">
        <f t="shared" si="126"/>
        <v>-6</v>
      </c>
      <c r="AG475" s="67"/>
      <c r="AH475" s="2"/>
      <c r="AI475" s="2"/>
      <c r="AJ475" s="2"/>
      <c r="AK475" s="2"/>
      <c r="AL475" s="2"/>
    </row>
    <row r="476" spans="1:38" ht="14.45">
      <c r="A476" s="156">
        <v>475</v>
      </c>
      <c r="B476" s="55">
        <v>45777</v>
      </c>
      <c r="C476" s="40" t="s">
        <v>949</v>
      </c>
      <c r="D476" s="14" t="s">
        <v>38</v>
      </c>
      <c r="E476" s="15">
        <v>363.25</v>
      </c>
      <c r="F476" s="14" t="s">
        <v>950</v>
      </c>
      <c r="G476" s="14" t="s">
        <v>190</v>
      </c>
      <c r="H476" s="14" t="s">
        <v>40</v>
      </c>
      <c r="I476" s="14" t="s">
        <v>41</v>
      </c>
      <c r="J476" s="97">
        <f t="shared" si="112"/>
        <v>45677</v>
      </c>
      <c r="L476" s="19" t="str">
        <f t="shared" si="113"/>
        <v/>
      </c>
      <c r="M476" s="5">
        <f t="shared" si="114"/>
        <v>45688</v>
      </c>
      <c r="N476" s="4">
        <v>45729</v>
      </c>
      <c r="O476" s="19">
        <f t="shared" si="115"/>
        <v>-41</v>
      </c>
      <c r="P476" s="5">
        <f t="shared" si="116"/>
        <v>45703</v>
      </c>
      <c r="Q476" s="4">
        <v>45741</v>
      </c>
      <c r="R476" s="19">
        <f t="shared" si="117"/>
        <v>-38</v>
      </c>
      <c r="S476" s="5">
        <f t="shared" si="127"/>
        <v>45708</v>
      </c>
      <c r="T476" s="4">
        <v>45742</v>
      </c>
      <c r="U476" s="19">
        <f t="shared" si="118"/>
        <v>-34</v>
      </c>
      <c r="V476" s="5">
        <f t="shared" si="119"/>
        <v>45747</v>
      </c>
      <c r="W476" s="4">
        <v>45742</v>
      </c>
      <c r="X476" s="19">
        <f t="shared" si="120"/>
        <v>5</v>
      </c>
      <c r="Y476" s="51">
        <f t="shared" si="121"/>
        <v>45772</v>
      </c>
      <c r="Z476" s="4">
        <v>45762</v>
      </c>
      <c r="AA476" s="49">
        <f t="shared" si="122"/>
        <v>10</v>
      </c>
      <c r="AB476" s="51">
        <f t="shared" si="123"/>
        <v>45777</v>
      </c>
      <c r="AC476" s="49">
        <f t="shared" si="124"/>
        <v>15</v>
      </c>
      <c r="AD476" s="43">
        <f t="shared" si="125"/>
        <v>45777</v>
      </c>
      <c r="AE476" s="4">
        <v>45762</v>
      </c>
      <c r="AF476" s="19">
        <f t="shared" si="126"/>
        <v>15</v>
      </c>
      <c r="AG476" s="67"/>
      <c r="AH476" s="2"/>
      <c r="AI476" s="2"/>
      <c r="AJ476" s="2"/>
      <c r="AK476" s="2"/>
      <c r="AL476" s="2"/>
    </row>
    <row r="477" spans="1:38" ht="14.45">
      <c r="A477" s="156">
        <v>476</v>
      </c>
      <c r="B477" s="55">
        <v>45777</v>
      </c>
      <c r="C477" s="40" t="s">
        <v>951</v>
      </c>
      <c r="D477" s="14" t="s">
        <v>38</v>
      </c>
      <c r="E477" s="15">
        <v>6565.66</v>
      </c>
      <c r="F477" s="14" t="s">
        <v>952</v>
      </c>
      <c r="G477" s="14" t="s">
        <v>190</v>
      </c>
      <c r="H477" s="14" t="s">
        <v>40</v>
      </c>
      <c r="I477" s="14" t="s">
        <v>41</v>
      </c>
      <c r="J477" s="97">
        <f t="shared" si="112"/>
        <v>45677</v>
      </c>
      <c r="L477" s="19" t="str">
        <f t="shared" si="113"/>
        <v/>
      </c>
      <c r="M477" s="5">
        <f t="shared" si="114"/>
        <v>45688</v>
      </c>
      <c r="N477" s="4">
        <v>45729</v>
      </c>
      <c r="O477" s="19">
        <f t="shared" si="115"/>
        <v>-41</v>
      </c>
      <c r="P477" s="5">
        <f t="shared" si="116"/>
        <v>45703</v>
      </c>
      <c r="Q477" s="4">
        <v>45741</v>
      </c>
      <c r="R477" s="19">
        <f t="shared" si="117"/>
        <v>-38</v>
      </c>
      <c r="S477" s="5">
        <f t="shared" si="127"/>
        <v>45708</v>
      </c>
      <c r="T477" s="4">
        <v>45742</v>
      </c>
      <c r="U477" s="19">
        <f t="shared" si="118"/>
        <v>-34</v>
      </c>
      <c r="V477" s="5">
        <f t="shared" si="119"/>
        <v>45747</v>
      </c>
      <c r="W477" s="4">
        <v>45742</v>
      </c>
      <c r="X477" s="19">
        <f t="shared" si="120"/>
        <v>5</v>
      </c>
      <c r="Y477" s="51">
        <f t="shared" si="121"/>
        <v>45772</v>
      </c>
      <c r="Z477" s="4">
        <v>45762</v>
      </c>
      <c r="AA477" s="49">
        <f t="shared" si="122"/>
        <v>10</v>
      </c>
      <c r="AB477" s="51">
        <f t="shared" si="123"/>
        <v>45777</v>
      </c>
      <c r="AC477" s="49">
        <f t="shared" si="124"/>
        <v>15</v>
      </c>
      <c r="AD477" s="43">
        <f t="shared" si="125"/>
        <v>45777</v>
      </c>
      <c r="AE477" s="4">
        <v>45762</v>
      </c>
      <c r="AF477" s="19">
        <f t="shared" si="126"/>
        <v>15</v>
      </c>
      <c r="AG477" s="67"/>
      <c r="AH477" s="2"/>
      <c r="AI477" s="2"/>
      <c r="AJ477" s="2"/>
      <c r="AK477" s="2"/>
      <c r="AL477" s="2"/>
    </row>
    <row r="478" spans="1:38" ht="14.45">
      <c r="A478" s="156">
        <v>477</v>
      </c>
      <c r="B478" s="55">
        <v>45777</v>
      </c>
      <c r="C478" s="40" t="s">
        <v>953</v>
      </c>
      <c r="D478" s="14" t="s">
        <v>38</v>
      </c>
      <c r="E478" s="15">
        <v>1194.55</v>
      </c>
      <c r="F478" s="14" t="s">
        <v>954</v>
      </c>
      <c r="G478" s="14" t="s">
        <v>190</v>
      </c>
      <c r="H478" s="14" t="s">
        <v>40</v>
      </c>
      <c r="I478" s="14" t="s">
        <v>41</v>
      </c>
      <c r="J478" s="97">
        <f t="shared" si="112"/>
        <v>45677</v>
      </c>
      <c r="L478" s="19" t="str">
        <f t="shared" si="113"/>
        <v/>
      </c>
      <c r="M478" s="5">
        <f t="shared" si="114"/>
        <v>45688</v>
      </c>
      <c r="N478" s="4">
        <v>45729</v>
      </c>
      <c r="O478" s="19">
        <f t="shared" si="115"/>
        <v>-41</v>
      </c>
      <c r="P478" s="5">
        <f t="shared" si="116"/>
        <v>45703</v>
      </c>
      <c r="Q478" s="4">
        <v>45741</v>
      </c>
      <c r="R478" s="19">
        <f t="shared" si="117"/>
        <v>-38</v>
      </c>
      <c r="S478" s="5">
        <f t="shared" si="127"/>
        <v>45708</v>
      </c>
      <c r="T478" s="4">
        <v>45742</v>
      </c>
      <c r="U478" s="19">
        <f t="shared" si="118"/>
        <v>-34</v>
      </c>
      <c r="V478" s="5">
        <f t="shared" si="119"/>
        <v>45747</v>
      </c>
      <c r="W478" s="4">
        <v>45742</v>
      </c>
      <c r="X478" s="19">
        <f t="shared" si="120"/>
        <v>5</v>
      </c>
      <c r="Y478" s="51">
        <f t="shared" si="121"/>
        <v>45772</v>
      </c>
      <c r="Z478" s="4">
        <v>45762</v>
      </c>
      <c r="AA478" s="49">
        <f t="shared" si="122"/>
        <v>10</v>
      </c>
      <c r="AB478" s="51">
        <f t="shared" si="123"/>
        <v>45777</v>
      </c>
      <c r="AC478" s="49">
        <f t="shared" si="124"/>
        <v>15</v>
      </c>
      <c r="AD478" s="43">
        <f t="shared" si="125"/>
        <v>45777</v>
      </c>
      <c r="AE478" s="4">
        <v>45762</v>
      </c>
      <c r="AF478" s="19">
        <f t="shared" si="126"/>
        <v>15</v>
      </c>
      <c r="AG478" s="67"/>
      <c r="AH478" s="2"/>
      <c r="AI478" s="2"/>
      <c r="AJ478" s="2"/>
      <c r="AK478" s="2"/>
      <c r="AL478" s="2"/>
    </row>
    <row r="479" spans="1:38" ht="14.45">
      <c r="A479" s="156">
        <v>478</v>
      </c>
      <c r="B479" s="55">
        <v>45777</v>
      </c>
      <c r="C479" s="40" t="s">
        <v>955</v>
      </c>
      <c r="D479" s="14" t="s">
        <v>38</v>
      </c>
      <c r="E479" s="15">
        <v>506.11</v>
      </c>
      <c r="F479" s="14" t="s">
        <v>956</v>
      </c>
      <c r="G479" s="14" t="s">
        <v>190</v>
      </c>
      <c r="H479" s="14" t="s">
        <v>40</v>
      </c>
      <c r="I479" s="14" t="s">
        <v>41</v>
      </c>
      <c r="J479" s="97">
        <f t="shared" si="112"/>
        <v>45677</v>
      </c>
      <c r="L479" s="19" t="str">
        <f t="shared" si="113"/>
        <v/>
      </c>
      <c r="M479" s="5">
        <f t="shared" si="114"/>
        <v>45688</v>
      </c>
      <c r="N479" s="4">
        <v>45729</v>
      </c>
      <c r="O479" s="19">
        <f t="shared" si="115"/>
        <v>-41</v>
      </c>
      <c r="P479" s="5">
        <f t="shared" si="116"/>
        <v>45703</v>
      </c>
      <c r="Q479" s="4">
        <v>45741</v>
      </c>
      <c r="R479" s="19">
        <f t="shared" si="117"/>
        <v>-38</v>
      </c>
      <c r="S479" s="5">
        <f t="shared" si="127"/>
        <v>45708</v>
      </c>
      <c r="T479" s="4">
        <v>45742</v>
      </c>
      <c r="U479" s="19">
        <f t="shared" si="118"/>
        <v>-34</v>
      </c>
      <c r="V479" s="5">
        <f t="shared" si="119"/>
        <v>45747</v>
      </c>
      <c r="W479" s="4">
        <v>45742</v>
      </c>
      <c r="X479" s="19">
        <f t="shared" si="120"/>
        <v>5</v>
      </c>
      <c r="Y479" s="51">
        <f t="shared" si="121"/>
        <v>45772</v>
      </c>
      <c r="Z479" s="4">
        <v>45762</v>
      </c>
      <c r="AA479" s="49">
        <f t="shared" si="122"/>
        <v>10</v>
      </c>
      <c r="AB479" s="51">
        <f t="shared" si="123"/>
        <v>45777</v>
      </c>
      <c r="AC479" s="49">
        <f t="shared" si="124"/>
        <v>15</v>
      </c>
      <c r="AD479" s="43">
        <f t="shared" si="125"/>
        <v>45777</v>
      </c>
      <c r="AE479" s="4">
        <v>45762</v>
      </c>
      <c r="AF479" s="19">
        <f t="shared" si="126"/>
        <v>15</v>
      </c>
      <c r="AG479" s="67"/>
      <c r="AH479" s="2"/>
      <c r="AI479" s="2"/>
      <c r="AJ479" s="2"/>
      <c r="AK479" s="2"/>
      <c r="AL479" s="2"/>
    </row>
    <row r="480" spans="1:38" ht="14.45">
      <c r="A480" s="156">
        <v>479</v>
      </c>
      <c r="B480" s="59">
        <v>45778</v>
      </c>
      <c r="C480" s="34" t="s">
        <v>957</v>
      </c>
      <c r="D480" s="23" t="s">
        <v>38</v>
      </c>
      <c r="E480" s="23">
        <v>1727.63</v>
      </c>
      <c r="F480" s="23" t="s">
        <v>39</v>
      </c>
      <c r="G480" s="14" t="s">
        <v>190</v>
      </c>
      <c r="H480" s="23" t="s">
        <v>40</v>
      </c>
      <c r="I480" s="23" t="s">
        <v>41</v>
      </c>
      <c r="J480" s="97">
        <f t="shared" si="112"/>
        <v>45678</v>
      </c>
      <c r="L480" s="19" t="str">
        <f t="shared" si="113"/>
        <v/>
      </c>
      <c r="M480" s="5">
        <f t="shared" si="114"/>
        <v>45689</v>
      </c>
      <c r="N480" s="4">
        <v>45770</v>
      </c>
      <c r="O480" s="19">
        <f t="shared" si="115"/>
        <v>-81</v>
      </c>
      <c r="P480" s="5">
        <f t="shared" si="116"/>
        <v>45704</v>
      </c>
      <c r="Q480" s="4">
        <v>45777</v>
      </c>
      <c r="R480" s="19">
        <f t="shared" si="117"/>
        <v>-73</v>
      </c>
      <c r="S480" s="5">
        <f t="shared" si="127"/>
        <v>45709</v>
      </c>
      <c r="T480" s="4">
        <v>45778</v>
      </c>
      <c r="U480" s="19">
        <f t="shared" si="118"/>
        <v>-69</v>
      </c>
      <c r="V480" s="5">
        <f t="shared" si="119"/>
        <v>45748</v>
      </c>
      <c r="W480" s="4">
        <v>45778</v>
      </c>
      <c r="X480" s="19">
        <f t="shared" si="120"/>
        <v>-30</v>
      </c>
      <c r="Y480" s="51">
        <f t="shared" si="121"/>
        <v>45773</v>
      </c>
      <c r="Z480" s="4">
        <v>45793</v>
      </c>
      <c r="AA480" s="49">
        <f t="shared" si="122"/>
        <v>-20</v>
      </c>
      <c r="AB480" s="51">
        <f t="shared" si="123"/>
        <v>45778</v>
      </c>
      <c r="AC480" s="49">
        <f t="shared" si="124"/>
        <v>-15</v>
      </c>
      <c r="AD480" s="43">
        <f t="shared" si="125"/>
        <v>45778</v>
      </c>
      <c r="AE480" s="4">
        <v>45793</v>
      </c>
      <c r="AF480" s="19">
        <f t="shared" si="126"/>
        <v>-15</v>
      </c>
      <c r="AG480" s="67"/>
      <c r="AH480" s="2"/>
      <c r="AI480" s="2"/>
      <c r="AJ480" s="2"/>
      <c r="AK480" s="2"/>
      <c r="AL480" s="2"/>
    </row>
    <row r="481" spans="1:38" ht="14.45">
      <c r="A481" s="156">
        <v>480</v>
      </c>
      <c r="B481" s="59">
        <v>45778</v>
      </c>
      <c r="C481" s="34" t="s">
        <v>958</v>
      </c>
      <c r="D481" s="23" t="s">
        <v>38</v>
      </c>
      <c r="E481" s="23">
        <v>1195.1500000000001</v>
      </c>
      <c r="F481" s="23" t="s">
        <v>42</v>
      </c>
      <c r="G481" s="14" t="s">
        <v>190</v>
      </c>
      <c r="H481" s="23" t="s">
        <v>40</v>
      </c>
      <c r="I481" s="23" t="s">
        <v>41</v>
      </c>
      <c r="J481" s="97">
        <f t="shared" si="112"/>
        <v>45678</v>
      </c>
      <c r="L481" s="19" t="str">
        <f t="shared" si="113"/>
        <v/>
      </c>
      <c r="M481" s="5">
        <f t="shared" si="114"/>
        <v>45689</v>
      </c>
      <c r="N481" s="4">
        <v>45770</v>
      </c>
      <c r="O481" s="19">
        <f t="shared" si="115"/>
        <v>-81</v>
      </c>
      <c r="P481" s="5">
        <f t="shared" si="116"/>
        <v>45704</v>
      </c>
      <c r="Q481" s="4">
        <v>45777</v>
      </c>
      <c r="R481" s="19">
        <f t="shared" si="117"/>
        <v>-73</v>
      </c>
      <c r="S481" s="5">
        <f t="shared" si="127"/>
        <v>45709</v>
      </c>
      <c r="T481" s="4">
        <v>45778</v>
      </c>
      <c r="U481" s="19">
        <f t="shared" si="118"/>
        <v>-69</v>
      </c>
      <c r="V481" s="5">
        <f t="shared" si="119"/>
        <v>45748</v>
      </c>
      <c r="W481" s="4">
        <v>45778</v>
      </c>
      <c r="X481" s="19">
        <f t="shared" si="120"/>
        <v>-30</v>
      </c>
      <c r="Y481" s="51">
        <f t="shared" si="121"/>
        <v>45773</v>
      </c>
      <c r="Z481" s="4">
        <v>45793</v>
      </c>
      <c r="AA481" s="49">
        <f t="shared" si="122"/>
        <v>-20</v>
      </c>
      <c r="AB481" s="51">
        <f t="shared" si="123"/>
        <v>45778</v>
      </c>
      <c r="AC481" s="49">
        <f t="shared" si="124"/>
        <v>-15</v>
      </c>
      <c r="AD481" s="43">
        <f t="shared" si="125"/>
        <v>45778</v>
      </c>
      <c r="AE481" s="4">
        <v>45793</v>
      </c>
      <c r="AF481" s="19">
        <f t="shared" si="126"/>
        <v>-15</v>
      </c>
      <c r="AG481" s="67"/>
      <c r="AH481" s="2"/>
      <c r="AI481" s="2"/>
      <c r="AJ481" s="2"/>
      <c r="AK481" s="2"/>
      <c r="AL481" s="2"/>
    </row>
    <row r="482" spans="1:38" ht="14.45">
      <c r="A482" s="156">
        <v>481</v>
      </c>
      <c r="B482" s="59">
        <v>45778</v>
      </c>
      <c r="C482" s="34" t="s">
        <v>959</v>
      </c>
      <c r="D482" s="23" t="s">
        <v>38</v>
      </c>
      <c r="E482" s="23">
        <v>1234.5999999999999</v>
      </c>
      <c r="F482" s="23" t="s">
        <v>960</v>
      </c>
      <c r="G482" s="14" t="s">
        <v>190</v>
      </c>
      <c r="H482" s="23" t="s">
        <v>40</v>
      </c>
      <c r="I482" s="23" t="s">
        <v>41</v>
      </c>
      <c r="J482" s="97">
        <f t="shared" si="112"/>
        <v>45678</v>
      </c>
      <c r="L482" s="19" t="str">
        <f t="shared" si="113"/>
        <v/>
      </c>
      <c r="M482" s="5">
        <f t="shared" si="114"/>
        <v>45689</v>
      </c>
      <c r="N482" s="4">
        <v>45770</v>
      </c>
      <c r="O482" s="19">
        <f t="shared" si="115"/>
        <v>-81</v>
      </c>
      <c r="P482" s="5">
        <f t="shared" si="116"/>
        <v>45704</v>
      </c>
      <c r="Q482" s="4">
        <v>45777</v>
      </c>
      <c r="R482" s="19">
        <f t="shared" si="117"/>
        <v>-73</v>
      </c>
      <c r="S482" s="5">
        <f t="shared" si="127"/>
        <v>45709</v>
      </c>
      <c r="T482" s="4">
        <v>45778</v>
      </c>
      <c r="U482" s="19">
        <f t="shared" si="118"/>
        <v>-69</v>
      </c>
      <c r="V482" s="5">
        <f t="shared" si="119"/>
        <v>45748</v>
      </c>
      <c r="W482" s="4">
        <v>45778</v>
      </c>
      <c r="X482" s="19">
        <f t="shared" si="120"/>
        <v>-30</v>
      </c>
      <c r="Y482" s="51">
        <f t="shared" si="121"/>
        <v>45773</v>
      </c>
      <c r="Z482" s="4">
        <v>45793</v>
      </c>
      <c r="AA482" s="49">
        <f t="shared" si="122"/>
        <v>-20</v>
      </c>
      <c r="AB482" s="51">
        <f t="shared" si="123"/>
        <v>45778</v>
      </c>
      <c r="AC482" s="49">
        <f t="shared" si="124"/>
        <v>-15</v>
      </c>
      <c r="AD482" s="43">
        <f t="shared" si="125"/>
        <v>45778</v>
      </c>
      <c r="AE482" s="4">
        <v>45793</v>
      </c>
      <c r="AF482" s="19">
        <f t="shared" si="126"/>
        <v>-15</v>
      </c>
      <c r="AG482" s="67"/>
      <c r="AH482" s="2"/>
      <c r="AI482" s="2"/>
      <c r="AJ482" s="2"/>
      <c r="AK482" s="2"/>
      <c r="AL482" s="2"/>
    </row>
    <row r="483" spans="1:38" ht="14.45">
      <c r="A483" s="156">
        <v>482</v>
      </c>
      <c r="B483" s="59">
        <v>45778</v>
      </c>
      <c r="C483" s="34" t="s">
        <v>961</v>
      </c>
      <c r="D483" s="23" t="s">
        <v>962</v>
      </c>
      <c r="E483" s="23">
        <v>61888.62</v>
      </c>
      <c r="F483" s="23" t="s">
        <v>963</v>
      </c>
      <c r="G483" s="14" t="s">
        <v>35</v>
      </c>
      <c r="H483" s="23" t="s">
        <v>36</v>
      </c>
      <c r="I483" s="23" t="s">
        <v>37</v>
      </c>
      <c r="J483" s="97">
        <f t="shared" si="112"/>
        <v>45678</v>
      </c>
      <c r="L483" s="19" t="str">
        <f t="shared" si="113"/>
        <v/>
      </c>
      <c r="M483" s="5">
        <f t="shared" si="114"/>
        <v>45689</v>
      </c>
      <c r="O483" s="19" t="str">
        <f t="shared" si="115"/>
        <v/>
      </c>
      <c r="P483" s="5">
        <f t="shared" si="116"/>
        <v>45704</v>
      </c>
      <c r="R483" s="19" t="str">
        <f t="shared" si="117"/>
        <v/>
      </c>
      <c r="S483" s="5">
        <f t="shared" si="127"/>
        <v>45709</v>
      </c>
      <c r="U483" s="19" t="str">
        <f t="shared" si="118"/>
        <v/>
      </c>
      <c r="V483" s="5">
        <f t="shared" si="119"/>
        <v>45748</v>
      </c>
      <c r="W483" s="4">
        <v>45758</v>
      </c>
      <c r="X483" s="19">
        <f t="shared" si="120"/>
        <v>-10</v>
      </c>
      <c r="Y483" s="51">
        <f t="shared" si="121"/>
        <v>45773</v>
      </c>
      <c r="Z483" s="4">
        <v>45781</v>
      </c>
      <c r="AA483" s="49">
        <f t="shared" si="122"/>
        <v>-8</v>
      </c>
      <c r="AB483" s="51">
        <f t="shared" si="123"/>
        <v>45778</v>
      </c>
      <c r="AC483" s="49">
        <f t="shared" si="124"/>
        <v>-3</v>
      </c>
      <c r="AD483" s="43">
        <f t="shared" si="125"/>
        <v>45778</v>
      </c>
      <c r="AE483" s="4">
        <v>45781</v>
      </c>
      <c r="AF483" s="19">
        <f t="shared" si="126"/>
        <v>-3</v>
      </c>
      <c r="AG483" s="67"/>
      <c r="AH483" s="2"/>
      <c r="AI483" s="2"/>
      <c r="AJ483" s="2"/>
      <c r="AK483" s="2"/>
      <c r="AL483" s="2"/>
    </row>
    <row r="484" spans="1:38" ht="14.45">
      <c r="A484" s="156">
        <v>483</v>
      </c>
      <c r="B484" s="59">
        <v>45780</v>
      </c>
      <c r="C484" s="34" t="s">
        <v>964</v>
      </c>
      <c r="D484" s="23" t="s">
        <v>965</v>
      </c>
      <c r="E484" s="23">
        <v>1578.54</v>
      </c>
      <c r="F484" s="23" t="s">
        <v>966</v>
      </c>
      <c r="G484" s="14" t="s">
        <v>46</v>
      </c>
      <c r="H484" s="23" t="s">
        <v>36</v>
      </c>
      <c r="I484" s="23" t="s">
        <v>93</v>
      </c>
      <c r="J484" s="97">
        <f t="shared" si="112"/>
        <v>45680</v>
      </c>
      <c r="K484" s="4">
        <v>45705</v>
      </c>
      <c r="L484" s="19">
        <f t="shared" si="113"/>
        <v>-25</v>
      </c>
      <c r="M484" s="5">
        <f t="shared" si="114"/>
        <v>45691</v>
      </c>
      <c r="O484" s="19" t="str">
        <f t="shared" si="115"/>
        <v/>
      </c>
      <c r="P484" s="5">
        <f t="shared" si="116"/>
        <v>45706</v>
      </c>
      <c r="R484" s="19" t="str">
        <f t="shared" si="117"/>
        <v/>
      </c>
      <c r="S484" s="5">
        <f t="shared" si="127"/>
        <v>45711</v>
      </c>
      <c r="T484" s="4">
        <v>45720</v>
      </c>
      <c r="U484" s="19">
        <f t="shared" si="118"/>
        <v>-9</v>
      </c>
      <c r="V484" s="5">
        <f t="shared" si="119"/>
        <v>45750</v>
      </c>
      <c r="W484" s="4">
        <v>45754</v>
      </c>
      <c r="X484" s="19">
        <f t="shared" si="120"/>
        <v>-4</v>
      </c>
      <c r="Y484" s="51">
        <f t="shared" si="121"/>
        <v>45775</v>
      </c>
      <c r="Z484" s="4">
        <v>45762</v>
      </c>
      <c r="AA484" s="49">
        <f t="shared" si="122"/>
        <v>13</v>
      </c>
      <c r="AB484" s="51">
        <f t="shared" si="123"/>
        <v>45780</v>
      </c>
      <c r="AC484" s="49">
        <f t="shared" si="124"/>
        <v>18</v>
      </c>
      <c r="AD484" s="43">
        <f t="shared" si="125"/>
        <v>45780</v>
      </c>
      <c r="AE484" s="4">
        <v>45762</v>
      </c>
      <c r="AF484" s="19">
        <f t="shared" si="126"/>
        <v>18</v>
      </c>
      <c r="AG484" s="67"/>
      <c r="AH484" s="2"/>
      <c r="AI484" s="2"/>
      <c r="AJ484" s="2"/>
      <c r="AK484" s="2"/>
      <c r="AL484" s="2"/>
    </row>
    <row r="485" spans="1:38" ht="14.45">
      <c r="A485" s="156">
        <v>484</v>
      </c>
      <c r="B485" s="59">
        <v>45780</v>
      </c>
      <c r="C485" s="34" t="s">
        <v>967</v>
      </c>
      <c r="D485" s="23" t="s">
        <v>968</v>
      </c>
      <c r="E485" s="23">
        <v>4842.8100000000004</v>
      </c>
      <c r="F485" s="23" t="s">
        <v>969</v>
      </c>
      <c r="G485" s="23" t="s">
        <v>35</v>
      </c>
      <c r="H485" s="23" t="s">
        <v>36</v>
      </c>
      <c r="I485" s="23" t="s">
        <v>37</v>
      </c>
      <c r="J485" s="97">
        <f t="shared" si="112"/>
        <v>45680</v>
      </c>
      <c r="L485" s="19" t="str">
        <f t="shared" si="113"/>
        <v/>
      </c>
      <c r="M485" s="5">
        <f t="shared" si="114"/>
        <v>45691</v>
      </c>
      <c r="O485" s="19" t="str">
        <f t="shared" si="115"/>
        <v/>
      </c>
      <c r="P485" s="5">
        <f t="shared" si="116"/>
        <v>45706</v>
      </c>
      <c r="R485" s="19" t="str">
        <f t="shared" si="117"/>
        <v/>
      </c>
      <c r="S485" s="5">
        <f t="shared" si="127"/>
        <v>45711</v>
      </c>
      <c r="U485" s="19" t="str">
        <f t="shared" si="118"/>
        <v/>
      </c>
      <c r="V485" s="5">
        <f t="shared" si="119"/>
        <v>45750</v>
      </c>
      <c r="W485" s="4">
        <v>45758</v>
      </c>
      <c r="X485" s="19">
        <f t="shared" si="120"/>
        <v>-8</v>
      </c>
      <c r="Y485" s="51">
        <f t="shared" si="121"/>
        <v>45775</v>
      </c>
      <c r="Z485" s="4">
        <v>45779</v>
      </c>
      <c r="AA485" s="49">
        <f t="shared" si="122"/>
        <v>-4</v>
      </c>
      <c r="AB485" s="51">
        <f t="shared" si="123"/>
        <v>45780</v>
      </c>
      <c r="AC485" s="49">
        <f t="shared" si="124"/>
        <v>1</v>
      </c>
      <c r="AD485" s="43">
        <f t="shared" si="125"/>
        <v>45780</v>
      </c>
      <c r="AE485" s="4">
        <v>45779</v>
      </c>
      <c r="AF485" s="19">
        <f t="shared" si="126"/>
        <v>1</v>
      </c>
      <c r="AG485" s="67"/>
      <c r="AH485" s="2"/>
      <c r="AI485" s="2"/>
      <c r="AJ485" s="2"/>
      <c r="AK485" s="2"/>
      <c r="AL485" s="2"/>
    </row>
    <row r="486" spans="1:38" ht="14.45">
      <c r="A486" s="156">
        <v>485</v>
      </c>
      <c r="B486" s="59">
        <v>45780</v>
      </c>
      <c r="C486" s="34" t="s">
        <v>970</v>
      </c>
      <c r="D486" s="23" t="s">
        <v>971</v>
      </c>
      <c r="E486" s="23">
        <v>5367.22</v>
      </c>
      <c r="F486" s="23" t="s">
        <v>972</v>
      </c>
      <c r="G486" s="14" t="s">
        <v>35</v>
      </c>
      <c r="H486" s="23" t="s">
        <v>36</v>
      </c>
      <c r="I486" s="23" t="s">
        <v>93</v>
      </c>
      <c r="J486" s="97">
        <f t="shared" si="112"/>
        <v>45680</v>
      </c>
      <c r="L486" s="19" t="str">
        <f t="shared" si="113"/>
        <v/>
      </c>
      <c r="M486" s="5">
        <f t="shared" si="114"/>
        <v>45691</v>
      </c>
      <c r="O486" s="19" t="str">
        <f t="shared" si="115"/>
        <v/>
      </c>
      <c r="P486" s="5">
        <f t="shared" si="116"/>
        <v>45706</v>
      </c>
      <c r="R486" s="19" t="str">
        <f t="shared" si="117"/>
        <v/>
      </c>
      <c r="S486" s="5">
        <f t="shared" si="127"/>
        <v>45711</v>
      </c>
      <c r="U486" s="19" t="str">
        <f t="shared" si="118"/>
        <v/>
      </c>
      <c r="V486" s="5">
        <f t="shared" si="119"/>
        <v>45750</v>
      </c>
      <c r="W486" s="4">
        <v>45758</v>
      </c>
      <c r="X486" s="19">
        <f t="shared" si="120"/>
        <v>-8</v>
      </c>
      <c r="Y486" s="51">
        <f t="shared" si="121"/>
        <v>45775</v>
      </c>
      <c r="Z486" s="4">
        <v>45779</v>
      </c>
      <c r="AA486" s="49">
        <f t="shared" si="122"/>
        <v>-4</v>
      </c>
      <c r="AB486" s="51">
        <f t="shared" si="123"/>
        <v>45780</v>
      </c>
      <c r="AC486" s="49">
        <f t="shared" si="124"/>
        <v>1</v>
      </c>
      <c r="AD486" s="43">
        <f t="shared" si="125"/>
        <v>45780</v>
      </c>
      <c r="AE486" s="4">
        <v>45779</v>
      </c>
      <c r="AF486" s="19">
        <f t="shared" si="126"/>
        <v>1</v>
      </c>
      <c r="AG486" s="67"/>
      <c r="AH486" s="2"/>
      <c r="AI486" s="2"/>
      <c r="AJ486" s="2"/>
      <c r="AK486" s="2"/>
      <c r="AL486" s="2"/>
    </row>
    <row r="487" spans="1:38" ht="14.45">
      <c r="A487" s="156">
        <v>486</v>
      </c>
      <c r="B487" s="59">
        <v>45780</v>
      </c>
      <c r="C487" s="34" t="s">
        <v>973</v>
      </c>
      <c r="D487" s="23" t="s">
        <v>974</v>
      </c>
      <c r="E487" s="23">
        <v>69670.39</v>
      </c>
      <c r="F487" s="23" t="s">
        <v>975</v>
      </c>
      <c r="G487" s="14" t="s">
        <v>51</v>
      </c>
      <c r="H487" s="23" t="s">
        <v>40</v>
      </c>
      <c r="I487" s="23" t="s">
        <v>37</v>
      </c>
      <c r="J487" s="97">
        <f t="shared" si="112"/>
        <v>45680</v>
      </c>
      <c r="K487" s="4">
        <v>45692</v>
      </c>
      <c r="L487" s="19">
        <f t="shared" si="113"/>
        <v>-12</v>
      </c>
      <c r="M487" s="5">
        <f t="shared" si="114"/>
        <v>45691</v>
      </c>
      <c r="N487" s="4">
        <v>45719</v>
      </c>
      <c r="O487" s="19">
        <f t="shared" si="115"/>
        <v>-28</v>
      </c>
      <c r="P487" s="5">
        <f t="shared" si="116"/>
        <v>45706</v>
      </c>
      <c r="R487" s="19" t="str">
        <f t="shared" si="117"/>
        <v/>
      </c>
      <c r="S487" s="5">
        <f t="shared" si="127"/>
        <v>45711</v>
      </c>
      <c r="T487" s="4">
        <v>45701</v>
      </c>
      <c r="U487" s="19">
        <f t="shared" si="118"/>
        <v>10</v>
      </c>
      <c r="V487" s="5">
        <f t="shared" si="119"/>
        <v>45750</v>
      </c>
      <c r="W487" s="4">
        <v>45762</v>
      </c>
      <c r="X487" s="19">
        <f t="shared" si="120"/>
        <v>-12</v>
      </c>
      <c r="Y487" s="51">
        <f t="shared" si="121"/>
        <v>45775</v>
      </c>
      <c r="Z487" s="4">
        <v>45789</v>
      </c>
      <c r="AA487" s="49">
        <f t="shared" si="122"/>
        <v>-14</v>
      </c>
      <c r="AB487" s="51">
        <f t="shared" si="123"/>
        <v>45780</v>
      </c>
      <c r="AC487" s="49">
        <f t="shared" si="124"/>
        <v>-9</v>
      </c>
      <c r="AD487" s="43">
        <f t="shared" si="125"/>
        <v>45780</v>
      </c>
      <c r="AE487" s="4">
        <v>45789</v>
      </c>
      <c r="AF487" s="19">
        <f t="shared" si="126"/>
        <v>-9</v>
      </c>
      <c r="AG487" s="67"/>
      <c r="AH487" s="2"/>
      <c r="AI487" s="2"/>
      <c r="AJ487" s="2"/>
      <c r="AK487" s="2"/>
      <c r="AL487" s="2"/>
    </row>
    <row r="488" spans="1:38" ht="14.45">
      <c r="A488" s="156">
        <v>487</v>
      </c>
      <c r="B488" s="59">
        <v>45780</v>
      </c>
      <c r="C488" s="34" t="s">
        <v>976</v>
      </c>
      <c r="D488" s="23" t="s">
        <v>977</v>
      </c>
      <c r="E488" s="23">
        <v>1144</v>
      </c>
      <c r="F488" s="23" t="s">
        <v>978</v>
      </c>
      <c r="G488" s="14" t="s">
        <v>46</v>
      </c>
      <c r="H488" s="23" t="s">
        <v>40</v>
      </c>
      <c r="I488" s="23" t="s">
        <v>229</v>
      </c>
      <c r="J488" s="97">
        <f t="shared" si="112"/>
        <v>45680</v>
      </c>
      <c r="K488" s="4">
        <v>45705</v>
      </c>
      <c r="L488" s="19">
        <f t="shared" si="113"/>
        <v>-25</v>
      </c>
      <c r="M488" s="5">
        <f t="shared" si="114"/>
        <v>45691</v>
      </c>
      <c r="O488" s="19" t="str">
        <f t="shared" si="115"/>
        <v/>
      </c>
      <c r="P488" s="5">
        <f t="shared" si="116"/>
        <v>45706</v>
      </c>
      <c r="R488" s="19" t="str">
        <f t="shared" si="117"/>
        <v/>
      </c>
      <c r="S488" s="5">
        <f t="shared" si="127"/>
        <v>45711</v>
      </c>
      <c r="T488" s="4">
        <v>45728</v>
      </c>
      <c r="U488" s="19">
        <f t="shared" si="118"/>
        <v>-17</v>
      </c>
      <c r="V488" s="5">
        <f t="shared" si="119"/>
        <v>45750</v>
      </c>
      <c r="W488" s="4">
        <v>45750</v>
      </c>
      <c r="X488" s="19">
        <f t="shared" si="120"/>
        <v>0</v>
      </c>
      <c r="Y488" s="51">
        <f t="shared" si="121"/>
        <v>45775</v>
      </c>
      <c r="Z488" s="4">
        <v>45769</v>
      </c>
      <c r="AA488" s="49">
        <f t="shared" si="122"/>
        <v>6</v>
      </c>
      <c r="AB488" s="51">
        <f t="shared" si="123"/>
        <v>45780</v>
      </c>
      <c r="AC488" s="49">
        <f t="shared" si="124"/>
        <v>11</v>
      </c>
      <c r="AD488" s="43">
        <f t="shared" si="125"/>
        <v>45780</v>
      </c>
      <c r="AE488" s="4">
        <v>45769</v>
      </c>
      <c r="AF488" s="19">
        <f t="shared" si="126"/>
        <v>11</v>
      </c>
      <c r="AG488" s="67"/>
      <c r="AH488" s="2"/>
      <c r="AI488" s="2"/>
      <c r="AJ488" s="2"/>
      <c r="AK488" s="2"/>
      <c r="AL488" s="2"/>
    </row>
    <row r="489" spans="1:38" ht="14.45">
      <c r="A489" s="156">
        <v>488</v>
      </c>
      <c r="B489" s="59">
        <v>45781</v>
      </c>
      <c r="C489" s="34" t="s">
        <v>979</v>
      </c>
      <c r="D489" s="23" t="s">
        <v>980</v>
      </c>
      <c r="E489" s="23">
        <v>79.23</v>
      </c>
      <c r="F489" s="23" t="s">
        <v>981</v>
      </c>
      <c r="G489" s="23" t="s">
        <v>35</v>
      </c>
      <c r="H489" s="23" t="s">
        <v>40</v>
      </c>
      <c r="I489" s="23" t="s">
        <v>93</v>
      </c>
      <c r="J489" s="97">
        <f t="shared" si="112"/>
        <v>45681</v>
      </c>
      <c r="L489" s="19" t="str">
        <f t="shared" si="113"/>
        <v/>
      </c>
      <c r="M489" s="5">
        <f t="shared" si="114"/>
        <v>45692</v>
      </c>
      <c r="O489" s="19" t="str">
        <f t="shared" si="115"/>
        <v/>
      </c>
      <c r="P489" s="5">
        <f t="shared" si="116"/>
        <v>45707</v>
      </c>
      <c r="R489" s="19" t="str">
        <f t="shared" si="117"/>
        <v/>
      </c>
      <c r="S489" s="5">
        <f t="shared" si="127"/>
        <v>45712</v>
      </c>
      <c r="U489" s="19" t="str">
        <f t="shared" si="118"/>
        <v/>
      </c>
      <c r="V489" s="5">
        <f t="shared" si="119"/>
        <v>45751</v>
      </c>
      <c r="W489" s="4">
        <v>45758</v>
      </c>
      <c r="X489" s="19">
        <f t="shared" si="120"/>
        <v>-7</v>
      </c>
      <c r="Y489" s="51">
        <f t="shared" si="121"/>
        <v>45776</v>
      </c>
      <c r="Z489" s="4">
        <v>45777</v>
      </c>
      <c r="AA489" s="49">
        <f t="shared" si="122"/>
        <v>-1</v>
      </c>
      <c r="AB489" s="51">
        <f t="shared" si="123"/>
        <v>45781</v>
      </c>
      <c r="AC489" s="49">
        <f t="shared" si="124"/>
        <v>4</v>
      </c>
      <c r="AD489" s="43">
        <f t="shared" si="125"/>
        <v>45781</v>
      </c>
      <c r="AE489" s="4">
        <v>45777</v>
      </c>
      <c r="AF489" s="19">
        <f t="shared" si="126"/>
        <v>4</v>
      </c>
      <c r="AG489" s="67"/>
      <c r="AH489" s="2"/>
      <c r="AI489" s="2"/>
      <c r="AJ489" s="2"/>
      <c r="AK489" s="2"/>
      <c r="AL489" s="2"/>
    </row>
    <row r="490" spans="1:38" ht="14.45">
      <c r="A490" s="156">
        <v>489</v>
      </c>
      <c r="B490" s="59">
        <v>45781</v>
      </c>
      <c r="C490" s="34" t="s">
        <v>982</v>
      </c>
      <c r="D490" s="23" t="s">
        <v>983</v>
      </c>
      <c r="E490" s="23">
        <v>653.13</v>
      </c>
      <c r="F490" s="23" t="s">
        <v>984</v>
      </c>
      <c r="G490" s="10" t="s">
        <v>120</v>
      </c>
      <c r="H490" s="23" t="s">
        <v>40</v>
      </c>
      <c r="I490" s="23" t="s">
        <v>41</v>
      </c>
      <c r="J490" s="97">
        <f t="shared" si="112"/>
        <v>45681</v>
      </c>
      <c r="L490" s="19" t="str">
        <f t="shared" si="113"/>
        <v/>
      </c>
      <c r="M490" s="5">
        <f t="shared" si="114"/>
        <v>45692</v>
      </c>
      <c r="O490" s="19" t="str">
        <f t="shared" si="115"/>
        <v/>
      </c>
      <c r="P490" s="5">
        <f t="shared" si="116"/>
        <v>45707</v>
      </c>
      <c r="R490" s="19" t="str">
        <f t="shared" si="117"/>
        <v/>
      </c>
      <c r="S490" s="5">
        <f t="shared" si="127"/>
        <v>45712</v>
      </c>
      <c r="T490" s="4">
        <v>45755</v>
      </c>
      <c r="U490" s="19">
        <f t="shared" si="118"/>
        <v>-43</v>
      </c>
      <c r="V490" s="5">
        <f t="shared" si="119"/>
        <v>45751</v>
      </c>
      <c r="W490" s="4">
        <v>45755</v>
      </c>
      <c r="X490" s="19">
        <f t="shared" si="120"/>
        <v>-4</v>
      </c>
      <c r="Y490" s="51">
        <f t="shared" si="121"/>
        <v>45776</v>
      </c>
      <c r="Z490" s="4">
        <v>45770</v>
      </c>
      <c r="AA490" s="49">
        <f t="shared" si="122"/>
        <v>6</v>
      </c>
      <c r="AB490" s="51">
        <f t="shared" si="123"/>
        <v>45781</v>
      </c>
      <c r="AC490" s="49">
        <f t="shared" si="124"/>
        <v>11</v>
      </c>
      <c r="AD490" s="43">
        <f t="shared" si="125"/>
        <v>45781</v>
      </c>
      <c r="AE490" s="4">
        <v>45770</v>
      </c>
      <c r="AF490" s="19">
        <f t="shared" si="126"/>
        <v>11</v>
      </c>
      <c r="AG490" s="67"/>
      <c r="AH490" s="2"/>
      <c r="AI490" s="2"/>
      <c r="AJ490" s="2"/>
      <c r="AK490" s="2"/>
      <c r="AL490" s="2"/>
    </row>
    <row r="491" spans="1:38" ht="14.45">
      <c r="A491" s="156">
        <v>490</v>
      </c>
      <c r="B491" s="59">
        <v>45781</v>
      </c>
      <c r="C491" s="34" t="s">
        <v>985</v>
      </c>
      <c r="D491" s="23" t="s">
        <v>983</v>
      </c>
      <c r="E491" s="23">
        <v>627.16</v>
      </c>
      <c r="F491" s="23" t="s">
        <v>986</v>
      </c>
      <c r="G491" s="14" t="s">
        <v>120</v>
      </c>
      <c r="H491" s="23" t="s">
        <v>40</v>
      </c>
      <c r="I491" s="23" t="s">
        <v>37</v>
      </c>
      <c r="J491" s="97">
        <f t="shared" si="112"/>
        <v>45681</v>
      </c>
      <c r="L491" s="19" t="str">
        <f t="shared" si="113"/>
        <v/>
      </c>
      <c r="M491" s="5">
        <f t="shared" si="114"/>
        <v>45692</v>
      </c>
      <c r="O491" s="19" t="str">
        <f t="shared" si="115"/>
        <v/>
      </c>
      <c r="P491" s="5">
        <f t="shared" si="116"/>
        <v>45707</v>
      </c>
      <c r="R491" s="19" t="str">
        <f t="shared" si="117"/>
        <v/>
      </c>
      <c r="S491" s="5">
        <f t="shared" si="127"/>
        <v>45712</v>
      </c>
      <c r="T491" s="4">
        <v>45701</v>
      </c>
      <c r="U491" s="19">
        <f t="shared" si="118"/>
        <v>11</v>
      </c>
      <c r="V491" s="5">
        <f t="shared" si="119"/>
        <v>45751</v>
      </c>
      <c r="W491" s="4">
        <v>45755</v>
      </c>
      <c r="X491" s="19">
        <f t="shared" si="120"/>
        <v>-4</v>
      </c>
      <c r="Y491" s="51">
        <f t="shared" si="121"/>
        <v>45776</v>
      </c>
      <c r="Z491" s="4">
        <v>45770</v>
      </c>
      <c r="AA491" s="49">
        <f t="shared" si="122"/>
        <v>6</v>
      </c>
      <c r="AB491" s="51">
        <f t="shared" si="123"/>
        <v>45781</v>
      </c>
      <c r="AC491" s="49">
        <f t="shared" si="124"/>
        <v>11</v>
      </c>
      <c r="AD491" s="43">
        <f t="shared" si="125"/>
        <v>45781</v>
      </c>
      <c r="AE491" s="4">
        <v>45770</v>
      </c>
      <c r="AF491" s="19">
        <f t="shared" si="126"/>
        <v>11</v>
      </c>
      <c r="AG491" s="67"/>
      <c r="AH491" s="2"/>
      <c r="AI491" s="2"/>
      <c r="AJ491" s="2"/>
      <c r="AK491" s="2"/>
      <c r="AL491" s="2"/>
    </row>
    <row r="492" spans="1:38" ht="14.45">
      <c r="A492" s="156">
        <v>491</v>
      </c>
      <c r="B492" s="59">
        <v>45781</v>
      </c>
      <c r="C492" s="34" t="s">
        <v>987</v>
      </c>
      <c r="D492" s="23" t="s">
        <v>988</v>
      </c>
      <c r="E492" s="23">
        <v>202.71</v>
      </c>
      <c r="F492" s="23" t="s">
        <v>989</v>
      </c>
      <c r="G492" s="14" t="s">
        <v>120</v>
      </c>
      <c r="H492" s="23" t="s">
        <v>40</v>
      </c>
      <c r="I492" s="23" t="s">
        <v>37</v>
      </c>
      <c r="J492" s="97">
        <f t="shared" si="112"/>
        <v>45681</v>
      </c>
      <c r="L492" s="19" t="str">
        <f t="shared" si="113"/>
        <v/>
      </c>
      <c r="M492" s="5">
        <f t="shared" si="114"/>
        <v>45692</v>
      </c>
      <c r="O492" s="19" t="str">
        <f t="shared" si="115"/>
        <v/>
      </c>
      <c r="P492" s="5">
        <f t="shared" si="116"/>
        <v>45707</v>
      </c>
      <c r="R492" s="19" t="str">
        <f t="shared" si="117"/>
        <v/>
      </c>
      <c r="S492" s="5">
        <f t="shared" si="127"/>
        <v>45712</v>
      </c>
      <c r="T492" s="4">
        <v>45701</v>
      </c>
      <c r="U492" s="19">
        <f t="shared" si="118"/>
        <v>11</v>
      </c>
      <c r="V492" s="5">
        <f t="shared" si="119"/>
        <v>45751</v>
      </c>
      <c r="W492" s="4">
        <v>45755</v>
      </c>
      <c r="X492" s="19">
        <f t="shared" si="120"/>
        <v>-4</v>
      </c>
      <c r="Y492" s="51">
        <f t="shared" si="121"/>
        <v>45776</v>
      </c>
      <c r="Z492" s="4">
        <v>45779</v>
      </c>
      <c r="AA492" s="49">
        <f t="shared" si="122"/>
        <v>-3</v>
      </c>
      <c r="AB492" s="51">
        <f t="shared" si="123"/>
        <v>45781</v>
      </c>
      <c r="AC492" s="49">
        <f t="shared" si="124"/>
        <v>2</v>
      </c>
      <c r="AD492" s="43">
        <f t="shared" si="125"/>
        <v>45781</v>
      </c>
      <c r="AE492" s="4">
        <v>45779</v>
      </c>
      <c r="AF492" s="19">
        <f t="shared" si="126"/>
        <v>2</v>
      </c>
      <c r="AG492" s="67"/>
      <c r="AH492" s="2"/>
      <c r="AI492" s="2"/>
      <c r="AJ492" s="2"/>
      <c r="AK492" s="2"/>
      <c r="AL492" s="2"/>
    </row>
    <row r="493" spans="1:38" ht="14.45">
      <c r="A493" s="156">
        <v>492</v>
      </c>
      <c r="B493" s="59">
        <v>45781</v>
      </c>
      <c r="C493" s="34" t="s">
        <v>990</v>
      </c>
      <c r="D493" s="23" t="s">
        <v>991</v>
      </c>
      <c r="E493" s="23">
        <v>65833.919999999998</v>
      </c>
      <c r="F493" s="23" t="s">
        <v>992</v>
      </c>
      <c r="G493" s="14" t="s">
        <v>46</v>
      </c>
      <c r="H493" s="23" t="s">
        <v>40</v>
      </c>
      <c r="I493" s="23" t="s">
        <v>62</v>
      </c>
      <c r="J493" s="97">
        <f t="shared" si="112"/>
        <v>45681</v>
      </c>
      <c r="K493" s="4">
        <v>45692</v>
      </c>
      <c r="L493" s="19">
        <f t="shared" si="113"/>
        <v>-11</v>
      </c>
      <c r="M493" s="5">
        <f t="shared" si="114"/>
        <v>45692</v>
      </c>
      <c r="N493" s="4">
        <v>45645</v>
      </c>
      <c r="O493" s="19">
        <f t="shared" si="115"/>
        <v>47</v>
      </c>
      <c r="P493" s="5">
        <f t="shared" si="116"/>
        <v>45707</v>
      </c>
      <c r="R493" s="19" t="str">
        <f t="shared" si="117"/>
        <v/>
      </c>
      <c r="S493" s="5">
        <f t="shared" si="127"/>
        <v>45712</v>
      </c>
      <c r="T493" s="4">
        <v>45645</v>
      </c>
      <c r="U493" s="19">
        <f t="shared" si="118"/>
        <v>67</v>
      </c>
      <c r="V493" s="5">
        <f t="shared" si="119"/>
        <v>45751</v>
      </c>
      <c r="W493" s="4">
        <v>45702</v>
      </c>
      <c r="X493" s="19">
        <f t="shared" si="120"/>
        <v>49</v>
      </c>
      <c r="Y493" s="51">
        <f t="shared" si="121"/>
        <v>45776</v>
      </c>
      <c r="Z493" s="4">
        <v>45721</v>
      </c>
      <c r="AA493" s="49">
        <f t="shared" si="122"/>
        <v>55</v>
      </c>
      <c r="AB493" s="51">
        <f t="shared" si="123"/>
        <v>45781</v>
      </c>
      <c r="AC493" s="49">
        <f t="shared" si="124"/>
        <v>60</v>
      </c>
      <c r="AD493" s="43">
        <f t="shared" si="125"/>
        <v>45781</v>
      </c>
      <c r="AE493" s="4">
        <v>45721</v>
      </c>
      <c r="AF493" s="19">
        <f t="shared" si="126"/>
        <v>60</v>
      </c>
      <c r="AG493" s="67"/>
      <c r="AH493" s="2"/>
      <c r="AI493" s="2"/>
      <c r="AJ493" s="2"/>
      <c r="AK493" s="2"/>
      <c r="AL493" s="2"/>
    </row>
    <row r="494" spans="1:38" ht="14.45">
      <c r="A494" s="156">
        <v>493</v>
      </c>
      <c r="B494" s="59">
        <v>45782</v>
      </c>
      <c r="C494" s="34" t="s">
        <v>993</v>
      </c>
      <c r="D494" s="23" t="s">
        <v>227</v>
      </c>
      <c r="E494" s="23">
        <v>144.38999999999999</v>
      </c>
      <c r="F494" s="23" t="s">
        <v>994</v>
      </c>
      <c r="G494" s="10" t="s">
        <v>120</v>
      </c>
      <c r="H494" s="23" t="s">
        <v>40</v>
      </c>
      <c r="I494" s="23" t="s">
        <v>41</v>
      </c>
      <c r="J494" s="97">
        <f t="shared" si="112"/>
        <v>45682</v>
      </c>
      <c r="L494" s="19" t="str">
        <f t="shared" si="113"/>
        <v/>
      </c>
      <c r="M494" s="5">
        <f t="shared" si="114"/>
        <v>45693</v>
      </c>
      <c r="O494" s="19" t="str">
        <f t="shared" si="115"/>
        <v/>
      </c>
      <c r="P494" s="5">
        <f t="shared" si="116"/>
        <v>45708</v>
      </c>
      <c r="R494" s="19" t="str">
        <f t="shared" si="117"/>
        <v/>
      </c>
      <c r="S494" s="5">
        <f t="shared" si="127"/>
        <v>45713</v>
      </c>
      <c r="T494" s="4">
        <v>45755</v>
      </c>
      <c r="U494" s="19">
        <f t="shared" si="118"/>
        <v>-42</v>
      </c>
      <c r="V494" s="5">
        <f t="shared" si="119"/>
        <v>45752</v>
      </c>
      <c r="W494" s="4">
        <v>45755</v>
      </c>
      <c r="X494" s="19">
        <f t="shared" si="120"/>
        <v>-3</v>
      </c>
      <c r="Y494" s="51">
        <f t="shared" si="121"/>
        <v>45777</v>
      </c>
      <c r="Z494" s="4">
        <v>45770</v>
      </c>
      <c r="AA494" s="49">
        <f t="shared" si="122"/>
        <v>7</v>
      </c>
      <c r="AB494" s="51">
        <f t="shared" si="123"/>
        <v>45782</v>
      </c>
      <c r="AC494" s="49">
        <f t="shared" si="124"/>
        <v>12</v>
      </c>
      <c r="AD494" s="43">
        <f t="shared" si="125"/>
        <v>45782</v>
      </c>
      <c r="AE494" s="4">
        <v>45770</v>
      </c>
      <c r="AF494" s="19">
        <f t="shared" si="126"/>
        <v>12</v>
      </c>
      <c r="AG494" s="67"/>
      <c r="AH494" s="2"/>
      <c r="AI494" s="2"/>
      <c r="AJ494" s="2"/>
      <c r="AK494" s="2"/>
      <c r="AL494" s="2"/>
    </row>
    <row r="495" spans="1:38" ht="14.45">
      <c r="A495" s="156">
        <v>494</v>
      </c>
      <c r="B495" s="59">
        <v>45782</v>
      </c>
      <c r="C495" s="34" t="s">
        <v>995</v>
      </c>
      <c r="D495" s="23" t="s">
        <v>38</v>
      </c>
      <c r="E495" s="23">
        <v>46.51</v>
      </c>
      <c r="F495" s="23" t="s">
        <v>996</v>
      </c>
      <c r="G495" s="14" t="s">
        <v>190</v>
      </c>
      <c r="H495" s="23" t="s">
        <v>40</v>
      </c>
      <c r="I495" s="23" t="s">
        <v>41</v>
      </c>
      <c r="J495" s="97">
        <f t="shared" si="112"/>
        <v>45682</v>
      </c>
      <c r="L495" s="19" t="str">
        <f t="shared" si="113"/>
        <v/>
      </c>
      <c r="M495" s="5">
        <f t="shared" si="114"/>
        <v>45693</v>
      </c>
      <c r="N495" s="4">
        <v>45770</v>
      </c>
      <c r="O495" s="19">
        <f t="shared" si="115"/>
        <v>-77</v>
      </c>
      <c r="P495" s="5">
        <f t="shared" si="116"/>
        <v>45708</v>
      </c>
      <c r="Q495" s="4">
        <v>45777</v>
      </c>
      <c r="R495" s="19">
        <f t="shared" si="117"/>
        <v>-69</v>
      </c>
      <c r="S495" s="5">
        <f t="shared" si="127"/>
        <v>45713</v>
      </c>
      <c r="T495" s="4">
        <v>45778</v>
      </c>
      <c r="U495" s="19">
        <f t="shared" si="118"/>
        <v>-65</v>
      </c>
      <c r="V495" s="5">
        <f t="shared" si="119"/>
        <v>45752</v>
      </c>
      <c r="W495" s="4">
        <v>45778</v>
      </c>
      <c r="X495" s="19">
        <f t="shared" si="120"/>
        <v>-26</v>
      </c>
      <c r="Y495" s="51">
        <f t="shared" si="121"/>
        <v>45777</v>
      </c>
      <c r="Z495" s="4">
        <v>45793</v>
      </c>
      <c r="AA495" s="49">
        <f t="shared" si="122"/>
        <v>-16</v>
      </c>
      <c r="AB495" s="51">
        <f t="shared" si="123"/>
        <v>45782</v>
      </c>
      <c r="AC495" s="49">
        <f t="shared" si="124"/>
        <v>-11</v>
      </c>
      <c r="AD495" s="43">
        <f t="shared" si="125"/>
        <v>45782</v>
      </c>
      <c r="AE495" s="4">
        <v>45793</v>
      </c>
      <c r="AF495" s="19">
        <f t="shared" si="126"/>
        <v>-11</v>
      </c>
      <c r="AG495" s="67"/>
      <c r="AH495" s="2"/>
      <c r="AI495" s="2"/>
      <c r="AJ495" s="2"/>
      <c r="AK495" s="2"/>
      <c r="AL495" s="2"/>
    </row>
    <row r="496" spans="1:38" ht="14.45">
      <c r="A496" s="156">
        <v>495</v>
      </c>
      <c r="B496" s="59">
        <v>45783</v>
      </c>
      <c r="C496" s="34" t="s">
        <v>997</v>
      </c>
      <c r="D496" s="23" t="s">
        <v>998</v>
      </c>
      <c r="E496" s="23">
        <v>281730.42</v>
      </c>
      <c r="F496" s="23" t="s">
        <v>999</v>
      </c>
      <c r="G496" s="14" t="s">
        <v>35</v>
      </c>
      <c r="H496" s="23" t="s">
        <v>36</v>
      </c>
      <c r="I496" s="23" t="s">
        <v>52</v>
      </c>
      <c r="J496" s="97">
        <f t="shared" si="112"/>
        <v>45683</v>
      </c>
      <c r="L496" s="19" t="str">
        <f t="shared" si="113"/>
        <v/>
      </c>
      <c r="M496" s="5">
        <f t="shared" si="114"/>
        <v>45694</v>
      </c>
      <c r="N496" s="4">
        <v>45730</v>
      </c>
      <c r="O496" s="19">
        <f t="shared" si="115"/>
        <v>-36</v>
      </c>
      <c r="P496" s="5">
        <f t="shared" si="116"/>
        <v>45709</v>
      </c>
      <c r="R496" s="19" t="str">
        <f t="shared" si="117"/>
        <v/>
      </c>
      <c r="S496" s="5">
        <f t="shared" si="127"/>
        <v>45714</v>
      </c>
      <c r="U496" s="19" t="str">
        <f t="shared" si="118"/>
        <v/>
      </c>
      <c r="V496" s="5">
        <f t="shared" si="119"/>
        <v>45753</v>
      </c>
      <c r="W496" s="4">
        <v>45761</v>
      </c>
      <c r="X496" s="19">
        <f t="shared" si="120"/>
        <v>-8</v>
      </c>
      <c r="Y496" s="51">
        <f t="shared" si="121"/>
        <v>45778</v>
      </c>
      <c r="AA496" s="49" t="str">
        <f t="shared" si="122"/>
        <v/>
      </c>
      <c r="AB496" s="51">
        <f t="shared" si="123"/>
        <v>45783</v>
      </c>
      <c r="AC496" s="49" t="str">
        <f t="shared" si="124"/>
        <v/>
      </c>
      <c r="AD496" s="43">
        <f t="shared" si="125"/>
        <v>45783</v>
      </c>
      <c r="AF496" s="19" t="str">
        <f t="shared" si="126"/>
        <v/>
      </c>
      <c r="AG496" s="67"/>
      <c r="AH496" s="2"/>
      <c r="AI496" s="2"/>
      <c r="AJ496" s="2"/>
      <c r="AK496" s="2"/>
      <c r="AL496" s="2"/>
    </row>
    <row r="497" spans="1:38" ht="14.45">
      <c r="A497" s="156">
        <v>496</v>
      </c>
      <c r="B497" s="59">
        <v>45783</v>
      </c>
      <c r="C497" s="34" t="s">
        <v>1000</v>
      </c>
      <c r="D497" s="23" t="s">
        <v>1001</v>
      </c>
      <c r="E497" s="23">
        <v>1762.07</v>
      </c>
      <c r="F497" s="23" t="s">
        <v>1002</v>
      </c>
      <c r="G497" s="14" t="s">
        <v>190</v>
      </c>
      <c r="H497" s="23" t="s">
        <v>40</v>
      </c>
      <c r="I497" s="23" t="s">
        <v>93</v>
      </c>
      <c r="J497" s="97">
        <f t="shared" si="112"/>
        <v>45683</v>
      </c>
      <c r="K497" s="4">
        <v>45712</v>
      </c>
      <c r="L497" s="19">
        <f t="shared" si="113"/>
        <v>-29</v>
      </c>
      <c r="M497" s="5">
        <f t="shared" si="114"/>
        <v>45694</v>
      </c>
      <c r="O497" s="19" t="str">
        <f t="shared" si="115"/>
        <v/>
      </c>
      <c r="P497" s="5">
        <f t="shared" si="116"/>
        <v>45709</v>
      </c>
      <c r="R497" s="19" t="str">
        <f t="shared" si="117"/>
        <v/>
      </c>
      <c r="S497" s="5">
        <f t="shared" si="127"/>
        <v>45714</v>
      </c>
      <c r="T497" s="4">
        <v>45720</v>
      </c>
      <c r="U497" s="19">
        <f t="shared" si="118"/>
        <v>-6</v>
      </c>
      <c r="V497" s="5">
        <f t="shared" si="119"/>
        <v>45753</v>
      </c>
      <c r="W497" s="4">
        <v>45758</v>
      </c>
      <c r="X497" s="19">
        <f t="shared" si="120"/>
        <v>-5</v>
      </c>
      <c r="Y497" s="51">
        <f t="shared" si="121"/>
        <v>45778</v>
      </c>
      <c r="Z497" s="4">
        <v>45758</v>
      </c>
      <c r="AA497" s="49">
        <f t="shared" si="122"/>
        <v>20</v>
      </c>
      <c r="AB497" s="51">
        <f t="shared" si="123"/>
        <v>45783</v>
      </c>
      <c r="AC497" s="49">
        <f t="shared" si="124"/>
        <v>25</v>
      </c>
      <c r="AD497" s="43">
        <f t="shared" si="125"/>
        <v>45783</v>
      </c>
      <c r="AE497" s="4">
        <v>45758</v>
      </c>
      <c r="AF497" s="19">
        <f t="shared" si="126"/>
        <v>25</v>
      </c>
      <c r="AG497" s="67"/>
      <c r="AH497" s="2"/>
      <c r="AI497" s="2"/>
      <c r="AJ497" s="2"/>
      <c r="AK497" s="2"/>
      <c r="AL497" s="2"/>
    </row>
    <row r="498" spans="1:38" ht="14.45">
      <c r="A498" s="156">
        <v>497</v>
      </c>
      <c r="B498" s="59">
        <v>45783</v>
      </c>
      <c r="C498" s="34" t="s">
        <v>1003</v>
      </c>
      <c r="D498" s="23" t="s">
        <v>1001</v>
      </c>
      <c r="E498" s="23">
        <v>964.03</v>
      </c>
      <c r="F498" s="23" t="s">
        <v>1004</v>
      </c>
      <c r="G498" s="23" t="s">
        <v>190</v>
      </c>
      <c r="H498" s="23" t="s">
        <v>40</v>
      </c>
      <c r="I498" s="23" t="s">
        <v>41</v>
      </c>
      <c r="J498" s="97">
        <f t="shared" si="112"/>
        <v>45683</v>
      </c>
      <c r="K498" s="4">
        <v>45712</v>
      </c>
      <c r="L498" s="19">
        <f t="shared" si="113"/>
        <v>-29</v>
      </c>
      <c r="M498" s="5">
        <f t="shared" si="114"/>
        <v>45694</v>
      </c>
      <c r="O498" s="19" t="str">
        <f t="shared" si="115"/>
        <v/>
      </c>
      <c r="P498" s="5">
        <f t="shared" si="116"/>
        <v>45709</v>
      </c>
      <c r="R498" s="19" t="str">
        <f t="shared" si="117"/>
        <v/>
      </c>
      <c r="S498" s="5">
        <f t="shared" si="127"/>
        <v>45714</v>
      </c>
      <c r="T498" s="4">
        <v>45720</v>
      </c>
      <c r="U498" s="19">
        <f t="shared" si="118"/>
        <v>-6</v>
      </c>
      <c r="V498" s="5">
        <f t="shared" si="119"/>
        <v>45753</v>
      </c>
      <c r="W498" s="4">
        <v>45758</v>
      </c>
      <c r="X498" s="19">
        <f t="shared" si="120"/>
        <v>-5</v>
      </c>
      <c r="Y498" s="51">
        <f t="shared" si="121"/>
        <v>45778</v>
      </c>
      <c r="Z498" s="4">
        <v>45758</v>
      </c>
      <c r="AA498" s="49">
        <f t="shared" si="122"/>
        <v>20</v>
      </c>
      <c r="AB498" s="51">
        <f t="shared" si="123"/>
        <v>45783</v>
      </c>
      <c r="AC498" s="49">
        <f t="shared" si="124"/>
        <v>25</v>
      </c>
      <c r="AD498" s="43">
        <f t="shared" si="125"/>
        <v>45783</v>
      </c>
      <c r="AE498" s="4">
        <v>45758</v>
      </c>
      <c r="AF498" s="19">
        <f t="shared" si="126"/>
        <v>25</v>
      </c>
      <c r="AG498" s="67"/>
      <c r="AH498" s="2"/>
      <c r="AI498" s="2"/>
      <c r="AJ498" s="2"/>
      <c r="AK498" s="2"/>
      <c r="AL498" s="2"/>
    </row>
    <row r="499" spans="1:38" ht="14.45">
      <c r="A499" s="156">
        <v>498</v>
      </c>
      <c r="B499" s="59">
        <v>45783</v>
      </c>
      <c r="C499" s="34" t="s">
        <v>1005</v>
      </c>
      <c r="D499" s="23" t="s">
        <v>1001</v>
      </c>
      <c r="E499" s="23">
        <v>459.56</v>
      </c>
      <c r="F499" s="23" t="s">
        <v>1006</v>
      </c>
      <c r="G499" s="14" t="s">
        <v>190</v>
      </c>
      <c r="H499" s="23" t="s">
        <v>40</v>
      </c>
      <c r="I499" s="23" t="s">
        <v>121</v>
      </c>
      <c r="J499" s="97">
        <f t="shared" si="112"/>
        <v>45683</v>
      </c>
      <c r="K499" s="4">
        <v>45712</v>
      </c>
      <c r="L499" s="19">
        <f t="shared" si="113"/>
        <v>-29</v>
      </c>
      <c r="M499" s="5">
        <f t="shared" si="114"/>
        <v>45694</v>
      </c>
      <c r="O499" s="19" t="str">
        <f t="shared" si="115"/>
        <v/>
      </c>
      <c r="P499" s="5">
        <f t="shared" si="116"/>
        <v>45709</v>
      </c>
      <c r="R499" s="19" t="str">
        <f t="shared" si="117"/>
        <v/>
      </c>
      <c r="S499" s="5">
        <f t="shared" si="127"/>
        <v>45714</v>
      </c>
      <c r="T499" s="4">
        <v>45720</v>
      </c>
      <c r="U499" s="19">
        <f t="shared" si="118"/>
        <v>-6</v>
      </c>
      <c r="V499" s="5">
        <f t="shared" si="119"/>
        <v>45753</v>
      </c>
      <c r="W499" s="4">
        <v>45758</v>
      </c>
      <c r="X499" s="19">
        <f t="shared" si="120"/>
        <v>-5</v>
      </c>
      <c r="Y499" s="51">
        <f t="shared" si="121"/>
        <v>45778</v>
      </c>
      <c r="Z499" s="4">
        <v>45758</v>
      </c>
      <c r="AA499" s="49">
        <f t="shared" si="122"/>
        <v>20</v>
      </c>
      <c r="AB499" s="51">
        <f t="shared" si="123"/>
        <v>45783</v>
      </c>
      <c r="AC499" s="49">
        <f t="shared" si="124"/>
        <v>25</v>
      </c>
      <c r="AD499" s="43">
        <f t="shared" si="125"/>
        <v>45783</v>
      </c>
      <c r="AE499" s="4">
        <v>45758</v>
      </c>
      <c r="AF499" s="19">
        <f t="shared" si="126"/>
        <v>25</v>
      </c>
      <c r="AG499" s="67"/>
      <c r="AH499" s="2"/>
      <c r="AI499" s="2"/>
      <c r="AJ499" s="2"/>
      <c r="AK499" s="2"/>
      <c r="AL499" s="2"/>
    </row>
    <row r="500" spans="1:38" ht="14.45">
      <c r="A500" s="156">
        <v>499</v>
      </c>
      <c r="B500" s="59">
        <v>45784</v>
      </c>
      <c r="C500" s="34" t="s">
        <v>1007</v>
      </c>
      <c r="D500" s="23" t="s">
        <v>1008</v>
      </c>
      <c r="E500" s="23">
        <v>11084.93</v>
      </c>
      <c r="F500" s="23" t="s">
        <v>1009</v>
      </c>
      <c r="G500" s="23" t="s">
        <v>35</v>
      </c>
      <c r="H500" s="23" t="s">
        <v>36</v>
      </c>
      <c r="I500" s="23" t="s">
        <v>93</v>
      </c>
      <c r="J500" s="97">
        <f t="shared" si="112"/>
        <v>45684</v>
      </c>
      <c r="K500" s="4">
        <v>45692</v>
      </c>
      <c r="L500" s="19">
        <f t="shared" si="113"/>
        <v>-8</v>
      </c>
      <c r="M500" s="5">
        <f t="shared" si="114"/>
        <v>45695</v>
      </c>
      <c r="O500" s="19" t="str">
        <f t="shared" si="115"/>
        <v/>
      </c>
      <c r="P500" s="5">
        <f t="shared" si="116"/>
        <v>45710</v>
      </c>
      <c r="R500" s="19" t="str">
        <f t="shared" si="117"/>
        <v/>
      </c>
      <c r="S500" s="5">
        <f t="shared" si="127"/>
        <v>45715</v>
      </c>
      <c r="U500" s="19" t="str">
        <f t="shared" si="118"/>
        <v/>
      </c>
      <c r="V500" s="5">
        <f t="shared" si="119"/>
        <v>45754</v>
      </c>
      <c r="W500" s="4">
        <v>45759</v>
      </c>
      <c r="X500" s="19">
        <f t="shared" si="120"/>
        <v>-5</v>
      </c>
      <c r="Y500" s="51">
        <f t="shared" si="121"/>
        <v>45779</v>
      </c>
      <c r="Z500" s="4">
        <v>45790</v>
      </c>
      <c r="AA500" s="49">
        <f t="shared" si="122"/>
        <v>-11</v>
      </c>
      <c r="AB500" s="51">
        <f t="shared" si="123"/>
        <v>45784</v>
      </c>
      <c r="AC500" s="49">
        <f t="shared" si="124"/>
        <v>-6</v>
      </c>
      <c r="AD500" s="43">
        <f t="shared" si="125"/>
        <v>45784</v>
      </c>
      <c r="AE500" s="4">
        <v>45790</v>
      </c>
      <c r="AF500" s="19">
        <f t="shared" si="126"/>
        <v>-6</v>
      </c>
      <c r="AG500" s="67"/>
      <c r="AH500" s="2"/>
      <c r="AI500" s="2"/>
      <c r="AJ500" s="2"/>
      <c r="AK500" s="2"/>
      <c r="AL500" s="2"/>
    </row>
    <row r="501" spans="1:38" ht="14.45">
      <c r="A501" s="156">
        <v>500</v>
      </c>
      <c r="B501" s="59">
        <v>45784</v>
      </c>
      <c r="C501" s="34">
        <v>111630369</v>
      </c>
      <c r="D501" s="23" t="s">
        <v>1010</v>
      </c>
      <c r="E501" s="23">
        <v>15840.02</v>
      </c>
      <c r="F501" s="23" t="s">
        <v>1011</v>
      </c>
      <c r="G501" s="14" t="s">
        <v>35</v>
      </c>
      <c r="H501" s="23" t="s">
        <v>36</v>
      </c>
      <c r="I501" s="23" t="s">
        <v>93</v>
      </c>
      <c r="J501" s="97">
        <f t="shared" si="112"/>
        <v>45684</v>
      </c>
      <c r="L501" s="19" t="str">
        <f t="shared" si="113"/>
        <v/>
      </c>
      <c r="M501" s="5">
        <f t="shared" si="114"/>
        <v>45695</v>
      </c>
      <c r="O501" s="19" t="str">
        <f t="shared" si="115"/>
        <v/>
      </c>
      <c r="P501" s="5">
        <f t="shared" si="116"/>
        <v>45710</v>
      </c>
      <c r="R501" s="19" t="str">
        <f t="shared" si="117"/>
        <v/>
      </c>
      <c r="S501" s="5">
        <f t="shared" si="127"/>
        <v>45715</v>
      </c>
      <c r="U501" s="19" t="str">
        <f t="shared" si="118"/>
        <v/>
      </c>
      <c r="V501" s="5">
        <f t="shared" si="119"/>
        <v>45754</v>
      </c>
      <c r="W501" s="4">
        <v>45762</v>
      </c>
      <c r="X501" s="19">
        <f t="shared" si="120"/>
        <v>-8</v>
      </c>
      <c r="Y501" s="51">
        <f t="shared" si="121"/>
        <v>45779</v>
      </c>
      <c r="AA501" s="49" t="str">
        <f t="shared" si="122"/>
        <v/>
      </c>
      <c r="AB501" s="51">
        <f t="shared" si="123"/>
        <v>45784</v>
      </c>
      <c r="AC501" s="49" t="str">
        <f t="shared" si="124"/>
        <v/>
      </c>
      <c r="AD501" s="43">
        <f t="shared" si="125"/>
        <v>45784</v>
      </c>
      <c r="AF501" s="19" t="str">
        <f t="shared" si="126"/>
        <v/>
      </c>
      <c r="AG501" s="67"/>
      <c r="AH501" s="2"/>
      <c r="AI501" s="2"/>
      <c r="AJ501" s="2"/>
      <c r="AK501" s="2"/>
      <c r="AL501" s="2"/>
    </row>
    <row r="502" spans="1:38" ht="14.45">
      <c r="A502" s="156">
        <v>501</v>
      </c>
      <c r="B502" s="59">
        <v>45785</v>
      </c>
      <c r="C502" s="34" t="s">
        <v>1012</v>
      </c>
      <c r="D502" s="23" t="s">
        <v>1013</v>
      </c>
      <c r="E502" s="23">
        <v>36275.839999999997</v>
      </c>
      <c r="F502" s="23" t="s">
        <v>1014</v>
      </c>
      <c r="G502" s="14" t="s">
        <v>46</v>
      </c>
      <c r="H502" s="23" t="s">
        <v>36</v>
      </c>
      <c r="I502" s="23" t="s">
        <v>37</v>
      </c>
      <c r="J502" s="97">
        <f t="shared" si="112"/>
        <v>45685</v>
      </c>
      <c r="K502" s="4">
        <v>45705</v>
      </c>
      <c r="L502" s="19">
        <f t="shared" si="113"/>
        <v>-20</v>
      </c>
      <c r="M502" s="5">
        <f t="shared" si="114"/>
        <v>45696</v>
      </c>
      <c r="O502" s="19" t="str">
        <f t="shared" si="115"/>
        <v/>
      </c>
      <c r="P502" s="5">
        <f t="shared" si="116"/>
        <v>45711</v>
      </c>
      <c r="R502" s="19" t="str">
        <f t="shared" si="117"/>
        <v/>
      </c>
      <c r="S502" s="5">
        <f t="shared" si="127"/>
        <v>45716</v>
      </c>
      <c r="T502" s="4">
        <v>45720</v>
      </c>
      <c r="U502" s="19">
        <f t="shared" si="118"/>
        <v>-4</v>
      </c>
      <c r="V502" s="5">
        <f t="shared" si="119"/>
        <v>45755</v>
      </c>
      <c r="W502" s="4">
        <v>45756</v>
      </c>
      <c r="X502" s="19">
        <f t="shared" si="120"/>
        <v>-1</v>
      </c>
      <c r="Y502" s="51">
        <f t="shared" si="121"/>
        <v>45780</v>
      </c>
      <c r="Z502" s="4">
        <v>45799</v>
      </c>
      <c r="AA502" s="49">
        <f t="shared" si="122"/>
        <v>-19</v>
      </c>
      <c r="AB502" s="51">
        <f t="shared" si="123"/>
        <v>45785</v>
      </c>
      <c r="AC502" s="49">
        <f t="shared" si="124"/>
        <v>-14</v>
      </c>
      <c r="AD502" s="43">
        <f t="shared" si="125"/>
        <v>45785</v>
      </c>
      <c r="AE502" s="4">
        <v>45799</v>
      </c>
      <c r="AF502" s="19">
        <f t="shared" si="126"/>
        <v>-14</v>
      </c>
      <c r="AG502" s="67"/>
      <c r="AH502" s="2"/>
      <c r="AI502" s="2"/>
      <c r="AJ502" s="2"/>
      <c r="AK502" s="2"/>
      <c r="AL502" s="2"/>
    </row>
    <row r="503" spans="1:38" ht="14.45">
      <c r="A503" s="156">
        <v>502</v>
      </c>
      <c r="B503" s="59">
        <v>45785</v>
      </c>
      <c r="C503" s="34" t="s">
        <v>1015</v>
      </c>
      <c r="D503" s="23" t="s">
        <v>38</v>
      </c>
      <c r="E503" s="23">
        <v>1435.7</v>
      </c>
      <c r="F503" s="23" t="s">
        <v>1016</v>
      </c>
      <c r="G503" s="14" t="s">
        <v>190</v>
      </c>
      <c r="H503" s="23" t="s">
        <v>40</v>
      </c>
      <c r="I503" s="23" t="s">
        <v>41</v>
      </c>
      <c r="J503" s="97">
        <f t="shared" si="112"/>
        <v>45685</v>
      </c>
      <c r="L503" s="19" t="str">
        <f t="shared" si="113"/>
        <v/>
      </c>
      <c r="M503" s="5">
        <f t="shared" si="114"/>
        <v>45696</v>
      </c>
      <c r="N503" s="4">
        <v>45770</v>
      </c>
      <c r="O503" s="19">
        <f t="shared" si="115"/>
        <v>-74</v>
      </c>
      <c r="P503" s="5">
        <f t="shared" si="116"/>
        <v>45711</v>
      </c>
      <c r="Q503" s="4">
        <v>45777</v>
      </c>
      <c r="R503" s="19">
        <f t="shared" si="117"/>
        <v>-66</v>
      </c>
      <c r="S503" s="5">
        <f t="shared" si="127"/>
        <v>45716</v>
      </c>
      <c r="T503" s="4">
        <v>45778</v>
      </c>
      <c r="U503" s="19">
        <f t="shared" si="118"/>
        <v>-62</v>
      </c>
      <c r="V503" s="5">
        <f t="shared" si="119"/>
        <v>45755</v>
      </c>
      <c r="W503" s="4">
        <v>45778</v>
      </c>
      <c r="X503" s="19">
        <f t="shared" si="120"/>
        <v>-23</v>
      </c>
      <c r="Y503" s="51">
        <f t="shared" si="121"/>
        <v>45780</v>
      </c>
      <c r="Z503" s="4">
        <v>45793</v>
      </c>
      <c r="AA503" s="49">
        <f t="shared" si="122"/>
        <v>-13</v>
      </c>
      <c r="AB503" s="51">
        <f t="shared" si="123"/>
        <v>45785</v>
      </c>
      <c r="AC503" s="49">
        <f t="shared" si="124"/>
        <v>-8</v>
      </c>
      <c r="AD503" s="43">
        <f t="shared" si="125"/>
        <v>45785</v>
      </c>
      <c r="AE503" s="4">
        <v>45793</v>
      </c>
      <c r="AF503" s="19">
        <f t="shared" si="126"/>
        <v>-8</v>
      </c>
      <c r="AG503" s="67"/>
      <c r="AH503" s="2"/>
      <c r="AI503" s="2"/>
      <c r="AJ503" s="2"/>
      <c r="AK503" s="2"/>
      <c r="AL503" s="2"/>
    </row>
    <row r="504" spans="1:38" ht="14.45">
      <c r="A504" s="156">
        <v>503</v>
      </c>
      <c r="B504" s="59">
        <v>45785</v>
      </c>
      <c r="C504" s="34" t="s">
        <v>1017</v>
      </c>
      <c r="D504" s="23" t="s">
        <v>1018</v>
      </c>
      <c r="E504" s="23">
        <v>19506.66</v>
      </c>
      <c r="F504" s="23" t="s">
        <v>1019</v>
      </c>
      <c r="G504" s="14" t="s">
        <v>46</v>
      </c>
      <c r="H504" s="23" t="s">
        <v>40</v>
      </c>
      <c r="I504" s="23" t="s">
        <v>229</v>
      </c>
      <c r="J504" s="97">
        <f t="shared" si="112"/>
        <v>45685</v>
      </c>
      <c r="K504" s="4">
        <v>45705</v>
      </c>
      <c r="L504" s="19">
        <f t="shared" si="113"/>
        <v>-20</v>
      </c>
      <c r="M504" s="5">
        <f t="shared" si="114"/>
        <v>45696</v>
      </c>
      <c r="O504" s="19" t="str">
        <f t="shared" si="115"/>
        <v/>
      </c>
      <c r="P504" s="5">
        <f t="shared" si="116"/>
        <v>45711</v>
      </c>
      <c r="R504" s="19" t="str">
        <f t="shared" si="117"/>
        <v/>
      </c>
      <c r="S504" s="5">
        <f t="shared" si="127"/>
        <v>45716</v>
      </c>
      <c r="T504" s="4">
        <v>45705</v>
      </c>
      <c r="U504" s="19">
        <f t="shared" si="118"/>
        <v>11</v>
      </c>
      <c r="V504" s="5">
        <f t="shared" si="119"/>
        <v>45755</v>
      </c>
      <c r="W504" s="4">
        <v>45770</v>
      </c>
      <c r="X504" s="19">
        <f t="shared" si="120"/>
        <v>-15</v>
      </c>
      <c r="Y504" s="51">
        <f t="shared" si="121"/>
        <v>45780</v>
      </c>
      <c r="Z504" s="4">
        <v>45799</v>
      </c>
      <c r="AA504" s="49">
        <f t="shared" si="122"/>
        <v>-19</v>
      </c>
      <c r="AB504" s="51">
        <f t="shared" si="123"/>
        <v>45785</v>
      </c>
      <c r="AC504" s="49">
        <f t="shared" si="124"/>
        <v>-14</v>
      </c>
      <c r="AD504" s="43">
        <f t="shared" si="125"/>
        <v>45785</v>
      </c>
      <c r="AE504" s="4">
        <v>45799</v>
      </c>
      <c r="AF504" s="19">
        <f t="shared" si="126"/>
        <v>-14</v>
      </c>
      <c r="AG504" s="67"/>
      <c r="AH504" s="2"/>
      <c r="AI504" s="2"/>
      <c r="AJ504" s="2"/>
      <c r="AK504" s="2"/>
      <c r="AL504" s="2"/>
    </row>
    <row r="505" spans="1:38" ht="14.45">
      <c r="A505" s="156">
        <v>504</v>
      </c>
      <c r="B505" s="59">
        <v>45785</v>
      </c>
      <c r="C505" s="34" t="s">
        <v>1020</v>
      </c>
      <c r="D505" s="23" t="s">
        <v>1018</v>
      </c>
      <c r="E505" s="23">
        <v>69000</v>
      </c>
      <c r="F505" s="23" t="s">
        <v>1021</v>
      </c>
      <c r="G505" s="14" t="s">
        <v>46</v>
      </c>
      <c r="H505" s="23" t="s">
        <v>40</v>
      </c>
      <c r="I505" s="23" t="s">
        <v>229</v>
      </c>
      <c r="J505" s="97">
        <f t="shared" si="112"/>
        <v>45685</v>
      </c>
      <c r="K505" s="4">
        <v>45705</v>
      </c>
      <c r="L505" s="19">
        <f t="shared" si="113"/>
        <v>-20</v>
      </c>
      <c r="M505" s="5">
        <f t="shared" si="114"/>
        <v>45696</v>
      </c>
      <c r="O505" s="19" t="str">
        <f t="shared" si="115"/>
        <v/>
      </c>
      <c r="P505" s="5">
        <f t="shared" si="116"/>
        <v>45711</v>
      </c>
      <c r="R505" s="19" t="str">
        <f t="shared" si="117"/>
        <v/>
      </c>
      <c r="S505" s="5">
        <f t="shared" si="127"/>
        <v>45716</v>
      </c>
      <c r="T505" s="4">
        <v>45705</v>
      </c>
      <c r="U505" s="19">
        <f t="shared" si="118"/>
        <v>11</v>
      </c>
      <c r="V505" s="5">
        <f t="shared" si="119"/>
        <v>45755</v>
      </c>
      <c r="W505" s="4">
        <v>45770</v>
      </c>
      <c r="X505" s="19">
        <f t="shared" si="120"/>
        <v>-15</v>
      </c>
      <c r="Y505" s="51">
        <f t="shared" si="121"/>
        <v>45780</v>
      </c>
      <c r="Z505" s="4">
        <v>45805</v>
      </c>
      <c r="AA505" s="49">
        <f t="shared" si="122"/>
        <v>-25</v>
      </c>
      <c r="AB505" s="51">
        <f t="shared" si="123"/>
        <v>45785</v>
      </c>
      <c r="AC505" s="49">
        <f t="shared" si="124"/>
        <v>-20</v>
      </c>
      <c r="AD505" s="43">
        <f t="shared" si="125"/>
        <v>45785</v>
      </c>
      <c r="AE505" s="4">
        <v>45805</v>
      </c>
      <c r="AF505" s="19">
        <f t="shared" si="126"/>
        <v>-20</v>
      </c>
      <c r="AG505" s="67"/>
      <c r="AH505" s="2"/>
      <c r="AI505" s="2"/>
      <c r="AJ505" s="2"/>
      <c r="AK505" s="2"/>
      <c r="AL505" s="2"/>
    </row>
    <row r="506" spans="1:38" ht="14.45">
      <c r="A506" s="156">
        <v>505</v>
      </c>
      <c r="B506" s="59">
        <v>45785</v>
      </c>
      <c r="C506" s="34" t="s">
        <v>1022</v>
      </c>
      <c r="D506" s="23" t="s">
        <v>1018</v>
      </c>
      <c r="E506" s="23">
        <v>2447.8000000000002</v>
      </c>
      <c r="F506" s="23" t="s">
        <v>1023</v>
      </c>
      <c r="G506" s="14" t="s">
        <v>46</v>
      </c>
      <c r="H506" s="23" t="s">
        <v>40</v>
      </c>
      <c r="I506" s="23" t="s">
        <v>62</v>
      </c>
      <c r="J506" s="97">
        <f t="shared" si="112"/>
        <v>45685</v>
      </c>
      <c r="K506" s="4">
        <v>45705</v>
      </c>
      <c r="L506" s="19">
        <f t="shared" si="113"/>
        <v>-20</v>
      </c>
      <c r="M506" s="5">
        <f t="shared" si="114"/>
        <v>45696</v>
      </c>
      <c r="O506" s="19" t="str">
        <f t="shared" si="115"/>
        <v/>
      </c>
      <c r="P506" s="5">
        <f t="shared" si="116"/>
        <v>45711</v>
      </c>
      <c r="R506" s="19" t="str">
        <f t="shared" si="117"/>
        <v/>
      </c>
      <c r="S506" s="5">
        <f t="shared" si="127"/>
        <v>45716</v>
      </c>
      <c r="T506" s="4">
        <v>45705</v>
      </c>
      <c r="U506" s="19">
        <f t="shared" si="118"/>
        <v>11</v>
      </c>
      <c r="V506" s="5">
        <f t="shared" si="119"/>
        <v>45755</v>
      </c>
      <c r="W506" s="4">
        <v>45770</v>
      </c>
      <c r="X506" s="19">
        <f t="shared" si="120"/>
        <v>-15</v>
      </c>
      <c r="Y506" s="51">
        <f t="shared" si="121"/>
        <v>45780</v>
      </c>
      <c r="Z506" s="4">
        <v>45799</v>
      </c>
      <c r="AA506" s="49">
        <f t="shared" si="122"/>
        <v>-19</v>
      </c>
      <c r="AB506" s="51">
        <f t="shared" si="123"/>
        <v>45785</v>
      </c>
      <c r="AC506" s="49">
        <f t="shared" si="124"/>
        <v>-14</v>
      </c>
      <c r="AD506" s="43">
        <f t="shared" si="125"/>
        <v>45785</v>
      </c>
      <c r="AE506" s="4">
        <v>45799</v>
      </c>
      <c r="AF506" s="19">
        <f t="shared" si="126"/>
        <v>-14</v>
      </c>
      <c r="AG506" s="67"/>
      <c r="AH506" s="2"/>
      <c r="AI506" s="2"/>
      <c r="AJ506" s="2"/>
      <c r="AK506" s="2"/>
      <c r="AL506" s="2"/>
    </row>
    <row r="507" spans="1:38" ht="14.45">
      <c r="A507" s="156">
        <v>506</v>
      </c>
      <c r="B507" s="59">
        <v>45786</v>
      </c>
      <c r="C507" s="34" t="s">
        <v>1024</v>
      </c>
      <c r="D507" s="23" t="s">
        <v>1025</v>
      </c>
      <c r="E507" s="23">
        <v>185.78</v>
      </c>
      <c r="F507" s="23" t="s">
        <v>1026</v>
      </c>
      <c r="G507" s="23" t="s">
        <v>35</v>
      </c>
      <c r="H507" s="23" t="s">
        <v>40</v>
      </c>
      <c r="I507" s="23" t="s">
        <v>93</v>
      </c>
      <c r="J507" s="97">
        <f t="shared" si="112"/>
        <v>45686</v>
      </c>
      <c r="K507" s="4">
        <v>45692</v>
      </c>
      <c r="L507" s="19">
        <f t="shared" si="113"/>
        <v>-6</v>
      </c>
      <c r="M507" s="5">
        <f t="shared" si="114"/>
        <v>45697</v>
      </c>
      <c r="O507" s="19" t="str">
        <f t="shared" si="115"/>
        <v/>
      </c>
      <c r="P507" s="5">
        <f t="shared" si="116"/>
        <v>45712</v>
      </c>
      <c r="R507" s="19" t="str">
        <f t="shared" si="117"/>
        <v/>
      </c>
      <c r="S507" s="5">
        <f t="shared" si="127"/>
        <v>45717</v>
      </c>
      <c r="T507" s="4">
        <v>45713</v>
      </c>
      <c r="U507" s="19">
        <f t="shared" si="118"/>
        <v>4</v>
      </c>
      <c r="V507" s="5">
        <f t="shared" si="119"/>
        <v>45756</v>
      </c>
      <c r="W507" s="4">
        <v>45763</v>
      </c>
      <c r="X507" s="19">
        <f t="shared" si="120"/>
        <v>-7</v>
      </c>
      <c r="Y507" s="51">
        <f t="shared" si="121"/>
        <v>45781</v>
      </c>
      <c r="Z507" s="4">
        <v>45789</v>
      </c>
      <c r="AA507" s="49">
        <f t="shared" si="122"/>
        <v>-8</v>
      </c>
      <c r="AB507" s="51">
        <f t="shared" si="123"/>
        <v>45786</v>
      </c>
      <c r="AC507" s="49">
        <f t="shared" si="124"/>
        <v>-3</v>
      </c>
      <c r="AD507" s="43">
        <f t="shared" si="125"/>
        <v>45786</v>
      </c>
      <c r="AE507" s="4">
        <v>45789</v>
      </c>
      <c r="AF507" s="19">
        <f t="shared" si="126"/>
        <v>-3</v>
      </c>
      <c r="AG507" s="67"/>
      <c r="AH507" s="2"/>
      <c r="AI507" s="2"/>
      <c r="AJ507" s="2"/>
      <c r="AK507" s="2"/>
      <c r="AL507" s="2"/>
    </row>
    <row r="508" spans="1:38" ht="14.45">
      <c r="A508" s="156">
        <v>507</v>
      </c>
      <c r="B508" s="59">
        <v>45786</v>
      </c>
      <c r="C508" s="34" t="s">
        <v>1027</v>
      </c>
      <c r="D508" s="23" t="s">
        <v>1028</v>
      </c>
      <c r="E508" s="23">
        <v>23054.400000000001</v>
      </c>
      <c r="F508" s="23" t="s">
        <v>1029</v>
      </c>
      <c r="G508" s="14" t="s">
        <v>35</v>
      </c>
      <c r="H508" s="23" t="s">
        <v>40</v>
      </c>
      <c r="I508" s="23" t="s">
        <v>93</v>
      </c>
      <c r="J508" s="97">
        <f t="shared" si="112"/>
        <v>45686</v>
      </c>
      <c r="K508" s="4">
        <v>45692</v>
      </c>
      <c r="L508" s="19">
        <f t="shared" si="113"/>
        <v>-6</v>
      </c>
      <c r="M508" s="5">
        <f t="shared" si="114"/>
        <v>45697</v>
      </c>
      <c r="O508" s="19" t="str">
        <f t="shared" si="115"/>
        <v/>
      </c>
      <c r="P508" s="5">
        <f t="shared" si="116"/>
        <v>45712</v>
      </c>
      <c r="R508" s="19" t="str">
        <f t="shared" si="117"/>
        <v/>
      </c>
      <c r="S508" s="5">
        <f t="shared" si="127"/>
        <v>45717</v>
      </c>
      <c r="T508" s="4">
        <v>45729</v>
      </c>
      <c r="U508" s="19">
        <f t="shared" si="118"/>
        <v>-12</v>
      </c>
      <c r="V508" s="5">
        <f t="shared" si="119"/>
        <v>45756</v>
      </c>
      <c r="W508" s="4">
        <v>45762</v>
      </c>
      <c r="X508" s="19">
        <f t="shared" si="120"/>
        <v>-6</v>
      </c>
      <c r="Y508" s="51">
        <f t="shared" si="121"/>
        <v>45781</v>
      </c>
      <c r="AA508" s="49" t="str">
        <f t="shared" si="122"/>
        <v/>
      </c>
      <c r="AB508" s="51">
        <f t="shared" si="123"/>
        <v>45786</v>
      </c>
      <c r="AC508" s="49" t="str">
        <f t="shared" si="124"/>
        <v/>
      </c>
      <c r="AD508" s="43">
        <f t="shared" si="125"/>
        <v>45786</v>
      </c>
      <c r="AF508" s="19" t="str">
        <f t="shared" si="126"/>
        <v/>
      </c>
      <c r="AG508" s="67"/>
      <c r="AH508" s="2"/>
      <c r="AI508" s="2"/>
      <c r="AJ508" s="2"/>
      <c r="AK508" s="2"/>
      <c r="AL508" s="2"/>
    </row>
    <row r="509" spans="1:38" ht="14.45">
      <c r="A509" s="156">
        <v>508</v>
      </c>
      <c r="B509" s="59">
        <v>45786</v>
      </c>
      <c r="C509" s="34" t="s">
        <v>1030</v>
      </c>
      <c r="D509" s="23" t="s">
        <v>268</v>
      </c>
      <c r="E509" s="23">
        <v>86896.56</v>
      </c>
      <c r="F509" s="23" t="s">
        <v>1031</v>
      </c>
      <c r="G509" s="14" t="s">
        <v>46</v>
      </c>
      <c r="H509" s="23" t="s">
        <v>40</v>
      </c>
      <c r="I509" s="23" t="s">
        <v>62</v>
      </c>
      <c r="J509" s="97">
        <f t="shared" si="112"/>
        <v>45686</v>
      </c>
      <c r="K509" s="4">
        <v>45705</v>
      </c>
      <c r="L509" s="19">
        <f t="shared" si="113"/>
        <v>-19</v>
      </c>
      <c r="M509" s="5">
        <f t="shared" si="114"/>
        <v>45697</v>
      </c>
      <c r="N509" s="4">
        <v>45705</v>
      </c>
      <c r="O509" s="19">
        <f t="shared" si="115"/>
        <v>-8</v>
      </c>
      <c r="P509" s="5">
        <f t="shared" si="116"/>
        <v>45712</v>
      </c>
      <c r="R509" s="19" t="str">
        <f t="shared" si="117"/>
        <v/>
      </c>
      <c r="S509" s="5">
        <f t="shared" si="127"/>
        <v>45717</v>
      </c>
      <c r="T509" s="4">
        <v>45741</v>
      </c>
      <c r="U509" s="19">
        <f t="shared" si="118"/>
        <v>-24</v>
      </c>
      <c r="V509" s="5">
        <f t="shared" si="119"/>
        <v>45756</v>
      </c>
      <c r="W509" s="4">
        <v>45771</v>
      </c>
      <c r="X509" s="19">
        <f t="shared" si="120"/>
        <v>-15</v>
      </c>
      <c r="Y509" s="51">
        <f t="shared" si="121"/>
        <v>45781</v>
      </c>
      <c r="Z509" s="4">
        <v>45811</v>
      </c>
      <c r="AA509" s="49">
        <f t="shared" si="122"/>
        <v>-30</v>
      </c>
      <c r="AB509" s="51">
        <f t="shared" si="123"/>
        <v>45786</v>
      </c>
      <c r="AC509" s="49">
        <f t="shared" si="124"/>
        <v>-25</v>
      </c>
      <c r="AD509" s="43">
        <f t="shared" si="125"/>
        <v>45786</v>
      </c>
      <c r="AE509" s="4">
        <v>45811</v>
      </c>
      <c r="AF509" s="19">
        <f t="shared" si="126"/>
        <v>-25</v>
      </c>
      <c r="AG509" s="67"/>
      <c r="AH509" s="2"/>
      <c r="AI509" s="2"/>
      <c r="AJ509" s="2"/>
      <c r="AK509" s="2"/>
      <c r="AL509" s="2"/>
    </row>
    <row r="510" spans="1:38" ht="14.45">
      <c r="A510" s="156">
        <v>509</v>
      </c>
      <c r="B510" s="59">
        <v>45786</v>
      </c>
      <c r="C510" s="34" t="s">
        <v>1032</v>
      </c>
      <c r="D510" s="23" t="s">
        <v>268</v>
      </c>
      <c r="E510" s="23">
        <v>64310.32</v>
      </c>
      <c r="F510" s="23" t="s">
        <v>1033</v>
      </c>
      <c r="G510" s="14" t="s">
        <v>46</v>
      </c>
      <c r="H510" s="23" t="s">
        <v>40</v>
      </c>
      <c r="I510" s="23" t="s">
        <v>1034</v>
      </c>
      <c r="J510" s="97">
        <f t="shared" si="112"/>
        <v>45686</v>
      </c>
      <c r="K510" s="4">
        <v>45705</v>
      </c>
      <c r="L510" s="19">
        <f t="shared" si="113"/>
        <v>-19</v>
      </c>
      <c r="M510" s="5">
        <f t="shared" si="114"/>
        <v>45697</v>
      </c>
      <c r="N510" s="4">
        <v>45705</v>
      </c>
      <c r="O510" s="19">
        <f t="shared" si="115"/>
        <v>-8</v>
      </c>
      <c r="P510" s="5">
        <f t="shared" si="116"/>
        <v>45712</v>
      </c>
      <c r="R510" s="19" t="str">
        <f t="shared" si="117"/>
        <v/>
      </c>
      <c r="S510" s="5">
        <f t="shared" si="127"/>
        <v>45717</v>
      </c>
      <c r="T510" s="4">
        <v>45741</v>
      </c>
      <c r="U510" s="19">
        <f t="shared" si="118"/>
        <v>-24</v>
      </c>
      <c r="V510" s="5">
        <f t="shared" si="119"/>
        <v>45756</v>
      </c>
      <c r="W510" s="4">
        <v>45771</v>
      </c>
      <c r="X510" s="19">
        <f t="shared" si="120"/>
        <v>-15</v>
      </c>
      <c r="Y510" s="51">
        <f t="shared" si="121"/>
        <v>45781</v>
      </c>
      <c r="Z510" s="4">
        <v>45811</v>
      </c>
      <c r="AA510" s="49">
        <f t="shared" si="122"/>
        <v>-30</v>
      </c>
      <c r="AB510" s="51">
        <f t="shared" si="123"/>
        <v>45786</v>
      </c>
      <c r="AC510" s="49">
        <f t="shared" si="124"/>
        <v>-25</v>
      </c>
      <c r="AD510" s="43">
        <f t="shared" si="125"/>
        <v>45786</v>
      </c>
      <c r="AE510" s="4">
        <v>45811</v>
      </c>
      <c r="AF510" s="19">
        <f t="shared" si="126"/>
        <v>-25</v>
      </c>
      <c r="AG510" s="67"/>
      <c r="AH510" s="2"/>
      <c r="AI510" s="2"/>
      <c r="AJ510" s="2"/>
      <c r="AK510" s="2"/>
      <c r="AL510" s="2"/>
    </row>
    <row r="511" spans="1:38" ht="14.45">
      <c r="A511" s="156">
        <v>510</v>
      </c>
      <c r="B511" s="59">
        <v>45787</v>
      </c>
      <c r="C511" s="34" t="s">
        <v>1035</v>
      </c>
      <c r="D511" s="23" t="s">
        <v>1036</v>
      </c>
      <c r="E511" s="23">
        <v>1256.5</v>
      </c>
      <c r="F511" s="23" t="s">
        <v>1037</v>
      </c>
      <c r="G511" s="14" t="s">
        <v>190</v>
      </c>
      <c r="H511" s="23" t="s">
        <v>40</v>
      </c>
      <c r="I511" s="23" t="s">
        <v>93</v>
      </c>
      <c r="J511" s="97">
        <f t="shared" si="112"/>
        <v>45687</v>
      </c>
      <c r="K511" s="4">
        <v>45692</v>
      </c>
      <c r="L511" s="19">
        <f t="shared" si="113"/>
        <v>-5</v>
      </c>
      <c r="M511" s="5">
        <f t="shared" si="114"/>
        <v>45698</v>
      </c>
      <c r="O511" s="19" t="str">
        <f t="shared" si="115"/>
        <v/>
      </c>
      <c r="P511" s="5">
        <f t="shared" si="116"/>
        <v>45713</v>
      </c>
      <c r="R511" s="19" t="str">
        <f t="shared" si="117"/>
        <v/>
      </c>
      <c r="S511" s="5">
        <f t="shared" si="127"/>
        <v>45718</v>
      </c>
      <c r="T511" s="4">
        <v>45713</v>
      </c>
      <c r="U511" s="19">
        <f t="shared" si="118"/>
        <v>5</v>
      </c>
      <c r="V511" s="5">
        <f t="shared" si="119"/>
        <v>45757</v>
      </c>
      <c r="W511" s="4">
        <v>45741</v>
      </c>
      <c r="X511" s="19">
        <f t="shared" si="120"/>
        <v>16</v>
      </c>
      <c r="Y511" s="51">
        <f t="shared" si="121"/>
        <v>45782</v>
      </c>
      <c r="Z511" s="4">
        <v>45810</v>
      </c>
      <c r="AA511" s="49">
        <f t="shared" si="122"/>
        <v>-28</v>
      </c>
      <c r="AB511" s="51">
        <f t="shared" si="123"/>
        <v>45787</v>
      </c>
      <c r="AC511" s="49">
        <f t="shared" si="124"/>
        <v>-23</v>
      </c>
      <c r="AD511" s="43">
        <f t="shared" si="125"/>
        <v>45787</v>
      </c>
      <c r="AE511" s="4">
        <v>45810</v>
      </c>
      <c r="AF511" s="19">
        <f t="shared" si="126"/>
        <v>-23</v>
      </c>
      <c r="AG511" s="67"/>
      <c r="AH511" s="2"/>
      <c r="AI511" s="2"/>
      <c r="AJ511" s="2"/>
      <c r="AK511" s="2"/>
      <c r="AL511" s="2"/>
    </row>
    <row r="512" spans="1:38" ht="14.45">
      <c r="A512" s="156">
        <v>511</v>
      </c>
      <c r="B512" s="59">
        <v>45789</v>
      </c>
      <c r="C512" s="34" t="s">
        <v>1038</v>
      </c>
      <c r="D512" s="23" t="s">
        <v>1039</v>
      </c>
      <c r="E512" s="23">
        <v>8107.78</v>
      </c>
      <c r="F512" s="23" t="s">
        <v>1040</v>
      </c>
      <c r="G512" s="14" t="s">
        <v>35</v>
      </c>
      <c r="H512" s="23" t="s">
        <v>36</v>
      </c>
      <c r="I512" s="23" t="s">
        <v>93</v>
      </c>
      <c r="J512" s="97">
        <f t="shared" si="112"/>
        <v>45689</v>
      </c>
      <c r="L512" s="19" t="str">
        <f t="shared" si="113"/>
        <v/>
      </c>
      <c r="M512" s="5">
        <f t="shared" si="114"/>
        <v>45700</v>
      </c>
      <c r="O512" s="19" t="str">
        <f t="shared" si="115"/>
        <v/>
      </c>
      <c r="P512" s="5">
        <f t="shared" si="116"/>
        <v>45715</v>
      </c>
      <c r="R512" s="19" t="str">
        <f t="shared" si="117"/>
        <v/>
      </c>
      <c r="S512" s="5">
        <f t="shared" si="127"/>
        <v>45720</v>
      </c>
      <c r="U512" s="19" t="str">
        <f t="shared" si="118"/>
        <v/>
      </c>
      <c r="V512" s="5">
        <f t="shared" si="119"/>
        <v>45759</v>
      </c>
      <c r="W512" s="4">
        <v>45762</v>
      </c>
      <c r="X512" s="19">
        <f t="shared" si="120"/>
        <v>-3</v>
      </c>
      <c r="Y512" s="51">
        <f t="shared" si="121"/>
        <v>45784</v>
      </c>
      <c r="AA512" s="49" t="str">
        <f t="shared" si="122"/>
        <v/>
      </c>
      <c r="AB512" s="51">
        <f t="shared" si="123"/>
        <v>45789</v>
      </c>
      <c r="AC512" s="49" t="str">
        <f t="shared" si="124"/>
        <v/>
      </c>
      <c r="AD512" s="43">
        <f t="shared" si="125"/>
        <v>45789</v>
      </c>
      <c r="AF512" s="19" t="str">
        <f t="shared" si="126"/>
        <v/>
      </c>
      <c r="AG512" s="67"/>
      <c r="AH512" s="2"/>
      <c r="AI512" s="2"/>
      <c r="AJ512" s="2"/>
      <c r="AK512" s="2"/>
      <c r="AL512" s="2"/>
    </row>
    <row r="513" spans="1:38" ht="14.45">
      <c r="A513" s="156">
        <v>512</v>
      </c>
      <c r="B513" s="59">
        <v>45789</v>
      </c>
      <c r="C513" s="34">
        <v>111692677</v>
      </c>
      <c r="D513" s="23" t="s">
        <v>1041</v>
      </c>
      <c r="E513" s="23">
        <v>35500</v>
      </c>
      <c r="F513" s="23" t="s">
        <v>1042</v>
      </c>
      <c r="G513" s="14" t="s">
        <v>35</v>
      </c>
      <c r="H513" s="23" t="s">
        <v>40</v>
      </c>
      <c r="I513" s="23" t="s">
        <v>62</v>
      </c>
      <c r="J513" s="97">
        <f t="shared" si="112"/>
        <v>45689</v>
      </c>
      <c r="L513" s="19" t="str">
        <f t="shared" si="113"/>
        <v/>
      </c>
      <c r="M513" s="5">
        <f t="shared" si="114"/>
        <v>45700</v>
      </c>
      <c r="O513" s="19" t="str">
        <f t="shared" si="115"/>
        <v/>
      </c>
      <c r="P513" s="5">
        <f t="shared" si="116"/>
        <v>45715</v>
      </c>
      <c r="R513" s="19" t="str">
        <f t="shared" si="117"/>
        <v/>
      </c>
      <c r="S513" s="5">
        <f t="shared" si="127"/>
        <v>45720</v>
      </c>
      <c r="T513" s="4">
        <v>45756</v>
      </c>
      <c r="U513" s="19">
        <f t="shared" si="118"/>
        <v>-36</v>
      </c>
      <c r="V513" s="5">
        <f t="shared" si="119"/>
        <v>45759</v>
      </c>
      <c r="W513" s="4">
        <v>45769</v>
      </c>
      <c r="X513" s="19">
        <f t="shared" si="120"/>
        <v>-10</v>
      </c>
      <c r="Y513" s="51">
        <f t="shared" si="121"/>
        <v>45784</v>
      </c>
      <c r="AA513" s="49" t="str">
        <f t="shared" si="122"/>
        <v/>
      </c>
      <c r="AB513" s="51">
        <f t="shared" si="123"/>
        <v>45789</v>
      </c>
      <c r="AC513" s="49" t="str">
        <f t="shared" si="124"/>
        <v/>
      </c>
      <c r="AD513" s="43">
        <f t="shared" si="125"/>
        <v>45789</v>
      </c>
      <c r="AF513" s="19" t="str">
        <f t="shared" si="126"/>
        <v/>
      </c>
      <c r="AG513" s="67"/>
      <c r="AH513" s="2"/>
      <c r="AI513" s="2"/>
      <c r="AJ513" s="2"/>
      <c r="AK513" s="2"/>
      <c r="AL513" s="2"/>
    </row>
    <row r="514" spans="1:38" ht="14.45">
      <c r="A514" s="156">
        <v>513</v>
      </c>
      <c r="B514" s="59">
        <v>45789</v>
      </c>
      <c r="C514" s="34" t="s">
        <v>1043</v>
      </c>
      <c r="D514" s="23" t="s">
        <v>1041</v>
      </c>
      <c r="E514" s="23">
        <v>35500</v>
      </c>
      <c r="F514" s="23" t="s">
        <v>1042</v>
      </c>
      <c r="G514" s="14" t="s">
        <v>35</v>
      </c>
      <c r="H514" s="23" t="s">
        <v>40</v>
      </c>
      <c r="I514" s="23" t="s">
        <v>62</v>
      </c>
      <c r="J514" s="97">
        <f t="shared" ref="J514:J577" si="128">B514-100</f>
        <v>45689</v>
      </c>
      <c r="L514" s="19" t="str">
        <f t="shared" ref="L514:L577" si="129">IF(OR(J514="", K514=""), "", J514-K514)</f>
        <v/>
      </c>
      <c r="M514" s="5">
        <f t="shared" ref="M514:M577" si="130">B514-89</f>
        <v>45700</v>
      </c>
      <c r="O514" s="19" t="str">
        <f t="shared" ref="O514:O577" si="131">IF(OR(M514="", N514=""), "", M514-N514)</f>
        <v/>
      </c>
      <c r="P514" s="5">
        <f t="shared" ref="P514:P577" si="132">B514-74</f>
        <v>45715</v>
      </c>
      <c r="R514" s="19" t="str">
        <f t="shared" ref="R514:R577" si="133">IF(OR(P514="", Q514=""), "", P514-Q514)</f>
        <v/>
      </c>
      <c r="S514" s="5">
        <f t="shared" si="127"/>
        <v>45720</v>
      </c>
      <c r="T514" s="4">
        <v>45756</v>
      </c>
      <c r="U514" s="19">
        <f t="shared" ref="U514:U577" si="134">IF(OR(S514="", T514=""), "", S514-T514)</f>
        <v>-36</v>
      </c>
      <c r="V514" s="5">
        <f t="shared" ref="V514:V577" si="135">B514-30</f>
        <v>45759</v>
      </c>
      <c r="W514" s="4">
        <v>45769</v>
      </c>
      <c r="X514" s="19">
        <f t="shared" ref="X514:X577" si="136">IF(OR(V514="", W514=""), "", V514-W514)</f>
        <v>-10</v>
      </c>
      <c r="Y514" s="51">
        <f t="shared" ref="Y514:Y577" si="137">B514-5</f>
        <v>45784</v>
      </c>
      <c r="AA514" s="49" t="str">
        <f t="shared" ref="AA514:AA577" si="138">IF(OR(Y514="", Z514=""), "", Y514-Z514)</f>
        <v/>
      </c>
      <c r="AB514" s="51">
        <f t="shared" ref="AB514:AB577" si="139">IF(B514&lt;&gt;"", B514, "")</f>
        <v>45789</v>
      </c>
      <c r="AC514" s="49" t="str">
        <f t="shared" ref="AC514:AC577" si="140">IF(OR(AB514="", Z514=""), "", AB514-Z514)</f>
        <v/>
      </c>
      <c r="AD514" s="43">
        <f t="shared" ref="AD514:AD577" si="141">IF(B514&lt;&gt;"", B514, "")</f>
        <v>45789</v>
      </c>
      <c r="AF514" s="19" t="str">
        <f t="shared" ref="AF514:AF577" si="142">IF(OR(AD514="", AE514=""), "", AD514-AE514)</f>
        <v/>
      </c>
      <c r="AG514" s="67"/>
      <c r="AH514" s="2"/>
      <c r="AI514" s="2"/>
      <c r="AJ514" s="2"/>
      <c r="AK514" s="2"/>
      <c r="AL514" s="2"/>
    </row>
    <row r="515" spans="1:38" ht="14.45">
      <c r="A515" s="156">
        <v>514</v>
      </c>
      <c r="B515" s="59">
        <v>45790</v>
      </c>
      <c r="C515" s="34">
        <v>111672115</v>
      </c>
      <c r="D515" s="23" t="s">
        <v>1044</v>
      </c>
      <c r="E515" s="23">
        <v>54200.72</v>
      </c>
      <c r="F515" s="23" t="s">
        <v>1045</v>
      </c>
      <c r="G515" s="14" t="s">
        <v>35</v>
      </c>
      <c r="H515" s="23" t="s">
        <v>36</v>
      </c>
      <c r="I515" s="23" t="s">
        <v>37</v>
      </c>
      <c r="J515" s="97">
        <f t="shared" si="128"/>
        <v>45690</v>
      </c>
      <c r="L515" s="19" t="str">
        <f t="shared" si="129"/>
        <v/>
      </c>
      <c r="M515" s="5">
        <f t="shared" si="130"/>
        <v>45701</v>
      </c>
      <c r="O515" s="19" t="str">
        <f t="shared" si="131"/>
        <v/>
      </c>
      <c r="P515" s="5">
        <f t="shared" si="132"/>
        <v>45716</v>
      </c>
      <c r="R515" s="19" t="str">
        <f t="shared" si="133"/>
        <v/>
      </c>
      <c r="S515" s="5">
        <f t="shared" si="127"/>
        <v>45721</v>
      </c>
      <c r="U515" s="19" t="str">
        <f t="shared" si="134"/>
        <v/>
      </c>
      <c r="V515" s="5">
        <f t="shared" si="135"/>
        <v>45760</v>
      </c>
      <c r="W515" s="4">
        <v>45768</v>
      </c>
      <c r="X515" s="19">
        <f t="shared" si="136"/>
        <v>-8</v>
      </c>
      <c r="Y515" s="51">
        <f t="shared" si="137"/>
        <v>45785</v>
      </c>
      <c r="AA515" s="49" t="str">
        <f t="shared" si="138"/>
        <v/>
      </c>
      <c r="AB515" s="51">
        <f t="shared" si="139"/>
        <v>45790</v>
      </c>
      <c r="AC515" s="49" t="str">
        <f t="shared" si="140"/>
        <v/>
      </c>
      <c r="AD515" s="43">
        <f t="shared" si="141"/>
        <v>45790</v>
      </c>
      <c r="AF515" s="19" t="str">
        <f t="shared" si="142"/>
        <v/>
      </c>
      <c r="AG515" s="67"/>
      <c r="AH515" s="2"/>
      <c r="AI515" s="2"/>
      <c r="AJ515" s="2"/>
      <c r="AK515" s="2"/>
      <c r="AL515" s="2"/>
    </row>
    <row r="516" spans="1:38" ht="14.45">
      <c r="A516" s="156">
        <v>515</v>
      </c>
      <c r="B516" s="59">
        <v>45790</v>
      </c>
      <c r="C516" s="34" t="s">
        <v>1046</v>
      </c>
      <c r="D516" s="23" t="s">
        <v>1047</v>
      </c>
      <c r="E516" s="23">
        <v>22287.85</v>
      </c>
      <c r="F516" s="23" t="s">
        <v>1048</v>
      </c>
      <c r="G516" s="14" t="s">
        <v>120</v>
      </c>
      <c r="H516" s="23" t="s">
        <v>40</v>
      </c>
      <c r="I516" s="23" t="s">
        <v>93</v>
      </c>
      <c r="J516" s="97">
        <f t="shared" si="128"/>
        <v>45690</v>
      </c>
      <c r="L516" s="19" t="str">
        <f t="shared" si="129"/>
        <v/>
      </c>
      <c r="M516" s="5">
        <f t="shared" si="130"/>
        <v>45701</v>
      </c>
      <c r="O516" s="19" t="str">
        <f t="shared" si="131"/>
        <v/>
      </c>
      <c r="P516" s="5">
        <f t="shared" si="132"/>
        <v>45716</v>
      </c>
      <c r="R516" s="19" t="str">
        <f t="shared" si="133"/>
        <v/>
      </c>
      <c r="S516" s="5">
        <f t="shared" si="127"/>
        <v>45721</v>
      </c>
      <c r="T516" s="4">
        <v>45712</v>
      </c>
      <c r="U516" s="19">
        <f t="shared" si="134"/>
        <v>9</v>
      </c>
      <c r="V516" s="5">
        <f t="shared" si="135"/>
        <v>45760</v>
      </c>
      <c r="W516" s="4">
        <v>45740</v>
      </c>
      <c r="X516" s="19">
        <f t="shared" si="136"/>
        <v>20</v>
      </c>
      <c r="Y516" s="51">
        <f t="shared" si="137"/>
        <v>45785</v>
      </c>
      <c r="Z516" s="4">
        <v>45784</v>
      </c>
      <c r="AA516" s="49">
        <f t="shared" si="138"/>
        <v>1</v>
      </c>
      <c r="AB516" s="51">
        <f t="shared" si="139"/>
        <v>45790</v>
      </c>
      <c r="AC516" s="49">
        <f t="shared" si="140"/>
        <v>6</v>
      </c>
      <c r="AD516" s="43">
        <f t="shared" si="141"/>
        <v>45790</v>
      </c>
      <c r="AE516" s="4">
        <v>45784</v>
      </c>
      <c r="AF516" s="19">
        <f t="shared" si="142"/>
        <v>6</v>
      </c>
      <c r="AG516" s="67"/>
      <c r="AH516" s="2"/>
      <c r="AI516" s="2"/>
      <c r="AJ516" s="2"/>
      <c r="AK516" s="2"/>
      <c r="AL516" s="2"/>
    </row>
    <row r="517" spans="1:38" ht="14.45">
      <c r="A517" s="156">
        <v>516</v>
      </c>
      <c r="B517" s="59">
        <v>45790</v>
      </c>
      <c r="C517" s="34" t="s">
        <v>1049</v>
      </c>
      <c r="D517" s="23" t="s">
        <v>1050</v>
      </c>
      <c r="E517" s="23">
        <v>8840</v>
      </c>
      <c r="F517" s="23" t="s">
        <v>1051</v>
      </c>
      <c r="G517" s="14" t="s">
        <v>35</v>
      </c>
      <c r="H517" s="23" t="s">
        <v>36</v>
      </c>
      <c r="I517" s="23" t="s">
        <v>62</v>
      </c>
      <c r="J517" s="97">
        <f t="shared" si="128"/>
        <v>45690</v>
      </c>
      <c r="L517" s="19" t="str">
        <f t="shared" si="129"/>
        <v/>
      </c>
      <c r="M517" s="5">
        <f t="shared" si="130"/>
        <v>45701</v>
      </c>
      <c r="O517" s="19" t="str">
        <f t="shared" si="131"/>
        <v/>
      </c>
      <c r="P517" s="5">
        <f t="shared" si="132"/>
        <v>45716</v>
      </c>
      <c r="R517" s="19" t="str">
        <f t="shared" si="133"/>
        <v/>
      </c>
      <c r="S517" s="5">
        <f t="shared" ref="S517:S580" si="143">B517-69</f>
        <v>45721</v>
      </c>
      <c r="U517" s="19" t="str">
        <f t="shared" si="134"/>
        <v/>
      </c>
      <c r="V517" s="5">
        <f t="shared" si="135"/>
        <v>45760</v>
      </c>
      <c r="W517" s="4">
        <v>45756</v>
      </c>
      <c r="X517" s="19">
        <f t="shared" si="136"/>
        <v>4</v>
      </c>
      <c r="Y517" s="51">
        <f t="shared" si="137"/>
        <v>45785</v>
      </c>
      <c r="Z517" s="4">
        <v>45805</v>
      </c>
      <c r="AA517" s="49">
        <f t="shared" si="138"/>
        <v>-20</v>
      </c>
      <c r="AB517" s="51">
        <f t="shared" si="139"/>
        <v>45790</v>
      </c>
      <c r="AC517" s="49">
        <f t="shared" si="140"/>
        <v>-15</v>
      </c>
      <c r="AD517" s="43">
        <f t="shared" si="141"/>
        <v>45790</v>
      </c>
      <c r="AE517" s="4">
        <v>45805</v>
      </c>
      <c r="AF517" s="19">
        <f t="shared" si="142"/>
        <v>-15</v>
      </c>
      <c r="AG517" s="67"/>
      <c r="AH517" s="2"/>
      <c r="AI517" s="2"/>
      <c r="AJ517" s="2"/>
      <c r="AK517" s="2"/>
      <c r="AL517" s="2"/>
    </row>
    <row r="518" spans="1:38" ht="14.45">
      <c r="A518" s="156">
        <v>517</v>
      </c>
      <c r="B518" s="59">
        <v>45791</v>
      </c>
      <c r="C518" s="34" t="s">
        <v>1052</v>
      </c>
      <c r="D518" s="23" t="s">
        <v>38</v>
      </c>
      <c r="E518" s="23">
        <v>209.11</v>
      </c>
      <c r="F518" s="23" t="s">
        <v>1053</v>
      </c>
      <c r="G518" s="23" t="s">
        <v>190</v>
      </c>
      <c r="H518" s="23" t="s">
        <v>40</v>
      </c>
      <c r="I518" s="23" t="s">
        <v>41</v>
      </c>
      <c r="J518" s="97">
        <f t="shared" si="128"/>
        <v>45691</v>
      </c>
      <c r="L518" s="19" t="str">
        <f t="shared" si="129"/>
        <v/>
      </c>
      <c r="M518" s="5">
        <f t="shared" si="130"/>
        <v>45702</v>
      </c>
      <c r="N518" s="4">
        <v>45770</v>
      </c>
      <c r="O518" s="19">
        <f t="shared" si="131"/>
        <v>-68</v>
      </c>
      <c r="P518" s="5">
        <f t="shared" si="132"/>
        <v>45717</v>
      </c>
      <c r="Q518" s="4">
        <v>45777</v>
      </c>
      <c r="R518" s="19">
        <f t="shared" si="133"/>
        <v>-60</v>
      </c>
      <c r="S518" s="5">
        <f t="shared" si="143"/>
        <v>45722</v>
      </c>
      <c r="T518" s="4">
        <v>45778</v>
      </c>
      <c r="U518" s="19">
        <f t="shared" si="134"/>
        <v>-56</v>
      </c>
      <c r="V518" s="5">
        <f t="shared" si="135"/>
        <v>45761</v>
      </c>
      <c r="W518" s="4">
        <v>45778</v>
      </c>
      <c r="X518" s="19">
        <f t="shared" si="136"/>
        <v>-17</v>
      </c>
      <c r="Y518" s="51">
        <f t="shared" si="137"/>
        <v>45786</v>
      </c>
      <c r="Z518" s="4">
        <v>45793</v>
      </c>
      <c r="AA518" s="49">
        <f t="shared" si="138"/>
        <v>-7</v>
      </c>
      <c r="AB518" s="51">
        <f t="shared" si="139"/>
        <v>45791</v>
      </c>
      <c r="AC518" s="49">
        <f t="shared" si="140"/>
        <v>-2</v>
      </c>
      <c r="AD518" s="43">
        <f t="shared" si="141"/>
        <v>45791</v>
      </c>
      <c r="AE518" s="4">
        <v>45793</v>
      </c>
      <c r="AF518" s="19">
        <f t="shared" si="142"/>
        <v>-2</v>
      </c>
      <c r="AG518" s="67"/>
      <c r="AH518" s="2"/>
      <c r="AI518" s="2"/>
      <c r="AJ518" s="2"/>
      <c r="AK518" s="2"/>
      <c r="AL518" s="2"/>
    </row>
    <row r="519" spans="1:38" ht="14.45">
      <c r="A519" s="156">
        <v>518</v>
      </c>
      <c r="B519" s="59">
        <v>45791</v>
      </c>
      <c r="C519" s="34" t="s">
        <v>1054</v>
      </c>
      <c r="D519" s="23" t="s">
        <v>38</v>
      </c>
      <c r="E519" s="23">
        <v>526.16</v>
      </c>
      <c r="F519" s="23" t="s">
        <v>1055</v>
      </c>
      <c r="G519" s="14" t="s">
        <v>190</v>
      </c>
      <c r="H519" s="23" t="s">
        <v>40</v>
      </c>
      <c r="I519" s="23" t="s">
        <v>41</v>
      </c>
      <c r="J519" s="97">
        <f t="shared" si="128"/>
        <v>45691</v>
      </c>
      <c r="L519" s="19" t="str">
        <f t="shared" si="129"/>
        <v/>
      </c>
      <c r="M519" s="5">
        <f t="shared" si="130"/>
        <v>45702</v>
      </c>
      <c r="N519" s="4">
        <v>45770</v>
      </c>
      <c r="O519" s="19">
        <f t="shared" si="131"/>
        <v>-68</v>
      </c>
      <c r="P519" s="5">
        <f t="shared" si="132"/>
        <v>45717</v>
      </c>
      <c r="Q519" s="4">
        <v>45777</v>
      </c>
      <c r="R519" s="19">
        <f t="shared" si="133"/>
        <v>-60</v>
      </c>
      <c r="S519" s="5">
        <f t="shared" si="143"/>
        <v>45722</v>
      </c>
      <c r="T519" s="4">
        <v>45778</v>
      </c>
      <c r="U519" s="19">
        <f t="shared" si="134"/>
        <v>-56</v>
      </c>
      <c r="V519" s="5">
        <f t="shared" si="135"/>
        <v>45761</v>
      </c>
      <c r="W519" s="4">
        <v>45778</v>
      </c>
      <c r="X519" s="19">
        <f t="shared" si="136"/>
        <v>-17</v>
      </c>
      <c r="Y519" s="51">
        <f t="shared" si="137"/>
        <v>45786</v>
      </c>
      <c r="Z519" s="4">
        <v>45793</v>
      </c>
      <c r="AA519" s="49">
        <f t="shared" si="138"/>
        <v>-7</v>
      </c>
      <c r="AB519" s="51">
        <f t="shared" si="139"/>
        <v>45791</v>
      </c>
      <c r="AC519" s="49">
        <f t="shared" si="140"/>
        <v>-2</v>
      </c>
      <c r="AD519" s="43">
        <f t="shared" si="141"/>
        <v>45791</v>
      </c>
      <c r="AE519" s="4">
        <v>45793</v>
      </c>
      <c r="AF519" s="19">
        <f t="shared" si="142"/>
        <v>-2</v>
      </c>
      <c r="AG519" s="67"/>
      <c r="AH519" s="2"/>
      <c r="AI519" s="2"/>
      <c r="AJ519" s="2"/>
      <c r="AK519" s="2"/>
      <c r="AL519" s="2"/>
    </row>
    <row r="520" spans="1:38" ht="14.45">
      <c r="A520" s="156">
        <v>519</v>
      </c>
      <c r="B520" s="59">
        <v>45791</v>
      </c>
      <c r="C520" s="34" t="s">
        <v>1056</v>
      </c>
      <c r="D520" s="23" t="s">
        <v>1057</v>
      </c>
      <c r="E520" s="23">
        <v>3052.78</v>
      </c>
      <c r="F520" s="23" t="s">
        <v>1058</v>
      </c>
      <c r="G520" s="14" t="s">
        <v>190</v>
      </c>
      <c r="H520" s="23" t="s">
        <v>40</v>
      </c>
      <c r="I520" s="23" t="s">
        <v>93</v>
      </c>
      <c r="J520" s="97">
        <f t="shared" si="128"/>
        <v>45691</v>
      </c>
      <c r="K520" s="4">
        <v>45692</v>
      </c>
      <c r="L520" s="19">
        <f t="shared" si="129"/>
        <v>-1</v>
      </c>
      <c r="M520" s="5">
        <f t="shared" si="130"/>
        <v>45702</v>
      </c>
      <c r="O520" s="19" t="str">
        <f t="shared" si="131"/>
        <v/>
      </c>
      <c r="P520" s="5">
        <f t="shared" si="132"/>
        <v>45717</v>
      </c>
      <c r="R520" s="19" t="str">
        <f t="shared" si="133"/>
        <v/>
      </c>
      <c r="S520" s="5">
        <f t="shared" si="143"/>
        <v>45722</v>
      </c>
      <c r="T520" s="4">
        <v>45713</v>
      </c>
      <c r="U520" s="19">
        <f t="shared" si="134"/>
        <v>9</v>
      </c>
      <c r="V520" s="5">
        <f t="shared" si="135"/>
        <v>45761</v>
      </c>
      <c r="W520" s="4">
        <v>45741</v>
      </c>
      <c r="X520" s="19">
        <f t="shared" si="136"/>
        <v>20</v>
      </c>
      <c r="Y520" s="51">
        <f t="shared" si="137"/>
        <v>45786</v>
      </c>
      <c r="Z520" s="4">
        <v>45814</v>
      </c>
      <c r="AA520" s="49">
        <f t="shared" si="138"/>
        <v>-28</v>
      </c>
      <c r="AB520" s="51">
        <f t="shared" si="139"/>
        <v>45791</v>
      </c>
      <c r="AC520" s="49">
        <f t="shared" si="140"/>
        <v>-23</v>
      </c>
      <c r="AD520" s="43">
        <f t="shared" si="141"/>
        <v>45791</v>
      </c>
      <c r="AE520" s="4">
        <v>45814</v>
      </c>
      <c r="AF520" s="19">
        <f t="shared" si="142"/>
        <v>-23</v>
      </c>
      <c r="AG520" s="67"/>
      <c r="AH520" s="2"/>
      <c r="AI520" s="2"/>
      <c r="AJ520" s="2"/>
      <c r="AK520" s="2"/>
      <c r="AL520" s="2"/>
    </row>
    <row r="521" spans="1:38" ht="14.45">
      <c r="A521" s="156">
        <v>520</v>
      </c>
      <c r="B521" s="59">
        <v>45791</v>
      </c>
      <c r="C521" s="34" t="s">
        <v>1059</v>
      </c>
      <c r="D521" s="23" t="s">
        <v>1060</v>
      </c>
      <c r="E521" s="23">
        <v>10355</v>
      </c>
      <c r="F521" s="23" t="s">
        <v>1061</v>
      </c>
      <c r="G521" s="14" t="s">
        <v>35</v>
      </c>
      <c r="H521" s="23" t="s">
        <v>36</v>
      </c>
      <c r="I521" s="23" t="s">
        <v>93</v>
      </c>
      <c r="J521" s="97">
        <f t="shared" si="128"/>
        <v>45691</v>
      </c>
      <c r="L521" s="19" t="str">
        <f t="shared" si="129"/>
        <v/>
      </c>
      <c r="M521" s="5">
        <f t="shared" si="130"/>
        <v>45702</v>
      </c>
      <c r="O521" s="19" t="str">
        <f t="shared" si="131"/>
        <v/>
      </c>
      <c r="P521" s="5">
        <f t="shared" si="132"/>
        <v>45717</v>
      </c>
      <c r="R521" s="19" t="str">
        <f t="shared" si="133"/>
        <v/>
      </c>
      <c r="S521" s="5">
        <f t="shared" si="143"/>
        <v>45722</v>
      </c>
      <c r="U521" s="19" t="str">
        <f t="shared" si="134"/>
        <v/>
      </c>
      <c r="V521" s="5">
        <f t="shared" si="135"/>
        <v>45761</v>
      </c>
      <c r="W521" s="4">
        <v>45779</v>
      </c>
      <c r="X521" s="19">
        <f t="shared" si="136"/>
        <v>-18</v>
      </c>
      <c r="Y521" s="51">
        <f t="shared" si="137"/>
        <v>45786</v>
      </c>
      <c r="AA521" s="49" t="str">
        <f t="shared" si="138"/>
        <v/>
      </c>
      <c r="AB521" s="51">
        <f t="shared" si="139"/>
        <v>45791</v>
      </c>
      <c r="AC521" s="49" t="str">
        <f t="shared" si="140"/>
        <v/>
      </c>
      <c r="AD521" s="43">
        <f t="shared" si="141"/>
        <v>45791</v>
      </c>
      <c r="AF521" s="19" t="str">
        <f t="shared" si="142"/>
        <v/>
      </c>
      <c r="AG521" s="67"/>
      <c r="AH521" s="2"/>
      <c r="AI521" s="2"/>
      <c r="AJ521" s="2"/>
      <c r="AK521" s="2"/>
      <c r="AL521" s="2"/>
    </row>
    <row r="522" spans="1:38" ht="14.45">
      <c r="A522" s="156">
        <v>521</v>
      </c>
      <c r="B522" s="59">
        <v>45791</v>
      </c>
      <c r="C522" s="34" t="s">
        <v>1062</v>
      </c>
      <c r="D522" s="23" t="s">
        <v>1063</v>
      </c>
      <c r="E522" s="23">
        <v>6725.71</v>
      </c>
      <c r="F522" s="23" t="s">
        <v>37</v>
      </c>
      <c r="G522" s="14" t="s">
        <v>35</v>
      </c>
      <c r="H522" s="23" t="s">
        <v>36</v>
      </c>
      <c r="I522" s="23" t="s">
        <v>37</v>
      </c>
      <c r="J522" s="97">
        <f t="shared" si="128"/>
        <v>45691</v>
      </c>
      <c r="L522" s="19" t="str">
        <f t="shared" si="129"/>
        <v/>
      </c>
      <c r="M522" s="5">
        <f t="shared" si="130"/>
        <v>45702</v>
      </c>
      <c r="O522" s="19" t="str">
        <f t="shared" si="131"/>
        <v/>
      </c>
      <c r="P522" s="5">
        <f t="shared" si="132"/>
        <v>45717</v>
      </c>
      <c r="R522" s="19" t="str">
        <f t="shared" si="133"/>
        <v/>
      </c>
      <c r="S522" s="5">
        <f t="shared" si="143"/>
        <v>45722</v>
      </c>
      <c r="U522" s="19" t="str">
        <f t="shared" si="134"/>
        <v/>
      </c>
      <c r="V522" s="5">
        <f t="shared" si="135"/>
        <v>45761</v>
      </c>
      <c r="W522" s="4">
        <v>45779</v>
      </c>
      <c r="X522" s="19">
        <f t="shared" si="136"/>
        <v>-18</v>
      </c>
      <c r="Y522" s="51">
        <f t="shared" si="137"/>
        <v>45786</v>
      </c>
      <c r="AA522" s="49" t="str">
        <f t="shared" si="138"/>
        <v/>
      </c>
      <c r="AB522" s="51">
        <f t="shared" si="139"/>
        <v>45791</v>
      </c>
      <c r="AC522" s="49" t="str">
        <f t="shared" si="140"/>
        <v/>
      </c>
      <c r="AD522" s="43">
        <f t="shared" si="141"/>
        <v>45791</v>
      </c>
      <c r="AF522" s="19" t="str">
        <f t="shared" si="142"/>
        <v/>
      </c>
      <c r="AG522" s="67"/>
      <c r="AH522" s="2"/>
      <c r="AI522" s="2"/>
      <c r="AJ522" s="2"/>
      <c r="AK522" s="2"/>
      <c r="AL522" s="2"/>
    </row>
    <row r="523" spans="1:38" ht="14.45">
      <c r="A523" s="156">
        <v>522</v>
      </c>
      <c r="B523" s="59">
        <v>45792</v>
      </c>
      <c r="C523" s="34" t="s">
        <v>1064</v>
      </c>
      <c r="D523" s="23" t="s">
        <v>1065</v>
      </c>
      <c r="E523" s="23">
        <v>33788.36</v>
      </c>
      <c r="F523" s="23" t="s">
        <v>1066</v>
      </c>
      <c r="G523" s="14" t="s">
        <v>35</v>
      </c>
      <c r="H523" s="23" t="s">
        <v>40</v>
      </c>
      <c r="I523" s="23" t="s">
        <v>93</v>
      </c>
      <c r="J523" s="97">
        <f t="shared" si="128"/>
        <v>45692</v>
      </c>
      <c r="L523" s="19" t="str">
        <f t="shared" si="129"/>
        <v/>
      </c>
      <c r="M523" s="5">
        <f t="shared" si="130"/>
        <v>45703</v>
      </c>
      <c r="O523" s="19" t="str">
        <f t="shared" si="131"/>
        <v/>
      </c>
      <c r="P523" s="5">
        <f t="shared" si="132"/>
        <v>45718</v>
      </c>
      <c r="R523" s="19" t="str">
        <f t="shared" si="133"/>
        <v/>
      </c>
      <c r="S523" s="5">
        <f t="shared" si="143"/>
        <v>45723</v>
      </c>
      <c r="T523" s="4">
        <v>45714</v>
      </c>
      <c r="U523" s="19">
        <f t="shared" si="134"/>
        <v>9</v>
      </c>
      <c r="V523" s="5">
        <f t="shared" si="135"/>
        <v>45762</v>
      </c>
      <c r="W523" s="4">
        <v>45763</v>
      </c>
      <c r="X523" s="19">
        <f t="shared" si="136"/>
        <v>-1</v>
      </c>
      <c r="Y523" s="51">
        <f t="shared" si="137"/>
        <v>45787</v>
      </c>
      <c r="AA523" s="49" t="str">
        <f t="shared" si="138"/>
        <v/>
      </c>
      <c r="AB523" s="51">
        <f t="shared" si="139"/>
        <v>45792</v>
      </c>
      <c r="AC523" s="49" t="str">
        <f t="shared" si="140"/>
        <v/>
      </c>
      <c r="AD523" s="43">
        <f t="shared" si="141"/>
        <v>45792</v>
      </c>
      <c r="AF523" s="19" t="str">
        <f t="shared" si="142"/>
        <v/>
      </c>
      <c r="AG523" s="67"/>
      <c r="AH523" s="2"/>
      <c r="AI523" s="2"/>
      <c r="AJ523" s="2"/>
      <c r="AK523" s="2"/>
      <c r="AL523" s="2"/>
    </row>
    <row r="524" spans="1:38" ht="14.45">
      <c r="A524" s="156">
        <v>523</v>
      </c>
      <c r="B524" s="59">
        <v>45792</v>
      </c>
      <c r="C524" s="34" t="s">
        <v>1067</v>
      </c>
      <c r="D524" s="23" t="s">
        <v>1068</v>
      </c>
      <c r="E524" s="23">
        <v>55300</v>
      </c>
      <c r="F524" s="23" t="s">
        <v>1069</v>
      </c>
      <c r="G524" s="14" t="s">
        <v>46</v>
      </c>
      <c r="H524" s="23" t="s">
        <v>36</v>
      </c>
      <c r="I524" s="23" t="s">
        <v>252</v>
      </c>
      <c r="J524" s="97">
        <f t="shared" si="128"/>
        <v>45692</v>
      </c>
      <c r="K524" s="4">
        <v>45705</v>
      </c>
      <c r="L524" s="19">
        <f t="shared" si="129"/>
        <v>-13</v>
      </c>
      <c r="M524" s="5">
        <f t="shared" si="130"/>
        <v>45703</v>
      </c>
      <c r="O524" s="19" t="str">
        <f t="shared" si="131"/>
        <v/>
      </c>
      <c r="P524" s="5">
        <f t="shared" si="132"/>
        <v>45718</v>
      </c>
      <c r="R524" s="19" t="str">
        <f t="shared" si="133"/>
        <v/>
      </c>
      <c r="S524" s="5">
        <f t="shared" si="143"/>
        <v>45723</v>
      </c>
      <c r="T524" s="4">
        <v>45762</v>
      </c>
      <c r="U524" s="19">
        <f t="shared" si="134"/>
        <v>-39</v>
      </c>
      <c r="V524" s="5">
        <f t="shared" si="135"/>
        <v>45762</v>
      </c>
      <c r="W524" s="4">
        <v>45758</v>
      </c>
      <c r="X524" s="19">
        <f t="shared" si="136"/>
        <v>4</v>
      </c>
      <c r="Y524" s="51">
        <f t="shared" si="137"/>
        <v>45787</v>
      </c>
      <c r="Z524" s="4">
        <v>45800</v>
      </c>
      <c r="AA524" s="49">
        <f t="shared" si="138"/>
        <v>-13</v>
      </c>
      <c r="AB524" s="51">
        <f t="shared" si="139"/>
        <v>45792</v>
      </c>
      <c r="AC524" s="49">
        <f t="shared" si="140"/>
        <v>-8</v>
      </c>
      <c r="AD524" s="43">
        <f t="shared" si="141"/>
        <v>45792</v>
      </c>
      <c r="AE524" s="4">
        <v>45800</v>
      </c>
      <c r="AF524" s="19">
        <f t="shared" si="142"/>
        <v>-8</v>
      </c>
      <c r="AG524" s="67"/>
      <c r="AH524" s="2"/>
      <c r="AI524" s="2"/>
      <c r="AJ524" s="2"/>
      <c r="AK524" s="2"/>
      <c r="AL524" s="2"/>
    </row>
    <row r="525" spans="1:38" ht="14.45">
      <c r="A525" s="156">
        <v>524</v>
      </c>
      <c r="B525" s="59">
        <v>45792</v>
      </c>
      <c r="C525" s="34">
        <v>644988198</v>
      </c>
      <c r="D525" s="23" t="s">
        <v>556</v>
      </c>
      <c r="E525" s="23">
        <v>8954.93</v>
      </c>
      <c r="F525" s="23" t="s">
        <v>1070</v>
      </c>
      <c r="G525" s="14" t="s">
        <v>51</v>
      </c>
      <c r="H525" s="23" t="s">
        <v>40</v>
      </c>
      <c r="I525" s="23" t="s">
        <v>93</v>
      </c>
      <c r="J525" s="97">
        <f t="shared" si="128"/>
        <v>45692</v>
      </c>
      <c r="L525" s="19" t="str">
        <f t="shared" si="129"/>
        <v/>
      </c>
      <c r="M525" s="5">
        <f t="shared" si="130"/>
        <v>45703</v>
      </c>
      <c r="O525" s="19" t="str">
        <f t="shared" si="131"/>
        <v/>
      </c>
      <c r="P525" s="5">
        <f t="shared" si="132"/>
        <v>45718</v>
      </c>
      <c r="R525" s="19" t="str">
        <f t="shared" si="133"/>
        <v/>
      </c>
      <c r="S525" s="5">
        <f t="shared" si="143"/>
        <v>45723</v>
      </c>
      <c r="T525" s="4">
        <v>45694</v>
      </c>
      <c r="U525" s="19">
        <f t="shared" si="134"/>
        <v>29</v>
      </c>
      <c r="V525" s="5">
        <f t="shared" si="135"/>
        <v>45762</v>
      </c>
      <c r="W525" s="4">
        <v>45735</v>
      </c>
      <c r="X525" s="19">
        <f t="shared" si="136"/>
        <v>27</v>
      </c>
      <c r="Y525" s="51">
        <f t="shared" si="137"/>
        <v>45787</v>
      </c>
      <c r="Z525" s="4">
        <v>45783</v>
      </c>
      <c r="AA525" s="49">
        <f t="shared" si="138"/>
        <v>4</v>
      </c>
      <c r="AB525" s="51">
        <f t="shared" si="139"/>
        <v>45792</v>
      </c>
      <c r="AC525" s="49">
        <f t="shared" si="140"/>
        <v>9</v>
      </c>
      <c r="AD525" s="43">
        <f t="shared" si="141"/>
        <v>45792</v>
      </c>
      <c r="AE525" s="4">
        <v>45783</v>
      </c>
      <c r="AF525" s="19">
        <f t="shared" si="142"/>
        <v>9</v>
      </c>
      <c r="AG525" s="67"/>
      <c r="AH525" s="2"/>
      <c r="AI525" s="2"/>
      <c r="AJ525" s="2"/>
      <c r="AK525" s="2"/>
      <c r="AL525" s="2"/>
    </row>
    <row r="526" spans="1:38" ht="14.45">
      <c r="A526" s="156">
        <v>525</v>
      </c>
      <c r="B526" s="59">
        <v>45792</v>
      </c>
      <c r="C526" s="34" t="s">
        <v>1071</v>
      </c>
      <c r="D526" s="23" t="s">
        <v>1072</v>
      </c>
      <c r="E526" s="23">
        <v>82594.92</v>
      </c>
      <c r="F526" s="23" t="s">
        <v>1073</v>
      </c>
      <c r="G526" s="14" t="s">
        <v>46</v>
      </c>
      <c r="H526" s="23" t="s">
        <v>40</v>
      </c>
      <c r="I526" s="23" t="s">
        <v>323</v>
      </c>
      <c r="J526" s="97">
        <f t="shared" si="128"/>
        <v>45692</v>
      </c>
      <c r="K526" s="4">
        <v>45705</v>
      </c>
      <c r="L526" s="19">
        <f t="shared" si="129"/>
        <v>-13</v>
      </c>
      <c r="M526" s="5">
        <f t="shared" si="130"/>
        <v>45703</v>
      </c>
      <c r="N526" s="4">
        <v>45741</v>
      </c>
      <c r="O526" s="19">
        <f t="shared" si="131"/>
        <v>-38</v>
      </c>
      <c r="P526" s="5">
        <f t="shared" si="132"/>
        <v>45718</v>
      </c>
      <c r="R526" s="19" t="str">
        <f t="shared" si="133"/>
        <v/>
      </c>
      <c r="S526" s="5">
        <f t="shared" si="143"/>
        <v>45723</v>
      </c>
      <c r="T526" s="4">
        <v>45727</v>
      </c>
      <c r="U526" s="19">
        <f t="shared" si="134"/>
        <v>-4</v>
      </c>
      <c r="V526" s="5">
        <f t="shared" si="135"/>
        <v>45762</v>
      </c>
      <c r="W526" s="4">
        <v>45775</v>
      </c>
      <c r="X526" s="19">
        <f t="shared" si="136"/>
        <v>-13</v>
      </c>
      <c r="Y526" s="51">
        <f t="shared" si="137"/>
        <v>45787</v>
      </c>
      <c r="Z526" s="4">
        <v>45805</v>
      </c>
      <c r="AA526" s="49">
        <f t="shared" si="138"/>
        <v>-18</v>
      </c>
      <c r="AB526" s="51">
        <f t="shared" si="139"/>
        <v>45792</v>
      </c>
      <c r="AC526" s="49">
        <f t="shared" si="140"/>
        <v>-13</v>
      </c>
      <c r="AD526" s="43">
        <f t="shared" si="141"/>
        <v>45792</v>
      </c>
      <c r="AE526" s="4">
        <v>45805</v>
      </c>
      <c r="AF526" s="19">
        <f t="shared" si="142"/>
        <v>-13</v>
      </c>
      <c r="AG526" s="67"/>
      <c r="AH526" s="2"/>
      <c r="AI526" s="2"/>
      <c r="AJ526" s="2"/>
      <c r="AK526" s="2"/>
      <c r="AL526" s="2"/>
    </row>
    <row r="527" spans="1:38" ht="14.45">
      <c r="A527" s="156">
        <v>526</v>
      </c>
      <c r="B527" s="59">
        <v>45792</v>
      </c>
      <c r="C527" s="34" t="s">
        <v>1074</v>
      </c>
      <c r="D527" s="23" t="s">
        <v>1072</v>
      </c>
      <c r="E527" s="23">
        <v>84523.81</v>
      </c>
      <c r="F527" s="23" t="s">
        <v>1075</v>
      </c>
      <c r="G527" s="14" t="s">
        <v>46</v>
      </c>
      <c r="H527" s="23" t="s">
        <v>40</v>
      </c>
      <c r="I527" s="23" t="s">
        <v>323</v>
      </c>
      <c r="J527" s="97">
        <f t="shared" si="128"/>
        <v>45692</v>
      </c>
      <c r="K527" s="4">
        <v>45705</v>
      </c>
      <c r="L527" s="19">
        <f t="shared" si="129"/>
        <v>-13</v>
      </c>
      <c r="M527" s="5">
        <f t="shared" si="130"/>
        <v>45703</v>
      </c>
      <c r="N527" s="4">
        <v>45741</v>
      </c>
      <c r="O527" s="19">
        <f t="shared" si="131"/>
        <v>-38</v>
      </c>
      <c r="P527" s="5">
        <f t="shared" si="132"/>
        <v>45718</v>
      </c>
      <c r="R527" s="19" t="str">
        <f t="shared" si="133"/>
        <v/>
      </c>
      <c r="S527" s="5">
        <f t="shared" si="143"/>
        <v>45723</v>
      </c>
      <c r="T527" s="4">
        <v>45727</v>
      </c>
      <c r="U527" s="19">
        <f t="shared" si="134"/>
        <v>-4</v>
      </c>
      <c r="V527" s="5">
        <f t="shared" si="135"/>
        <v>45762</v>
      </c>
      <c r="W527" s="4">
        <v>45775</v>
      </c>
      <c r="X527" s="19">
        <f t="shared" si="136"/>
        <v>-13</v>
      </c>
      <c r="Y527" s="51">
        <f t="shared" si="137"/>
        <v>45787</v>
      </c>
      <c r="Z527" s="4">
        <v>45805</v>
      </c>
      <c r="AA527" s="49">
        <f t="shared" si="138"/>
        <v>-18</v>
      </c>
      <c r="AB527" s="51">
        <f t="shared" si="139"/>
        <v>45792</v>
      </c>
      <c r="AC527" s="49">
        <f t="shared" si="140"/>
        <v>-13</v>
      </c>
      <c r="AD527" s="43">
        <f t="shared" si="141"/>
        <v>45792</v>
      </c>
      <c r="AE527" s="4">
        <v>45805</v>
      </c>
      <c r="AF527" s="19">
        <f t="shared" si="142"/>
        <v>-13</v>
      </c>
      <c r="AG527" s="67"/>
      <c r="AH527" s="2"/>
      <c r="AI527" s="2"/>
      <c r="AJ527" s="2"/>
      <c r="AK527" s="2"/>
      <c r="AL527" s="2"/>
    </row>
    <row r="528" spans="1:38" ht="14.45">
      <c r="A528" s="156">
        <v>527</v>
      </c>
      <c r="B528" s="59">
        <v>45793</v>
      </c>
      <c r="C528" s="34" t="s">
        <v>1076</v>
      </c>
      <c r="D528" s="23" t="s">
        <v>1077</v>
      </c>
      <c r="E528" s="23">
        <v>69319.990000000005</v>
      </c>
      <c r="F528" s="23" t="s">
        <v>1078</v>
      </c>
      <c r="G528" s="14" t="s">
        <v>35</v>
      </c>
      <c r="H528" s="23" t="s">
        <v>36</v>
      </c>
      <c r="I528" s="23" t="s">
        <v>93</v>
      </c>
      <c r="J528" s="97">
        <f t="shared" si="128"/>
        <v>45693</v>
      </c>
      <c r="L528" s="19" t="str">
        <f t="shared" si="129"/>
        <v/>
      </c>
      <c r="M528" s="5">
        <f t="shared" si="130"/>
        <v>45704</v>
      </c>
      <c r="O528" s="19" t="str">
        <f t="shared" si="131"/>
        <v/>
      </c>
      <c r="P528" s="5">
        <f t="shared" si="132"/>
        <v>45719</v>
      </c>
      <c r="R528" s="19" t="str">
        <f t="shared" si="133"/>
        <v/>
      </c>
      <c r="S528" s="5">
        <f t="shared" si="143"/>
        <v>45724</v>
      </c>
      <c r="T528" s="4">
        <v>45735</v>
      </c>
      <c r="U528" s="19">
        <f t="shared" si="134"/>
        <v>-11</v>
      </c>
      <c r="V528" s="5">
        <f t="shared" si="135"/>
        <v>45763</v>
      </c>
      <c r="X528" s="19" t="str">
        <f t="shared" si="136"/>
        <v/>
      </c>
      <c r="Y528" s="51">
        <f t="shared" si="137"/>
        <v>45788</v>
      </c>
      <c r="AA528" s="49" t="str">
        <f t="shared" si="138"/>
        <v/>
      </c>
      <c r="AB528" s="51">
        <f t="shared" si="139"/>
        <v>45793</v>
      </c>
      <c r="AC528" s="49" t="str">
        <f t="shared" si="140"/>
        <v/>
      </c>
      <c r="AD528" s="43">
        <f t="shared" si="141"/>
        <v>45793</v>
      </c>
      <c r="AF528" s="19" t="str">
        <f t="shared" si="142"/>
        <v/>
      </c>
      <c r="AG528" s="67"/>
      <c r="AH528" s="2"/>
      <c r="AI528" s="2"/>
      <c r="AJ528" s="2"/>
      <c r="AK528" s="2"/>
      <c r="AL528" s="2"/>
    </row>
    <row r="529" spans="1:38" ht="14.45">
      <c r="A529" s="156">
        <v>528</v>
      </c>
      <c r="B529" s="59">
        <v>45793</v>
      </c>
      <c r="C529" s="34" t="s">
        <v>1079</v>
      </c>
      <c r="D529" s="23" t="s">
        <v>1077</v>
      </c>
      <c r="E529" s="23">
        <v>8776.26</v>
      </c>
      <c r="F529" s="23" t="s">
        <v>1080</v>
      </c>
      <c r="G529" s="23" t="s">
        <v>35</v>
      </c>
      <c r="H529" s="23" t="s">
        <v>36</v>
      </c>
      <c r="I529" s="23" t="s">
        <v>41</v>
      </c>
      <c r="J529" s="97">
        <f t="shared" si="128"/>
        <v>45693</v>
      </c>
      <c r="L529" s="19" t="str">
        <f t="shared" si="129"/>
        <v/>
      </c>
      <c r="M529" s="5">
        <f t="shared" si="130"/>
        <v>45704</v>
      </c>
      <c r="O529" s="19" t="str">
        <f t="shared" si="131"/>
        <v/>
      </c>
      <c r="P529" s="5">
        <f t="shared" si="132"/>
        <v>45719</v>
      </c>
      <c r="R529" s="19" t="str">
        <f t="shared" si="133"/>
        <v/>
      </c>
      <c r="S529" s="5">
        <f t="shared" si="143"/>
        <v>45724</v>
      </c>
      <c r="T529" s="4">
        <v>45735</v>
      </c>
      <c r="U529" s="19">
        <f t="shared" si="134"/>
        <v>-11</v>
      </c>
      <c r="V529" s="5">
        <f t="shared" si="135"/>
        <v>45763</v>
      </c>
      <c r="X529" s="19" t="str">
        <f t="shared" si="136"/>
        <v/>
      </c>
      <c r="Y529" s="51">
        <f t="shared" si="137"/>
        <v>45788</v>
      </c>
      <c r="AA529" s="49" t="str">
        <f t="shared" si="138"/>
        <v/>
      </c>
      <c r="AB529" s="51">
        <f t="shared" si="139"/>
        <v>45793</v>
      </c>
      <c r="AC529" s="49" t="str">
        <f t="shared" si="140"/>
        <v/>
      </c>
      <c r="AD529" s="43">
        <f t="shared" si="141"/>
        <v>45793</v>
      </c>
      <c r="AF529" s="19" t="str">
        <f t="shared" si="142"/>
        <v/>
      </c>
      <c r="AG529" s="67"/>
      <c r="AH529" s="2"/>
      <c r="AI529" s="2"/>
      <c r="AJ529" s="2"/>
      <c r="AK529" s="2"/>
      <c r="AL529" s="2"/>
    </row>
    <row r="530" spans="1:38" ht="14.45">
      <c r="A530" s="156">
        <v>529</v>
      </c>
      <c r="B530" s="59">
        <v>45793</v>
      </c>
      <c r="C530" s="34">
        <v>111690830</v>
      </c>
      <c r="D530" s="23" t="s">
        <v>1081</v>
      </c>
      <c r="E530" s="23">
        <v>8843.18</v>
      </c>
      <c r="F530" s="23" t="s">
        <v>1082</v>
      </c>
      <c r="G530" s="14" t="s">
        <v>46</v>
      </c>
      <c r="H530" s="23" t="s">
        <v>36</v>
      </c>
      <c r="I530" s="23" t="s">
        <v>37</v>
      </c>
      <c r="J530" s="97">
        <f t="shared" si="128"/>
        <v>45693</v>
      </c>
      <c r="K530" s="4">
        <v>45705</v>
      </c>
      <c r="L530" s="19">
        <f t="shared" si="129"/>
        <v>-12</v>
      </c>
      <c r="M530" s="5">
        <f t="shared" si="130"/>
        <v>45704</v>
      </c>
      <c r="O530" s="19" t="str">
        <f t="shared" si="131"/>
        <v/>
      </c>
      <c r="P530" s="5">
        <f t="shared" si="132"/>
        <v>45719</v>
      </c>
      <c r="R530" s="19" t="str">
        <f t="shared" si="133"/>
        <v/>
      </c>
      <c r="S530" s="5">
        <f t="shared" si="143"/>
        <v>45724</v>
      </c>
      <c r="T530" s="4">
        <v>45721</v>
      </c>
      <c r="U530" s="19">
        <f t="shared" si="134"/>
        <v>3</v>
      </c>
      <c r="V530" s="5">
        <f t="shared" si="135"/>
        <v>45763</v>
      </c>
      <c r="W530" s="4">
        <v>45756</v>
      </c>
      <c r="X530" s="19">
        <f t="shared" si="136"/>
        <v>7</v>
      </c>
      <c r="Y530" s="51">
        <f t="shared" si="137"/>
        <v>45788</v>
      </c>
      <c r="Z530" s="4">
        <v>45799</v>
      </c>
      <c r="AA530" s="49">
        <f t="shared" si="138"/>
        <v>-11</v>
      </c>
      <c r="AB530" s="51">
        <f t="shared" si="139"/>
        <v>45793</v>
      </c>
      <c r="AC530" s="49">
        <f t="shared" si="140"/>
        <v>-6</v>
      </c>
      <c r="AD530" s="43">
        <f t="shared" si="141"/>
        <v>45793</v>
      </c>
      <c r="AE530" s="4">
        <v>45799</v>
      </c>
      <c r="AF530" s="19">
        <f t="shared" si="142"/>
        <v>-6</v>
      </c>
      <c r="AG530" s="67"/>
      <c r="AH530" s="2"/>
      <c r="AI530" s="2"/>
      <c r="AJ530" s="2"/>
      <c r="AK530" s="2"/>
      <c r="AL530" s="2"/>
    </row>
    <row r="531" spans="1:38" ht="14.45">
      <c r="A531" s="156">
        <v>530</v>
      </c>
      <c r="B531" s="59">
        <v>45793</v>
      </c>
      <c r="C531" s="34" t="s">
        <v>1083</v>
      </c>
      <c r="D531" s="23" t="s">
        <v>38</v>
      </c>
      <c r="E531" s="23">
        <v>252</v>
      </c>
      <c r="F531" s="23" t="s">
        <v>1084</v>
      </c>
      <c r="G531" s="14" t="s">
        <v>190</v>
      </c>
      <c r="H531" s="23" t="s">
        <v>40</v>
      </c>
      <c r="I531" s="23" t="s">
        <v>41</v>
      </c>
      <c r="J531" s="97">
        <f t="shared" si="128"/>
        <v>45693</v>
      </c>
      <c r="L531" s="19" t="str">
        <f t="shared" si="129"/>
        <v/>
      </c>
      <c r="M531" s="5">
        <f t="shared" si="130"/>
        <v>45704</v>
      </c>
      <c r="N531" s="4">
        <v>45770</v>
      </c>
      <c r="O531" s="19">
        <f t="shared" si="131"/>
        <v>-66</v>
      </c>
      <c r="P531" s="5">
        <f t="shared" si="132"/>
        <v>45719</v>
      </c>
      <c r="Q531" s="4">
        <v>45777</v>
      </c>
      <c r="R531" s="19">
        <f t="shared" si="133"/>
        <v>-58</v>
      </c>
      <c r="S531" s="5">
        <f t="shared" si="143"/>
        <v>45724</v>
      </c>
      <c r="T531" s="4">
        <v>45778</v>
      </c>
      <c r="U531" s="19">
        <f t="shared" si="134"/>
        <v>-54</v>
      </c>
      <c r="V531" s="5">
        <f t="shared" si="135"/>
        <v>45763</v>
      </c>
      <c r="W531" s="4">
        <v>45778</v>
      </c>
      <c r="X531" s="19">
        <f t="shared" si="136"/>
        <v>-15</v>
      </c>
      <c r="Y531" s="51">
        <f t="shared" si="137"/>
        <v>45788</v>
      </c>
      <c r="Z531" s="4">
        <v>45793</v>
      </c>
      <c r="AA531" s="49">
        <f t="shared" si="138"/>
        <v>-5</v>
      </c>
      <c r="AB531" s="51">
        <f t="shared" si="139"/>
        <v>45793</v>
      </c>
      <c r="AC531" s="49">
        <f t="shared" si="140"/>
        <v>0</v>
      </c>
      <c r="AD531" s="43">
        <f t="shared" si="141"/>
        <v>45793</v>
      </c>
      <c r="AE531" s="4">
        <v>45793</v>
      </c>
      <c r="AF531" s="19">
        <f t="shared" si="142"/>
        <v>0</v>
      </c>
      <c r="AG531" s="67"/>
      <c r="AH531" s="2"/>
      <c r="AI531" s="2"/>
      <c r="AJ531" s="2"/>
      <c r="AK531" s="2"/>
      <c r="AL531" s="2"/>
    </row>
    <row r="532" spans="1:38" ht="14.45">
      <c r="A532" s="156">
        <v>531</v>
      </c>
      <c r="B532" s="59">
        <v>45793</v>
      </c>
      <c r="C532" s="34" t="s">
        <v>1085</v>
      </c>
      <c r="D532" s="23" t="s">
        <v>1086</v>
      </c>
      <c r="E532" s="23">
        <v>10632.85</v>
      </c>
      <c r="F532" s="23" t="s">
        <v>1087</v>
      </c>
      <c r="G532" s="14" t="s">
        <v>46</v>
      </c>
      <c r="H532" s="23" t="s">
        <v>36</v>
      </c>
      <c r="I532" s="23" t="s">
        <v>37</v>
      </c>
      <c r="J532" s="97">
        <f t="shared" si="128"/>
        <v>45693</v>
      </c>
      <c r="K532" s="4">
        <v>45705</v>
      </c>
      <c r="L532" s="19">
        <f t="shared" si="129"/>
        <v>-12</v>
      </c>
      <c r="M532" s="5">
        <f t="shared" si="130"/>
        <v>45704</v>
      </c>
      <c r="O532" s="19" t="str">
        <f t="shared" si="131"/>
        <v/>
      </c>
      <c r="P532" s="5">
        <f t="shared" si="132"/>
        <v>45719</v>
      </c>
      <c r="R532" s="19" t="str">
        <f t="shared" si="133"/>
        <v/>
      </c>
      <c r="S532" s="5">
        <f t="shared" si="143"/>
        <v>45724</v>
      </c>
      <c r="T532" s="4">
        <v>45728</v>
      </c>
      <c r="U532" s="19">
        <f t="shared" si="134"/>
        <v>-4</v>
      </c>
      <c r="V532" s="5">
        <f t="shared" si="135"/>
        <v>45763</v>
      </c>
      <c r="W532" s="4">
        <v>45757</v>
      </c>
      <c r="X532" s="19">
        <f t="shared" si="136"/>
        <v>6</v>
      </c>
      <c r="Y532" s="51">
        <f t="shared" si="137"/>
        <v>45788</v>
      </c>
      <c r="Z532" s="4">
        <v>45790</v>
      </c>
      <c r="AA532" s="49">
        <f t="shared" si="138"/>
        <v>-2</v>
      </c>
      <c r="AB532" s="51">
        <f t="shared" si="139"/>
        <v>45793</v>
      </c>
      <c r="AC532" s="49">
        <f t="shared" si="140"/>
        <v>3</v>
      </c>
      <c r="AD532" s="43">
        <f t="shared" si="141"/>
        <v>45793</v>
      </c>
      <c r="AE532" s="4">
        <v>45790</v>
      </c>
      <c r="AF532" s="19">
        <f t="shared" si="142"/>
        <v>3</v>
      </c>
      <c r="AG532" s="67"/>
      <c r="AH532" s="2"/>
      <c r="AI532" s="2"/>
      <c r="AJ532" s="2"/>
      <c r="AK532" s="2"/>
      <c r="AL532" s="2"/>
    </row>
    <row r="533" spans="1:38" ht="14.45">
      <c r="A533" s="156">
        <v>532</v>
      </c>
      <c r="B533" s="59">
        <v>45793</v>
      </c>
      <c r="C533" s="34" t="s">
        <v>1088</v>
      </c>
      <c r="D533" s="23" t="s">
        <v>1089</v>
      </c>
      <c r="E533" s="23">
        <v>11575.87</v>
      </c>
      <c r="F533" s="23" t="s">
        <v>1090</v>
      </c>
      <c r="G533" s="14" t="s">
        <v>190</v>
      </c>
      <c r="H533" s="23" t="s">
        <v>36</v>
      </c>
      <c r="I533" s="23" t="s">
        <v>62</v>
      </c>
      <c r="J533" s="97">
        <f t="shared" si="128"/>
        <v>45693</v>
      </c>
      <c r="K533" s="4">
        <v>45712</v>
      </c>
      <c r="L533" s="19">
        <f t="shared" si="129"/>
        <v>-19</v>
      </c>
      <c r="M533" s="5">
        <f t="shared" si="130"/>
        <v>45704</v>
      </c>
      <c r="N533" s="4">
        <v>45728</v>
      </c>
      <c r="O533" s="19">
        <f t="shared" si="131"/>
        <v>-24</v>
      </c>
      <c r="P533" s="5">
        <f t="shared" si="132"/>
        <v>45719</v>
      </c>
      <c r="R533" s="19" t="str">
        <f t="shared" si="133"/>
        <v/>
      </c>
      <c r="S533" s="5">
        <f t="shared" si="143"/>
        <v>45724</v>
      </c>
      <c r="T533" s="4">
        <v>45730</v>
      </c>
      <c r="U533" s="19">
        <f t="shared" si="134"/>
        <v>-6</v>
      </c>
      <c r="V533" s="5">
        <f t="shared" si="135"/>
        <v>45763</v>
      </c>
      <c r="W533" s="4">
        <v>45754</v>
      </c>
      <c r="X533" s="19">
        <f t="shared" si="136"/>
        <v>9</v>
      </c>
      <c r="Y533" s="51">
        <f t="shared" si="137"/>
        <v>45788</v>
      </c>
      <c r="Z533" s="4">
        <v>45754</v>
      </c>
      <c r="AA533" s="49">
        <f t="shared" si="138"/>
        <v>34</v>
      </c>
      <c r="AB533" s="51">
        <f t="shared" si="139"/>
        <v>45793</v>
      </c>
      <c r="AC533" s="49">
        <f t="shared" si="140"/>
        <v>39</v>
      </c>
      <c r="AD533" s="43">
        <f t="shared" si="141"/>
        <v>45793</v>
      </c>
      <c r="AE533" s="4">
        <v>45754</v>
      </c>
      <c r="AF533" s="19">
        <f t="shared" si="142"/>
        <v>39</v>
      </c>
      <c r="AG533" s="67"/>
      <c r="AH533" s="2"/>
      <c r="AI533" s="2"/>
      <c r="AJ533" s="2"/>
      <c r="AK533" s="2"/>
      <c r="AL533" s="2"/>
    </row>
    <row r="534" spans="1:38" ht="14.45">
      <c r="A534" s="156">
        <v>533</v>
      </c>
      <c r="B534" s="59">
        <v>45793</v>
      </c>
      <c r="C534" s="34" t="s">
        <v>1091</v>
      </c>
      <c r="D534" s="23" t="s">
        <v>1092</v>
      </c>
      <c r="E534" s="23">
        <v>31250</v>
      </c>
      <c r="F534" s="23" t="s">
        <v>1093</v>
      </c>
      <c r="G534" s="14" t="s">
        <v>46</v>
      </c>
      <c r="H534" s="23" t="s">
        <v>40</v>
      </c>
      <c r="I534" s="23" t="s">
        <v>62</v>
      </c>
      <c r="J534" s="97">
        <f t="shared" si="128"/>
        <v>45693</v>
      </c>
      <c r="K534" s="4">
        <v>45692</v>
      </c>
      <c r="L534" s="19">
        <f t="shared" si="129"/>
        <v>1</v>
      </c>
      <c r="M534" s="5">
        <f t="shared" si="130"/>
        <v>45704</v>
      </c>
      <c r="O534" s="19" t="str">
        <f t="shared" si="131"/>
        <v/>
      </c>
      <c r="P534" s="5">
        <f t="shared" si="132"/>
        <v>45719</v>
      </c>
      <c r="R534" s="19" t="str">
        <f t="shared" si="133"/>
        <v/>
      </c>
      <c r="S534" s="5">
        <f t="shared" si="143"/>
        <v>45724</v>
      </c>
      <c r="T534" s="4">
        <v>45645</v>
      </c>
      <c r="U534" s="19">
        <f t="shared" si="134"/>
        <v>79</v>
      </c>
      <c r="V534" s="5">
        <f t="shared" si="135"/>
        <v>45763</v>
      </c>
      <c r="W534" s="4">
        <v>45702</v>
      </c>
      <c r="X534" s="19">
        <f t="shared" si="136"/>
        <v>61</v>
      </c>
      <c r="Y534" s="51">
        <f t="shared" si="137"/>
        <v>45788</v>
      </c>
      <c r="Z534" s="4">
        <v>45721</v>
      </c>
      <c r="AA534" s="49">
        <f t="shared" si="138"/>
        <v>67</v>
      </c>
      <c r="AB534" s="51">
        <f t="shared" si="139"/>
        <v>45793</v>
      </c>
      <c r="AC534" s="49">
        <f t="shared" si="140"/>
        <v>72</v>
      </c>
      <c r="AD534" s="43">
        <f t="shared" si="141"/>
        <v>45793</v>
      </c>
      <c r="AE534" s="4">
        <v>45721</v>
      </c>
      <c r="AF534" s="19">
        <f t="shared" si="142"/>
        <v>72</v>
      </c>
      <c r="AG534" s="67"/>
      <c r="AH534" s="2"/>
      <c r="AI534" s="2"/>
      <c r="AJ534" s="2"/>
      <c r="AK534" s="2"/>
      <c r="AL534" s="2"/>
    </row>
    <row r="535" spans="1:38" ht="14.45">
      <c r="A535" s="156">
        <v>534</v>
      </c>
      <c r="B535" s="59">
        <v>45793</v>
      </c>
      <c r="C535" s="34" t="s">
        <v>1094</v>
      </c>
      <c r="D535" s="23" t="s">
        <v>1092</v>
      </c>
      <c r="E535" s="23">
        <v>50737.42</v>
      </c>
      <c r="F535" s="23" t="s">
        <v>1095</v>
      </c>
      <c r="G535" s="14" t="s">
        <v>46</v>
      </c>
      <c r="H535" s="23" t="s">
        <v>40</v>
      </c>
      <c r="I535" s="23" t="s">
        <v>62</v>
      </c>
      <c r="J535" s="97">
        <f t="shared" si="128"/>
        <v>45693</v>
      </c>
      <c r="K535" s="4">
        <v>45692</v>
      </c>
      <c r="L535" s="19">
        <f t="shared" si="129"/>
        <v>1</v>
      </c>
      <c r="M535" s="5">
        <f t="shared" si="130"/>
        <v>45704</v>
      </c>
      <c r="O535" s="19" t="str">
        <f t="shared" si="131"/>
        <v/>
      </c>
      <c r="P535" s="5">
        <f t="shared" si="132"/>
        <v>45719</v>
      </c>
      <c r="R535" s="19" t="str">
        <f t="shared" si="133"/>
        <v/>
      </c>
      <c r="S535" s="5">
        <f t="shared" si="143"/>
        <v>45724</v>
      </c>
      <c r="T535" s="4">
        <v>45645</v>
      </c>
      <c r="U535" s="19">
        <f t="shared" si="134"/>
        <v>79</v>
      </c>
      <c r="V535" s="5">
        <f t="shared" si="135"/>
        <v>45763</v>
      </c>
      <c r="W535" s="4">
        <v>45702</v>
      </c>
      <c r="X535" s="19">
        <f t="shared" si="136"/>
        <v>61</v>
      </c>
      <c r="Y535" s="51">
        <f t="shared" si="137"/>
        <v>45788</v>
      </c>
      <c r="Z535" s="4">
        <v>45721</v>
      </c>
      <c r="AA535" s="49">
        <f t="shared" si="138"/>
        <v>67</v>
      </c>
      <c r="AB535" s="51">
        <f t="shared" si="139"/>
        <v>45793</v>
      </c>
      <c r="AC535" s="49">
        <f t="shared" si="140"/>
        <v>72</v>
      </c>
      <c r="AD535" s="43">
        <f t="shared" si="141"/>
        <v>45793</v>
      </c>
      <c r="AE535" s="4">
        <v>45721</v>
      </c>
      <c r="AF535" s="19">
        <f t="shared" si="142"/>
        <v>72</v>
      </c>
      <c r="AG535" s="67"/>
      <c r="AH535" s="2"/>
      <c r="AI535" s="2"/>
      <c r="AJ535" s="2"/>
      <c r="AK535" s="2"/>
      <c r="AL535" s="2"/>
    </row>
    <row r="536" spans="1:38" ht="14.45">
      <c r="A536" s="156">
        <v>535</v>
      </c>
      <c r="B536" s="59">
        <v>45793</v>
      </c>
      <c r="C536" s="34" t="s">
        <v>1096</v>
      </c>
      <c r="D536" s="23" t="s">
        <v>1097</v>
      </c>
      <c r="E536" s="23">
        <v>4407.07</v>
      </c>
      <c r="F536" s="23" t="s">
        <v>1098</v>
      </c>
      <c r="G536" s="14" t="s">
        <v>35</v>
      </c>
      <c r="H536" s="23" t="s">
        <v>36</v>
      </c>
      <c r="I536" s="23" t="s">
        <v>37</v>
      </c>
      <c r="J536" s="97">
        <f t="shared" si="128"/>
        <v>45693</v>
      </c>
      <c r="K536" s="4">
        <v>45692</v>
      </c>
      <c r="L536" s="19">
        <f t="shared" si="129"/>
        <v>1</v>
      </c>
      <c r="M536" s="5">
        <f t="shared" si="130"/>
        <v>45704</v>
      </c>
      <c r="O536" s="19" t="str">
        <f t="shared" si="131"/>
        <v/>
      </c>
      <c r="P536" s="5">
        <f t="shared" si="132"/>
        <v>45719</v>
      </c>
      <c r="R536" s="19" t="str">
        <f t="shared" si="133"/>
        <v/>
      </c>
      <c r="S536" s="5">
        <f t="shared" si="143"/>
        <v>45724</v>
      </c>
      <c r="T536" s="4">
        <v>45713</v>
      </c>
      <c r="U536" s="19">
        <f t="shared" si="134"/>
        <v>11</v>
      </c>
      <c r="V536" s="5">
        <f t="shared" si="135"/>
        <v>45763</v>
      </c>
      <c r="W536" s="4">
        <v>45786</v>
      </c>
      <c r="X536" s="19">
        <f t="shared" si="136"/>
        <v>-23</v>
      </c>
      <c r="Y536" s="51">
        <f t="shared" si="137"/>
        <v>45788</v>
      </c>
      <c r="AA536" s="49" t="str">
        <f t="shared" si="138"/>
        <v/>
      </c>
      <c r="AB536" s="51">
        <f t="shared" si="139"/>
        <v>45793</v>
      </c>
      <c r="AC536" s="49" t="str">
        <f t="shared" si="140"/>
        <v/>
      </c>
      <c r="AD536" s="43">
        <f t="shared" si="141"/>
        <v>45793</v>
      </c>
      <c r="AF536" s="19" t="str">
        <f t="shared" si="142"/>
        <v/>
      </c>
      <c r="AG536" s="67"/>
      <c r="AH536" s="2"/>
      <c r="AI536" s="2"/>
      <c r="AJ536" s="2"/>
      <c r="AK536" s="2"/>
      <c r="AL536" s="2"/>
    </row>
    <row r="537" spans="1:38" ht="14.45">
      <c r="A537" s="156">
        <v>536</v>
      </c>
      <c r="B537" s="59">
        <v>45793</v>
      </c>
      <c r="C537" s="34">
        <v>611679069</v>
      </c>
      <c r="D537" s="23" t="s">
        <v>1099</v>
      </c>
      <c r="E537" s="23">
        <v>1103.7</v>
      </c>
      <c r="F537" s="23" t="s">
        <v>1100</v>
      </c>
      <c r="G537" s="23" t="s">
        <v>35</v>
      </c>
      <c r="H537" s="23" t="s">
        <v>36</v>
      </c>
      <c r="I537" s="23" t="s">
        <v>93</v>
      </c>
      <c r="J537" s="97">
        <f t="shared" si="128"/>
        <v>45693</v>
      </c>
      <c r="L537" s="19" t="str">
        <f t="shared" si="129"/>
        <v/>
      </c>
      <c r="M537" s="5">
        <f t="shared" si="130"/>
        <v>45704</v>
      </c>
      <c r="O537" s="19" t="str">
        <f t="shared" si="131"/>
        <v/>
      </c>
      <c r="P537" s="5">
        <f t="shared" si="132"/>
        <v>45719</v>
      </c>
      <c r="R537" s="19" t="str">
        <f t="shared" si="133"/>
        <v/>
      </c>
      <c r="S537" s="5">
        <f t="shared" si="143"/>
        <v>45724</v>
      </c>
      <c r="U537" s="19" t="str">
        <f t="shared" si="134"/>
        <v/>
      </c>
      <c r="V537" s="5">
        <f t="shared" si="135"/>
        <v>45763</v>
      </c>
      <c r="W537" s="4">
        <v>45779</v>
      </c>
      <c r="X537" s="19">
        <f t="shared" si="136"/>
        <v>-16</v>
      </c>
      <c r="Y537" s="51">
        <f t="shared" si="137"/>
        <v>45788</v>
      </c>
      <c r="Z537" s="4">
        <v>45782</v>
      </c>
      <c r="AA537" s="49">
        <f t="shared" si="138"/>
        <v>6</v>
      </c>
      <c r="AB537" s="51">
        <f t="shared" si="139"/>
        <v>45793</v>
      </c>
      <c r="AC537" s="49">
        <f t="shared" si="140"/>
        <v>11</v>
      </c>
      <c r="AD537" s="43">
        <f t="shared" si="141"/>
        <v>45793</v>
      </c>
      <c r="AE537" s="4">
        <v>45782</v>
      </c>
      <c r="AF537" s="19">
        <f t="shared" si="142"/>
        <v>11</v>
      </c>
      <c r="AG537" s="67"/>
      <c r="AH537" s="2"/>
      <c r="AI537" s="2"/>
      <c r="AJ537" s="2"/>
      <c r="AK537" s="2"/>
      <c r="AL537" s="2"/>
    </row>
    <row r="538" spans="1:38" ht="14.45">
      <c r="A538" s="156">
        <v>537</v>
      </c>
      <c r="B538" s="59">
        <v>45794</v>
      </c>
      <c r="C538" s="34" t="s">
        <v>1101</v>
      </c>
      <c r="D538" s="23" t="s">
        <v>1102</v>
      </c>
      <c r="E538" s="23">
        <v>1382</v>
      </c>
      <c r="F538" s="23" t="s">
        <v>1103</v>
      </c>
      <c r="G538" s="14" t="s">
        <v>190</v>
      </c>
      <c r="H538" s="23" t="s">
        <v>40</v>
      </c>
      <c r="I538" s="23" t="s">
        <v>41</v>
      </c>
      <c r="J538" s="97">
        <f t="shared" si="128"/>
        <v>45694</v>
      </c>
      <c r="K538" s="4">
        <v>45692</v>
      </c>
      <c r="L538" s="19">
        <f t="shared" si="129"/>
        <v>2</v>
      </c>
      <c r="M538" s="5">
        <f t="shared" si="130"/>
        <v>45705</v>
      </c>
      <c r="O538" s="19" t="str">
        <f t="shared" si="131"/>
        <v/>
      </c>
      <c r="P538" s="5">
        <f t="shared" si="132"/>
        <v>45720</v>
      </c>
      <c r="R538" s="19" t="str">
        <f t="shared" si="133"/>
        <v/>
      </c>
      <c r="S538" s="5">
        <f t="shared" si="143"/>
        <v>45725</v>
      </c>
      <c r="T538" s="4">
        <v>45713</v>
      </c>
      <c r="U538" s="19">
        <f t="shared" si="134"/>
        <v>12</v>
      </c>
      <c r="V538" s="5">
        <f t="shared" si="135"/>
        <v>45764</v>
      </c>
      <c r="W538" s="4">
        <v>45741</v>
      </c>
      <c r="X538" s="19">
        <f t="shared" si="136"/>
        <v>23</v>
      </c>
      <c r="Y538" s="51">
        <f t="shared" si="137"/>
        <v>45789</v>
      </c>
      <c r="Z538" s="4">
        <v>45805</v>
      </c>
      <c r="AA538" s="49">
        <f t="shared" si="138"/>
        <v>-16</v>
      </c>
      <c r="AB538" s="51">
        <f t="shared" si="139"/>
        <v>45794</v>
      </c>
      <c r="AC538" s="49">
        <f t="shared" si="140"/>
        <v>-11</v>
      </c>
      <c r="AD538" s="43">
        <f t="shared" si="141"/>
        <v>45794</v>
      </c>
      <c r="AE538" s="4">
        <v>45805</v>
      </c>
      <c r="AF538" s="19">
        <f t="shared" si="142"/>
        <v>-11</v>
      </c>
      <c r="AG538" s="67"/>
      <c r="AH538" s="2"/>
      <c r="AI538" s="2"/>
      <c r="AJ538" s="2"/>
      <c r="AK538" s="2"/>
      <c r="AL538" s="2"/>
    </row>
    <row r="539" spans="1:38" ht="14.45">
      <c r="A539" s="156">
        <v>538</v>
      </c>
      <c r="B539" s="59">
        <v>45794</v>
      </c>
      <c r="C539" s="34" t="s">
        <v>1104</v>
      </c>
      <c r="D539" s="23" t="s">
        <v>1105</v>
      </c>
      <c r="E539" s="23">
        <v>45610.76</v>
      </c>
      <c r="F539" s="23" t="s">
        <v>1106</v>
      </c>
      <c r="G539" s="14" t="s">
        <v>35</v>
      </c>
      <c r="H539" s="23" t="s">
        <v>36</v>
      </c>
      <c r="I539" s="23" t="s">
        <v>47</v>
      </c>
      <c r="J539" s="97">
        <f t="shared" si="128"/>
        <v>45694</v>
      </c>
      <c r="L539" s="19" t="str">
        <f t="shared" si="129"/>
        <v/>
      </c>
      <c r="M539" s="5">
        <f t="shared" si="130"/>
        <v>45705</v>
      </c>
      <c r="O539" s="19" t="str">
        <f t="shared" si="131"/>
        <v/>
      </c>
      <c r="P539" s="5">
        <f t="shared" si="132"/>
        <v>45720</v>
      </c>
      <c r="R539" s="19" t="str">
        <f t="shared" si="133"/>
        <v/>
      </c>
      <c r="S539" s="5">
        <f t="shared" si="143"/>
        <v>45725</v>
      </c>
      <c r="T539" s="4">
        <v>45768</v>
      </c>
      <c r="U539" s="19">
        <f t="shared" si="134"/>
        <v>-43</v>
      </c>
      <c r="V539" s="5">
        <f t="shared" si="135"/>
        <v>45764</v>
      </c>
      <c r="X539" s="19" t="str">
        <f t="shared" si="136"/>
        <v/>
      </c>
      <c r="Y539" s="51">
        <f t="shared" si="137"/>
        <v>45789</v>
      </c>
      <c r="AA539" s="49" t="str">
        <f t="shared" si="138"/>
        <v/>
      </c>
      <c r="AB539" s="51">
        <f t="shared" si="139"/>
        <v>45794</v>
      </c>
      <c r="AC539" s="49" t="str">
        <f t="shared" si="140"/>
        <v/>
      </c>
      <c r="AD539" s="43">
        <f t="shared" si="141"/>
        <v>45794</v>
      </c>
      <c r="AF539" s="19" t="str">
        <f t="shared" si="142"/>
        <v/>
      </c>
      <c r="AG539" s="67"/>
      <c r="AH539" s="2"/>
      <c r="AI539" s="2"/>
      <c r="AJ539" s="2"/>
      <c r="AK539" s="2"/>
      <c r="AL539" s="2"/>
    </row>
    <row r="540" spans="1:38" ht="14.45">
      <c r="A540" s="156">
        <v>539</v>
      </c>
      <c r="B540" s="59">
        <v>45794</v>
      </c>
      <c r="C540" s="34" t="s">
        <v>1107</v>
      </c>
      <c r="D540" s="23" t="s">
        <v>1108</v>
      </c>
      <c r="E540" s="23">
        <v>8000</v>
      </c>
      <c r="F540" s="23" t="s">
        <v>1109</v>
      </c>
      <c r="G540" s="23" t="s">
        <v>35</v>
      </c>
      <c r="H540" s="23" t="s">
        <v>40</v>
      </c>
      <c r="I540" s="23" t="s">
        <v>62</v>
      </c>
      <c r="J540" s="97">
        <f t="shared" si="128"/>
        <v>45694</v>
      </c>
      <c r="L540" s="19" t="str">
        <f t="shared" si="129"/>
        <v/>
      </c>
      <c r="M540" s="5">
        <f t="shared" si="130"/>
        <v>45705</v>
      </c>
      <c r="O540" s="19" t="str">
        <f t="shared" si="131"/>
        <v/>
      </c>
      <c r="P540" s="5">
        <f t="shared" si="132"/>
        <v>45720</v>
      </c>
      <c r="R540" s="19" t="str">
        <f t="shared" si="133"/>
        <v/>
      </c>
      <c r="S540" s="5">
        <f t="shared" si="143"/>
        <v>45725</v>
      </c>
      <c r="U540" s="19" t="str">
        <f t="shared" si="134"/>
        <v/>
      </c>
      <c r="V540" s="5">
        <f t="shared" si="135"/>
        <v>45764</v>
      </c>
      <c r="X540" s="19" t="str">
        <f t="shared" si="136"/>
        <v/>
      </c>
      <c r="Y540" s="51">
        <f t="shared" si="137"/>
        <v>45789</v>
      </c>
      <c r="AA540" s="49" t="str">
        <f t="shared" si="138"/>
        <v/>
      </c>
      <c r="AB540" s="51">
        <f t="shared" si="139"/>
        <v>45794</v>
      </c>
      <c r="AC540" s="49" t="str">
        <f t="shared" si="140"/>
        <v/>
      </c>
      <c r="AD540" s="43">
        <f t="shared" si="141"/>
        <v>45794</v>
      </c>
      <c r="AF540" s="19" t="str">
        <f t="shared" si="142"/>
        <v/>
      </c>
      <c r="AG540" s="67"/>
      <c r="AH540" s="2"/>
      <c r="AI540" s="2"/>
      <c r="AJ540" s="2"/>
      <c r="AK540" s="2"/>
      <c r="AL540" s="2"/>
    </row>
    <row r="541" spans="1:38" ht="14.45">
      <c r="A541" s="156">
        <v>540</v>
      </c>
      <c r="B541" s="59">
        <v>45794</v>
      </c>
      <c r="C541" s="34" t="s">
        <v>1110</v>
      </c>
      <c r="D541" s="23" t="s">
        <v>1111</v>
      </c>
      <c r="E541" s="23">
        <v>5358</v>
      </c>
      <c r="F541" s="23" t="s">
        <v>1112</v>
      </c>
      <c r="G541" s="23" t="s">
        <v>35</v>
      </c>
      <c r="H541" s="23" t="s">
        <v>40</v>
      </c>
      <c r="I541" s="23" t="s">
        <v>121</v>
      </c>
      <c r="J541" s="97">
        <f t="shared" si="128"/>
        <v>45694</v>
      </c>
      <c r="L541" s="19" t="str">
        <f t="shared" si="129"/>
        <v/>
      </c>
      <c r="M541" s="5">
        <f t="shared" si="130"/>
        <v>45705</v>
      </c>
      <c r="O541" s="19" t="str">
        <f t="shared" si="131"/>
        <v/>
      </c>
      <c r="P541" s="5">
        <f t="shared" si="132"/>
        <v>45720</v>
      </c>
      <c r="R541" s="19" t="str">
        <f t="shared" si="133"/>
        <v/>
      </c>
      <c r="S541" s="5">
        <f t="shared" si="143"/>
        <v>45725</v>
      </c>
      <c r="U541" s="19" t="str">
        <f t="shared" si="134"/>
        <v/>
      </c>
      <c r="V541" s="5">
        <f t="shared" si="135"/>
        <v>45764</v>
      </c>
      <c r="X541" s="19" t="str">
        <f t="shared" si="136"/>
        <v/>
      </c>
      <c r="Y541" s="51">
        <f t="shared" si="137"/>
        <v>45789</v>
      </c>
      <c r="AA541" s="49" t="str">
        <f t="shared" si="138"/>
        <v/>
      </c>
      <c r="AB541" s="51">
        <f t="shared" si="139"/>
        <v>45794</v>
      </c>
      <c r="AC541" s="49" t="str">
        <f t="shared" si="140"/>
        <v/>
      </c>
      <c r="AD541" s="43">
        <f t="shared" si="141"/>
        <v>45794</v>
      </c>
      <c r="AF541" s="19" t="str">
        <f t="shared" si="142"/>
        <v/>
      </c>
      <c r="AG541" s="67"/>
      <c r="AH541" s="2"/>
      <c r="AI541" s="2"/>
      <c r="AJ541" s="2"/>
      <c r="AK541" s="2"/>
      <c r="AL541" s="2"/>
    </row>
    <row r="542" spans="1:38" ht="14.45">
      <c r="A542" s="156">
        <v>541</v>
      </c>
      <c r="B542" s="59">
        <v>45794</v>
      </c>
      <c r="C542" s="34">
        <v>613165059</v>
      </c>
      <c r="D542" s="23" t="s">
        <v>401</v>
      </c>
      <c r="E542" s="23">
        <v>9250</v>
      </c>
      <c r="F542" s="23" t="s">
        <v>1113</v>
      </c>
      <c r="G542" s="23" t="s">
        <v>35</v>
      </c>
      <c r="H542" s="23" t="s">
        <v>36</v>
      </c>
      <c r="I542" s="23" t="s">
        <v>41</v>
      </c>
      <c r="J542" s="97">
        <f t="shared" si="128"/>
        <v>45694</v>
      </c>
      <c r="L542" s="19" t="str">
        <f t="shared" si="129"/>
        <v/>
      </c>
      <c r="M542" s="5">
        <f t="shared" si="130"/>
        <v>45705</v>
      </c>
      <c r="O542" s="19" t="str">
        <f t="shared" si="131"/>
        <v/>
      </c>
      <c r="P542" s="5">
        <f t="shared" si="132"/>
        <v>45720</v>
      </c>
      <c r="R542" s="19" t="str">
        <f t="shared" si="133"/>
        <v/>
      </c>
      <c r="S542" s="5">
        <f t="shared" si="143"/>
        <v>45725</v>
      </c>
      <c r="U542" s="19" t="str">
        <f t="shared" si="134"/>
        <v/>
      </c>
      <c r="V542" s="5">
        <f t="shared" si="135"/>
        <v>45764</v>
      </c>
      <c r="W542" s="4">
        <v>45790</v>
      </c>
      <c r="X542" s="19">
        <f t="shared" si="136"/>
        <v>-26</v>
      </c>
      <c r="Y542" s="51">
        <f t="shared" si="137"/>
        <v>45789</v>
      </c>
      <c r="AA542" s="49" t="str">
        <f t="shared" si="138"/>
        <v/>
      </c>
      <c r="AB542" s="51">
        <f t="shared" si="139"/>
        <v>45794</v>
      </c>
      <c r="AC542" s="49" t="str">
        <f t="shared" si="140"/>
        <v/>
      </c>
      <c r="AD542" s="43">
        <f t="shared" si="141"/>
        <v>45794</v>
      </c>
      <c r="AF542" s="19" t="str">
        <f t="shared" si="142"/>
        <v/>
      </c>
      <c r="AG542" s="67"/>
      <c r="AH542" s="2"/>
      <c r="AI542" s="2"/>
      <c r="AJ542" s="2"/>
      <c r="AK542" s="2"/>
      <c r="AL542" s="2"/>
    </row>
    <row r="543" spans="1:38" ht="14.45">
      <c r="A543" s="156">
        <v>542</v>
      </c>
      <c r="B543" s="59">
        <v>45794</v>
      </c>
      <c r="C543" s="34" t="s">
        <v>1114</v>
      </c>
      <c r="D543" s="23" t="s">
        <v>1115</v>
      </c>
      <c r="E543" s="23">
        <v>853.98</v>
      </c>
      <c r="F543" s="23" t="s">
        <v>1116</v>
      </c>
      <c r="G543" s="14" t="s">
        <v>46</v>
      </c>
      <c r="H543" s="23" t="s">
        <v>40</v>
      </c>
      <c r="I543" s="23" t="s">
        <v>229</v>
      </c>
      <c r="J543" s="97">
        <f t="shared" si="128"/>
        <v>45694</v>
      </c>
      <c r="K543" s="4">
        <v>45705</v>
      </c>
      <c r="L543" s="19">
        <f t="shared" si="129"/>
        <v>-11</v>
      </c>
      <c r="M543" s="5">
        <f t="shared" si="130"/>
        <v>45705</v>
      </c>
      <c r="O543" s="19" t="str">
        <f t="shared" si="131"/>
        <v/>
      </c>
      <c r="P543" s="5">
        <f t="shared" si="132"/>
        <v>45720</v>
      </c>
      <c r="R543" s="19" t="str">
        <f t="shared" si="133"/>
        <v/>
      </c>
      <c r="S543" s="5">
        <f t="shared" si="143"/>
        <v>45725</v>
      </c>
      <c r="T543" s="4">
        <v>45757</v>
      </c>
      <c r="U543" s="19">
        <f t="shared" si="134"/>
        <v>-32</v>
      </c>
      <c r="V543" s="5">
        <f t="shared" si="135"/>
        <v>45764</v>
      </c>
      <c r="W543" s="4">
        <v>45763</v>
      </c>
      <c r="X543" s="19">
        <f t="shared" si="136"/>
        <v>1</v>
      </c>
      <c r="Y543" s="51">
        <f t="shared" si="137"/>
        <v>45789</v>
      </c>
      <c r="Z543" s="4">
        <v>45790</v>
      </c>
      <c r="AA543" s="49">
        <f t="shared" si="138"/>
        <v>-1</v>
      </c>
      <c r="AB543" s="51">
        <f t="shared" si="139"/>
        <v>45794</v>
      </c>
      <c r="AC543" s="49">
        <f t="shared" si="140"/>
        <v>4</v>
      </c>
      <c r="AD543" s="43">
        <f t="shared" si="141"/>
        <v>45794</v>
      </c>
      <c r="AE543" s="4">
        <v>45790</v>
      </c>
      <c r="AF543" s="19">
        <f t="shared" si="142"/>
        <v>4</v>
      </c>
      <c r="AG543" s="67"/>
      <c r="AH543" s="2"/>
      <c r="AI543" s="2"/>
      <c r="AJ543" s="2"/>
      <c r="AK543" s="2"/>
      <c r="AL543" s="2"/>
    </row>
    <row r="544" spans="1:38" s="9" customFormat="1" ht="14.45">
      <c r="A544" s="156">
        <v>543</v>
      </c>
      <c r="B544" s="60">
        <v>45795</v>
      </c>
      <c r="C544" s="41" t="s">
        <v>1117</v>
      </c>
      <c r="D544" s="24" t="s">
        <v>1118</v>
      </c>
      <c r="E544" s="24">
        <v>22659.75</v>
      </c>
      <c r="F544" s="24" t="s">
        <v>1119</v>
      </c>
      <c r="G544" s="14" t="s">
        <v>46</v>
      </c>
      <c r="H544" s="24" t="s">
        <v>36</v>
      </c>
      <c r="I544" s="24" t="s">
        <v>62</v>
      </c>
      <c r="J544" s="98">
        <f t="shared" si="128"/>
        <v>45695</v>
      </c>
      <c r="K544" s="7"/>
      <c r="L544" s="99" t="str">
        <f t="shared" si="129"/>
        <v/>
      </c>
      <c r="M544" s="20">
        <f t="shared" si="130"/>
        <v>45706</v>
      </c>
      <c r="N544" s="7">
        <v>45729</v>
      </c>
      <c r="O544" s="99">
        <f t="shared" si="131"/>
        <v>-23</v>
      </c>
      <c r="P544" s="5">
        <f t="shared" si="132"/>
        <v>45721</v>
      </c>
      <c r="Q544" s="4"/>
      <c r="R544" s="19" t="str">
        <f t="shared" si="133"/>
        <v/>
      </c>
      <c r="S544" s="20">
        <f t="shared" si="143"/>
        <v>45726</v>
      </c>
      <c r="T544" s="7">
        <v>45729</v>
      </c>
      <c r="U544" s="99">
        <f t="shared" si="134"/>
        <v>-3</v>
      </c>
      <c r="V544" s="20">
        <f t="shared" si="135"/>
        <v>45765</v>
      </c>
      <c r="W544" s="7">
        <v>45729</v>
      </c>
      <c r="X544" s="99">
        <f t="shared" si="136"/>
        <v>36</v>
      </c>
      <c r="Y544" s="51">
        <f t="shared" si="137"/>
        <v>45790</v>
      </c>
      <c r="Z544" s="7">
        <v>45729</v>
      </c>
      <c r="AA544" s="49">
        <f t="shared" si="138"/>
        <v>61</v>
      </c>
      <c r="AB544" s="51">
        <f t="shared" si="139"/>
        <v>45795</v>
      </c>
      <c r="AC544" s="49">
        <f t="shared" si="140"/>
        <v>66</v>
      </c>
      <c r="AD544" s="100">
        <f t="shared" si="141"/>
        <v>45795</v>
      </c>
      <c r="AE544" s="7">
        <v>45729</v>
      </c>
      <c r="AF544" s="99">
        <f t="shared" si="142"/>
        <v>66</v>
      </c>
      <c r="AG544" s="68"/>
      <c r="AH544" s="8"/>
      <c r="AI544" s="8"/>
      <c r="AJ544" s="8"/>
      <c r="AK544" s="8"/>
      <c r="AL544" s="8"/>
    </row>
    <row r="545" spans="1:38" ht="14.45">
      <c r="A545" s="156">
        <v>544</v>
      </c>
      <c r="B545" s="59">
        <v>45795</v>
      </c>
      <c r="C545" s="34" t="s">
        <v>1120</v>
      </c>
      <c r="D545" s="23" t="s">
        <v>596</v>
      </c>
      <c r="E545" s="23">
        <v>62428.7</v>
      </c>
      <c r="F545" s="23" t="s">
        <v>1121</v>
      </c>
      <c r="G545" s="23" t="s">
        <v>51</v>
      </c>
      <c r="H545" s="23" t="s">
        <v>36</v>
      </c>
      <c r="I545" s="23" t="s">
        <v>41</v>
      </c>
      <c r="J545" s="97">
        <f t="shared" si="128"/>
        <v>45695</v>
      </c>
      <c r="L545" s="19" t="str">
        <f t="shared" si="129"/>
        <v/>
      </c>
      <c r="M545" s="5">
        <f t="shared" si="130"/>
        <v>45706</v>
      </c>
      <c r="N545" s="4">
        <v>45705</v>
      </c>
      <c r="O545" s="19">
        <f t="shared" si="131"/>
        <v>1</v>
      </c>
      <c r="P545" s="5">
        <f t="shared" si="132"/>
        <v>45721</v>
      </c>
      <c r="R545" s="19" t="str">
        <f t="shared" si="133"/>
        <v/>
      </c>
      <c r="S545" s="5">
        <f t="shared" si="143"/>
        <v>45726</v>
      </c>
      <c r="T545" s="4">
        <v>45708</v>
      </c>
      <c r="U545" s="19">
        <f t="shared" si="134"/>
        <v>18</v>
      </c>
      <c r="V545" s="5">
        <f t="shared" si="135"/>
        <v>45765</v>
      </c>
      <c r="W545" s="4">
        <v>45770</v>
      </c>
      <c r="X545" s="19">
        <f t="shared" si="136"/>
        <v>-5</v>
      </c>
      <c r="Y545" s="51">
        <f t="shared" si="137"/>
        <v>45790</v>
      </c>
      <c r="Z545" s="4">
        <v>45790</v>
      </c>
      <c r="AA545" s="49">
        <f t="shared" si="138"/>
        <v>0</v>
      </c>
      <c r="AB545" s="51">
        <f t="shared" si="139"/>
        <v>45795</v>
      </c>
      <c r="AC545" s="49">
        <f t="shared" si="140"/>
        <v>5</v>
      </c>
      <c r="AD545" s="43">
        <f t="shared" si="141"/>
        <v>45795</v>
      </c>
      <c r="AE545" s="4">
        <v>45790</v>
      </c>
      <c r="AF545" s="19">
        <f t="shared" si="142"/>
        <v>5</v>
      </c>
      <c r="AG545" s="67"/>
      <c r="AH545" s="2"/>
      <c r="AI545" s="2"/>
      <c r="AJ545" s="2"/>
      <c r="AK545" s="2"/>
      <c r="AL545" s="2"/>
    </row>
    <row r="546" spans="1:38" ht="14.45">
      <c r="A546" s="156">
        <v>545</v>
      </c>
      <c r="B546" s="59">
        <v>45795</v>
      </c>
      <c r="C546" s="34" t="s">
        <v>1122</v>
      </c>
      <c r="D546" s="23" t="s">
        <v>38</v>
      </c>
      <c r="E546" s="23">
        <v>504</v>
      </c>
      <c r="F546" s="23" t="s">
        <v>1123</v>
      </c>
      <c r="G546" s="14" t="s">
        <v>190</v>
      </c>
      <c r="H546" s="23" t="s">
        <v>40</v>
      </c>
      <c r="I546" s="23" t="s">
        <v>41</v>
      </c>
      <c r="J546" s="97">
        <f t="shared" si="128"/>
        <v>45695</v>
      </c>
      <c r="L546" s="19" t="str">
        <f t="shared" si="129"/>
        <v/>
      </c>
      <c r="M546" s="5">
        <f t="shared" si="130"/>
        <v>45706</v>
      </c>
      <c r="N546" s="4">
        <v>45770</v>
      </c>
      <c r="O546" s="19">
        <f t="shared" si="131"/>
        <v>-64</v>
      </c>
      <c r="P546" s="5">
        <f t="shared" si="132"/>
        <v>45721</v>
      </c>
      <c r="Q546" s="4">
        <v>45777</v>
      </c>
      <c r="R546" s="19">
        <f t="shared" si="133"/>
        <v>-56</v>
      </c>
      <c r="S546" s="5">
        <f t="shared" si="143"/>
        <v>45726</v>
      </c>
      <c r="T546" s="4">
        <v>45778</v>
      </c>
      <c r="U546" s="19">
        <f t="shared" si="134"/>
        <v>-52</v>
      </c>
      <c r="V546" s="5">
        <f t="shared" si="135"/>
        <v>45765</v>
      </c>
      <c r="W546" s="4">
        <v>45778</v>
      </c>
      <c r="X546" s="19">
        <f t="shared" si="136"/>
        <v>-13</v>
      </c>
      <c r="Y546" s="51">
        <f t="shared" si="137"/>
        <v>45790</v>
      </c>
      <c r="Z546" s="4">
        <v>45793</v>
      </c>
      <c r="AA546" s="49">
        <f t="shared" si="138"/>
        <v>-3</v>
      </c>
      <c r="AB546" s="51">
        <f t="shared" si="139"/>
        <v>45795</v>
      </c>
      <c r="AC546" s="49">
        <f t="shared" si="140"/>
        <v>2</v>
      </c>
      <c r="AD546" s="43">
        <f t="shared" si="141"/>
        <v>45795</v>
      </c>
      <c r="AE546" s="4">
        <v>45793</v>
      </c>
      <c r="AF546" s="19">
        <f t="shared" si="142"/>
        <v>2</v>
      </c>
      <c r="AG546" s="67"/>
      <c r="AH546" s="2"/>
      <c r="AI546" s="2"/>
      <c r="AJ546" s="2"/>
      <c r="AK546" s="2"/>
      <c r="AL546" s="2"/>
    </row>
    <row r="547" spans="1:38" ht="14.45">
      <c r="A547" s="156">
        <v>546</v>
      </c>
      <c r="B547" s="59">
        <v>45795</v>
      </c>
      <c r="C547" s="34">
        <v>628788804</v>
      </c>
      <c r="D547" s="23" t="s">
        <v>100</v>
      </c>
      <c r="E547" s="23">
        <v>56922</v>
      </c>
      <c r="F547" s="23" t="s">
        <v>1124</v>
      </c>
      <c r="G547" s="14" t="s">
        <v>128</v>
      </c>
      <c r="H547" s="23" t="s">
        <v>36</v>
      </c>
      <c r="I547" s="23" t="s">
        <v>249</v>
      </c>
      <c r="J547" s="97">
        <f t="shared" si="128"/>
        <v>45695</v>
      </c>
      <c r="K547" s="4">
        <v>45729</v>
      </c>
      <c r="L547" s="19">
        <f t="shared" si="129"/>
        <v>-34</v>
      </c>
      <c r="M547" s="5">
        <f t="shared" si="130"/>
        <v>45706</v>
      </c>
      <c r="N547" s="4">
        <v>45729</v>
      </c>
      <c r="O547" s="19">
        <f t="shared" si="131"/>
        <v>-23</v>
      </c>
      <c r="P547" s="5">
        <f t="shared" si="132"/>
        <v>45721</v>
      </c>
      <c r="R547" s="19" t="str">
        <f t="shared" si="133"/>
        <v/>
      </c>
      <c r="S547" s="5">
        <f t="shared" si="143"/>
        <v>45726</v>
      </c>
      <c r="U547" s="19" t="str">
        <f t="shared" si="134"/>
        <v/>
      </c>
      <c r="V547" s="5">
        <f t="shared" si="135"/>
        <v>45765</v>
      </c>
      <c r="W547" s="4">
        <v>45757</v>
      </c>
      <c r="X547" s="19">
        <f t="shared" si="136"/>
        <v>8</v>
      </c>
      <c r="Y547" s="51">
        <f t="shared" si="137"/>
        <v>45790</v>
      </c>
      <c r="Z547" s="4">
        <v>45798</v>
      </c>
      <c r="AA547" s="49">
        <f t="shared" si="138"/>
        <v>-8</v>
      </c>
      <c r="AB547" s="51">
        <f t="shared" si="139"/>
        <v>45795</v>
      </c>
      <c r="AC547" s="49">
        <f t="shared" si="140"/>
        <v>-3</v>
      </c>
      <c r="AD547" s="43">
        <f t="shared" si="141"/>
        <v>45795</v>
      </c>
      <c r="AE547" s="4">
        <v>45798</v>
      </c>
      <c r="AF547" s="19">
        <f t="shared" si="142"/>
        <v>-3</v>
      </c>
      <c r="AG547" s="67"/>
      <c r="AH547" s="2"/>
      <c r="AI547" s="2"/>
      <c r="AJ547" s="2"/>
      <c r="AK547" s="2"/>
      <c r="AL547" s="2"/>
    </row>
    <row r="548" spans="1:38" ht="14.45">
      <c r="A548" s="156">
        <v>547</v>
      </c>
      <c r="B548" s="59">
        <v>45796</v>
      </c>
      <c r="C548" s="34" t="s">
        <v>1125</v>
      </c>
      <c r="D548" s="23" t="s">
        <v>1126</v>
      </c>
      <c r="E548" s="23">
        <v>4620</v>
      </c>
      <c r="F548" s="23" t="s">
        <v>1127</v>
      </c>
      <c r="G548" s="14" t="s">
        <v>35</v>
      </c>
      <c r="H548" s="23" t="s">
        <v>40</v>
      </c>
      <c r="I548" s="23" t="s">
        <v>62</v>
      </c>
      <c r="J548" s="97">
        <f t="shared" si="128"/>
        <v>45696</v>
      </c>
      <c r="L548" s="19" t="str">
        <f t="shared" si="129"/>
        <v/>
      </c>
      <c r="M548" s="5">
        <f t="shared" si="130"/>
        <v>45707</v>
      </c>
      <c r="O548" s="19" t="str">
        <f t="shared" si="131"/>
        <v/>
      </c>
      <c r="P548" s="5">
        <f t="shared" si="132"/>
        <v>45722</v>
      </c>
      <c r="R548" s="19" t="str">
        <f t="shared" si="133"/>
        <v/>
      </c>
      <c r="S548" s="5">
        <f t="shared" si="143"/>
        <v>45727</v>
      </c>
      <c r="T548" s="4">
        <v>45754</v>
      </c>
      <c r="U548" s="19">
        <f t="shared" si="134"/>
        <v>-27</v>
      </c>
      <c r="V548" s="5">
        <f t="shared" si="135"/>
        <v>45766</v>
      </c>
      <c r="W548" s="4">
        <v>45763</v>
      </c>
      <c r="X548" s="19">
        <f t="shared" si="136"/>
        <v>3</v>
      </c>
      <c r="Y548" s="51">
        <f t="shared" si="137"/>
        <v>45791</v>
      </c>
      <c r="Z548" s="4">
        <v>45790</v>
      </c>
      <c r="AA548" s="49">
        <f t="shared" si="138"/>
        <v>1</v>
      </c>
      <c r="AB548" s="51">
        <f t="shared" si="139"/>
        <v>45796</v>
      </c>
      <c r="AC548" s="49">
        <f t="shared" si="140"/>
        <v>6</v>
      </c>
      <c r="AD548" s="43">
        <f t="shared" si="141"/>
        <v>45796</v>
      </c>
      <c r="AE548" s="4">
        <v>45790</v>
      </c>
      <c r="AF548" s="19">
        <f t="shared" si="142"/>
        <v>6</v>
      </c>
      <c r="AG548" s="67"/>
      <c r="AH548" s="2"/>
      <c r="AI548" s="2"/>
      <c r="AJ548" s="2"/>
      <c r="AK548" s="2"/>
      <c r="AL548" s="2"/>
    </row>
    <row r="549" spans="1:38" ht="14.45">
      <c r="A549" s="156">
        <v>548</v>
      </c>
      <c r="B549" s="59">
        <v>45796</v>
      </c>
      <c r="C549" s="34" t="s">
        <v>1128</v>
      </c>
      <c r="D549" s="23" t="s">
        <v>1129</v>
      </c>
      <c r="E549" s="23">
        <v>35701.410000000003</v>
      </c>
      <c r="F549" s="23" t="s">
        <v>1130</v>
      </c>
      <c r="G549" s="23" t="s">
        <v>35</v>
      </c>
      <c r="H549" s="23" t="s">
        <v>36</v>
      </c>
      <c r="I549" s="23" t="s">
        <v>37</v>
      </c>
      <c r="J549" s="97">
        <f t="shared" si="128"/>
        <v>45696</v>
      </c>
      <c r="L549" s="19" t="str">
        <f t="shared" si="129"/>
        <v/>
      </c>
      <c r="M549" s="5">
        <f t="shared" si="130"/>
        <v>45707</v>
      </c>
      <c r="O549" s="19" t="str">
        <f t="shared" si="131"/>
        <v/>
      </c>
      <c r="P549" s="5">
        <f t="shared" si="132"/>
        <v>45722</v>
      </c>
      <c r="R549" s="19" t="str">
        <f t="shared" si="133"/>
        <v/>
      </c>
      <c r="S549" s="5">
        <f t="shared" si="143"/>
        <v>45727</v>
      </c>
      <c r="U549" s="19" t="str">
        <f t="shared" si="134"/>
        <v/>
      </c>
      <c r="V549" s="5">
        <f t="shared" si="135"/>
        <v>45766</v>
      </c>
      <c r="W549" s="4">
        <v>45780</v>
      </c>
      <c r="X549" s="19">
        <f t="shared" si="136"/>
        <v>-14</v>
      </c>
      <c r="Y549" s="51">
        <f t="shared" si="137"/>
        <v>45791</v>
      </c>
      <c r="AA549" s="49" t="str">
        <f t="shared" si="138"/>
        <v/>
      </c>
      <c r="AB549" s="51">
        <f t="shared" si="139"/>
        <v>45796</v>
      </c>
      <c r="AC549" s="49" t="str">
        <f t="shared" si="140"/>
        <v/>
      </c>
      <c r="AD549" s="43">
        <f t="shared" si="141"/>
        <v>45796</v>
      </c>
      <c r="AF549" s="19" t="str">
        <f t="shared" si="142"/>
        <v/>
      </c>
      <c r="AG549" s="67"/>
      <c r="AH549" s="2"/>
      <c r="AI549" s="2"/>
      <c r="AJ549" s="2"/>
      <c r="AK549" s="2"/>
      <c r="AL549" s="2"/>
    </row>
    <row r="550" spans="1:38" ht="14.45">
      <c r="A550" s="156">
        <v>549</v>
      </c>
      <c r="B550" s="59">
        <v>45796</v>
      </c>
      <c r="C550" s="34" t="s">
        <v>1131</v>
      </c>
      <c r="D550" s="23" t="s">
        <v>246</v>
      </c>
      <c r="E550" s="23">
        <v>826.83</v>
      </c>
      <c r="F550" s="23" t="s">
        <v>1132</v>
      </c>
      <c r="G550" s="14" t="s">
        <v>35</v>
      </c>
      <c r="H550" s="23" t="s">
        <v>40</v>
      </c>
      <c r="I550" s="23" t="s">
        <v>41</v>
      </c>
      <c r="J550" s="97">
        <f t="shared" si="128"/>
        <v>45696</v>
      </c>
      <c r="L550" s="19" t="str">
        <f t="shared" si="129"/>
        <v/>
      </c>
      <c r="M550" s="5">
        <f t="shared" si="130"/>
        <v>45707</v>
      </c>
      <c r="O550" s="19" t="str">
        <f t="shared" si="131"/>
        <v/>
      </c>
      <c r="P550" s="5">
        <f t="shared" si="132"/>
        <v>45722</v>
      </c>
      <c r="R550" s="19" t="str">
        <f t="shared" si="133"/>
        <v/>
      </c>
      <c r="S550" s="5">
        <f t="shared" si="143"/>
        <v>45727</v>
      </c>
      <c r="U550" s="19" t="str">
        <f t="shared" si="134"/>
        <v/>
      </c>
      <c r="V550" s="5">
        <f t="shared" si="135"/>
        <v>45766</v>
      </c>
      <c r="X550" s="19" t="str">
        <f t="shared" si="136"/>
        <v/>
      </c>
      <c r="Y550" s="51">
        <f t="shared" si="137"/>
        <v>45791</v>
      </c>
      <c r="AA550" s="49" t="str">
        <f t="shared" si="138"/>
        <v/>
      </c>
      <c r="AB550" s="51">
        <f t="shared" si="139"/>
        <v>45796</v>
      </c>
      <c r="AC550" s="49" t="str">
        <f t="shared" si="140"/>
        <v/>
      </c>
      <c r="AD550" s="43">
        <f t="shared" si="141"/>
        <v>45796</v>
      </c>
      <c r="AF550" s="19" t="str">
        <f t="shared" si="142"/>
        <v/>
      </c>
      <c r="AG550" s="67"/>
      <c r="AH550" s="2"/>
      <c r="AI550" s="2"/>
      <c r="AJ550" s="2"/>
      <c r="AK550" s="2"/>
      <c r="AL550" s="2"/>
    </row>
    <row r="551" spans="1:38" ht="14.45">
      <c r="A551" s="156">
        <v>550</v>
      </c>
      <c r="B551" s="59">
        <v>45797</v>
      </c>
      <c r="C551" s="34" t="s">
        <v>1133</v>
      </c>
      <c r="D551" s="23" t="s">
        <v>38</v>
      </c>
      <c r="E551" s="23">
        <v>631.20000000000005</v>
      </c>
      <c r="F551" s="23" t="s">
        <v>1134</v>
      </c>
      <c r="G551" s="14" t="s">
        <v>190</v>
      </c>
      <c r="H551" s="23" t="s">
        <v>40</v>
      </c>
      <c r="I551" s="23" t="s">
        <v>41</v>
      </c>
      <c r="J551" s="97">
        <f t="shared" si="128"/>
        <v>45697</v>
      </c>
      <c r="L551" s="19" t="str">
        <f t="shared" si="129"/>
        <v/>
      </c>
      <c r="M551" s="5">
        <f t="shared" si="130"/>
        <v>45708</v>
      </c>
      <c r="N551" s="4">
        <v>45770</v>
      </c>
      <c r="O551" s="19">
        <f t="shared" si="131"/>
        <v>-62</v>
      </c>
      <c r="P551" s="5">
        <f t="shared" si="132"/>
        <v>45723</v>
      </c>
      <c r="Q551" s="4">
        <v>45777</v>
      </c>
      <c r="R551" s="19">
        <f t="shared" si="133"/>
        <v>-54</v>
      </c>
      <c r="S551" s="5">
        <f t="shared" si="143"/>
        <v>45728</v>
      </c>
      <c r="T551" s="4">
        <v>45778</v>
      </c>
      <c r="U551" s="19">
        <f t="shared" si="134"/>
        <v>-50</v>
      </c>
      <c r="V551" s="5">
        <f t="shared" si="135"/>
        <v>45767</v>
      </c>
      <c r="W551" s="4">
        <v>45778</v>
      </c>
      <c r="X551" s="19">
        <f t="shared" si="136"/>
        <v>-11</v>
      </c>
      <c r="Y551" s="51">
        <f t="shared" si="137"/>
        <v>45792</v>
      </c>
      <c r="Z551" s="4">
        <v>45793</v>
      </c>
      <c r="AA551" s="49">
        <f t="shared" si="138"/>
        <v>-1</v>
      </c>
      <c r="AB551" s="51">
        <f t="shared" si="139"/>
        <v>45797</v>
      </c>
      <c r="AC551" s="49">
        <f t="shared" si="140"/>
        <v>4</v>
      </c>
      <c r="AD551" s="43">
        <f t="shared" si="141"/>
        <v>45797</v>
      </c>
      <c r="AE551" s="4">
        <v>45793</v>
      </c>
      <c r="AF551" s="19">
        <f t="shared" si="142"/>
        <v>4</v>
      </c>
      <c r="AG551" s="67"/>
      <c r="AH551" s="2"/>
      <c r="AI551" s="2"/>
      <c r="AJ551" s="2"/>
      <c r="AK551" s="2"/>
      <c r="AL551" s="2"/>
    </row>
    <row r="552" spans="1:38" ht="14.45">
      <c r="A552" s="156">
        <v>551</v>
      </c>
      <c r="B552" s="59">
        <v>45797</v>
      </c>
      <c r="C552" s="89" t="s">
        <v>1135</v>
      </c>
      <c r="D552" s="23" t="s">
        <v>38</v>
      </c>
      <c r="E552" s="23">
        <v>42.1</v>
      </c>
      <c r="F552" s="23" t="s">
        <v>1136</v>
      </c>
      <c r="G552" s="14" t="s">
        <v>190</v>
      </c>
      <c r="H552" s="23" t="s">
        <v>40</v>
      </c>
      <c r="I552" s="23" t="s">
        <v>41</v>
      </c>
      <c r="J552" s="97">
        <f t="shared" si="128"/>
        <v>45697</v>
      </c>
      <c r="L552" s="19" t="str">
        <f t="shared" si="129"/>
        <v/>
      </c>
      <c r="M552" s="5">
        <f t="shared" si="130"/>
        <v>45708</v>
      </c>
      <c r="N552" s="4">
        <v>45770</v>
      </c>
      <c r="O552" s="19">
        <f t="shared" si="131"/>
        <v>-62</v>
      </c>
      <c r="P552" s="5">
        <f t="shared" si="132"/>
        <v>45723</v>
      </c>
      <c r="Q552" s="4">
        <v>45777</v>
      </c>
      <c r="R552" s="19">
        <f t="shared" si="133"/>
        <v>-54</v>
      </c>
      <c r="S552" s="5">
        <f t="shared" si="143"/>
        <v>45728</v>
      </c>
      <c r="T552" s="4">
        <v>45778</v>
      </c>
      <c r="U552" s="19">
        <f t="shared" si="134"/>
        <v>-50</v>
      </c>
      <c r="V552" s="5">
        <f t="shared" si="135"/>
        <v>45767</v>
      </c>
      <c r="W552" s="4">
        <v>45778</v>
      </c>
      <c r="X552" s="19">
        <f t="shared" si="136"/>
        <v>-11</v>
      </c>
      <c r="Y552" s="51">
        <f t="shared" si="137"/>
        <v>45792</v>
      </c>
      <c r="Z552" s="4">
        <v>45793</v>
      </c>
      <c r="AA552" s="49">
        <f t="shared" si="138"/>
        <v>-1</v>
      </c>
      <c r="AB552" s="51">
        <f t="shared" si="139"/>
        <v>45797</v>
      </c>
      <c r="AC552" s="49">
        <f t="shared" si="140"/>
        <v>4</v>
      </c>
      <c r="AD552" s="43">
        <f t="shared" si="141"/>
        <v>45797</v>
      </c>
      <c r="AE552" s="4">
        <v>45793</v>
      </c>
      <c r="AF552" s="19">
        <f t="shared" si="142"/>
        <v>4</v>
      </c>
      <c r="AG552" s="67"/>
      <c r="AH552" s="2"/>
      <c r="AI552" s="2"/>
      <c r="AJ552" s="2"/>
      <c r="AK552" s="2"/>
      <c r="AL552" s="2"/>
    </row>
    <row r="553" spans="1:38" ht="14.45">
      <c r="A553" s="156">
        <v>552</v>
      </c>
      <c r="B553" s="59">
        <v>45797</v>
      </c>
      <c r="C553" s="34" t="s">
        <v>1137</v>
      </c>
      <c r="D553" s="23" t="s">
        <v>38</v>
      </c>
      <c r="E553" s="23">
        <v>783.61</v>
      </c>
      <c r="F553" s="23" t="s">
        <v>1138</v>
      </c>
      <c r="G553" s="14" t="s">
        <v>190</v>
      </c>
      <c r="H553" s="23" t="s">
        <v>40</v>
      </c>
      <c r="I553" s="23" t="s">
        <v>41</v>
      </c>
      <c r="J553" s="97">
        <f t="shared" si="128"/>
        <v>45697</v>
      </c>
      <c r="L553" s="19" t="str">
        <f t="shared" si="129"/>
        <v/>
      </c>
      <c r="M553" s="5">
        <f t="shared" si="130"/>
        <v>45708</v>
      </c>
      <c r="N553" s="4">
        <v>45770</v>
      </c>
      <c r="O553" s="19">
        <f t="shared" si="131"/>
        <v>-62</v>
      </c>
      <c r="P553" s="5">
        <f t="shared" si="132"/>
        <v>45723</v>
      </c>
      <c r="Q553" s="4">
        <v>45777</v>
      </c>
      <c r="R553" s="19">
        <f t="shared" si="133"/>
        <v>-54</v>
      </c>
      <c r="S553" s="5">
        <f t="shared" si="143"/>
        <v>45728</v>
      </c>
      <c r="T553" s="4">
        <v>45778</v>
      </c>
      <c r="U553" s="19">
        <f t="shared" si="134"/>
        <v>-50</v>
      </c>
      <c r="V553" s="5">
        <f t="shared" si="135"/>
        <v>45767</v>
      </c>
      <c r="W553" s="4">
        <v>45778</v>
      </c>
      <c r="X553" s="19">
        <f t="shared" si="136"/>
        <v>-11</v>
      </c>
      <c r="Y553" s="51">
        <f t="shared" si="137"/>
        <v>45792</v>
      </c>
      <c r="Z553" s="4">
        <v>45793</v>
      </c>
      <c r="AA553" s="49">
        <f t="shared" si="138"/>
        <v>-1</v>
      </c>
      <c r="AB553" s="51">
        <f t="shared" si="139"/>
        <v>45797</v>
      </c>
      <c r="AC553" s="49">
        <f t="shared" si="140"/>
        <v>4</v>
      </c>
      <c r="AD553" s="43">
        <f t="shared" si="141"/>
        <v>45797</v>
      </c>
      <c r="AE553" s="4">
        <v>45793</v>
      </c>
      <c r="AF553" s="19">
        <f t="shared" si="142"/>
        <v>4</v>
      </c>
      <c r="AG553" s="67"/>
      <c r="AH553" s="2"/>
      <c r="AI553" s="2"/>
      <c r="AJ553" s="2"/>
      <c r="AK553" s="2"/>
      <c r="AL553" s="2"/>
    </row>
    <row r="554" spans="1:38" ht="14.45">
      <c r="A554" s="156">
        <v>553</v>
      </c>
      <c r="B554" s="59">
        <v>45797</v>
      </c>
      <c r="C554" s="34" t="s">
        <v>1139</v>
      </c>
      <c r="D554" s="23" t="s">
        <v>38</v>
      </c>
      <c r="E554" s="23">
        <v>443.46</v>
      </c>
      <c r="F554" s="23" t="s">
        <v>1140</v>
      </c>
      <c r="G554" s="14" t="s">
        <v>190</v>
      </c>
      <c r="H554" s="23" t="s">
        <v>40</v>
      </c>
      <c r="I554" s="23" t="s">
        <v>41</v>
      </c>
      <c r="J554" s="97">
        <f t="shared" si="128"/>
        <v>45697</v>
      </c>
      <c r="L554" s="19" t="str">
        <f t="shared" si="129"/>
        <v/>
      </c>
      <c r="M554" s="5">
        <f t="shared" si="130"/>
        <v>45708</v>
      </c>
      <c r="N554" s="4">
        <v>45770</v>
      </c>
      <c r="O554" s="19">
        <f t="shared" si="131"/>
        <v>-62</v>
      </c>
      <c r="P554" s="5">
        <f t="shared" si="132"/>
        <v>45723</v>
      </c>
      <c r="Q554" s="4">
        <v>45777</v>
      </c>
      <c r="R554" s="19">
        <f t="shared" si="133"/>
        <v>-54</v>
      </c>
      <c r="S554" s="5">
        <f t="shared" si="143"/>
        <v>45728</v>
      </c>
      <c r="T554" s="4">
        <v>45778</v>
      </c>
      <c r="U554" s="19">
        <f t="shared" si="134"/>
        <v>-50</v>
      </c>
      <c r="V554" s="5">
        <f t="shared" si="135"/>
        <v>45767</v>
      </c>
      <c r="W554" s="4">
        <v>45778</v>
      </c>
      <c r="X554" s="19">
        <f t="shared" si="136"/>
        <v>-11</v>
      </c>
      <c r="Y554" s="51">
        <f t="shared" si="137"/>
        <v>45792</v>
      </c>
      <c r="Z554" s="4">
        <v>45793</v>
      </c>
      <c r="AA554" s="49">
        <f t="shared" si="138"/>
        <v>-1</v>
      </c>
      <c r="AB554" s="51">
        <f t="shared" si="139"/>
        <v>45797</v>
      </c>
      <c r="AC554" s="49">
        <f t="shared" si="140"/>
        <v>4</v>
      </c>
      <c r="AD554" s="43">
        <f t="shared" si="141"/>
        <v>45797</v>
      </c>
      <c r="AE554" s="4">
        <v>45793</v>
      </c>
      <c r="AF554" s="19">
        <f t="shared" si="142"/>
        <v>4</v>
      </c>
      <c r="AG554" s="67"/>
      <c r="AH554" s="2"/>
      <c r="AI554" s="2"/>
      <c r="AJ554" s="2"/>
      <c r="AK554" s="2"/>
      <c r="AL554" s="2"/>
    </row>
    <row r="555" spans="1:38" ht="14.45">
      <c r="A555" s="156">
        <v>554</v>
      </c>
      <c r="B555" s="59">
        <v>45797</v>
      </c>
      <c r="C555" s="34">
        <v>111680025</v>
      </c>
      <c r="D555" s="23" t="s">
        <v>1141</v>
      </c>
      <c r="E555" s="23">
        <v>8096.01</v>
      </c>
      <c r="F555" s="23" t="s">
        <v>1142</v>
      </c>
      <c r="G555" s="14" t="s">
        <v>35</v>
      </c>
      <c r="H555" s="23" t="s">
        <v>36</v>
      </c>
      <c r="I555" s="23" t="s">
        <v>37</v>
      </c>
      <c r="J555" s="97">
        <f t="shared" si="128"/>
        <v>45697</v>
      </c>
      <c r="L555" s="19" t="str">
        <f t="shared" si="129"/>
        <v/>
      </c>
      <c r="M555" s="5">
        <f t="shared" si="130"/>
        <v>45708</v>
      </c>
      <c r="O555" s="19" t="str">
        <f t="shared" si="131"/>
        <v/>
      </c>
      <c r="P555" s="5">
        <f t="shared" si="132"/>
        <v>45723</v>
      </c>
      <c r="R555" s="19" t="str">
        <f t="shared" si="133"/>
        <v/>
      </c>
      <c r="S555" s="5">
        <f t="shared" si="143"/>
        <v>45728</v>
      </c>
      <c r="U555" s="19" t="str">
        <f t="shared" si="134"/>
        <v/>
      </c>
      <c r="V555" s="5">
        <f t="shared" si="135"/>
        <v>45767</v>
      </c>
      <c r="W555" s="4">
        <v>45785</v>
      </c>
      <c r="X555" s="19">
        <f t="shared" si="136"/>
        <v>-18</v>
      </c>
      <c r="Y555" s="51">
        <f t="shared" si="137"/>
        <v>45792</v>
      </c>
      <c r="AA555" s="49" t="str">
        <f t="shared" si="138"/>
        <v/>
      </c>
      <c r="AB555" s="51">
        <f t="shared" si="139"/>
        <v>45797</v>
      </c>
      <c r="AC555" s="49" t="str">
        <f t="shared" si="140"/>
        <v/>
      </c>
      <c r="AD555" s="43">
        <f t="shared" si="141"/>
        <v>45797</v>
      </c>
      <c r="AF555" s="19" t="str">
        <f t="shared" si="142"/>
        <v/>
      </c>
      <c r="AG555" s="67"/>
      <c r="AH555" s="2"/>
      <c r="AI555" s="2"/>
      <c r="AJ555" s="2"/>
      <c r="AK555" s="2"/>
      <c r="AL555" s="2"/>
    </row>
    <row r="556" spans="1:38" ht="14.45">
      <c r="A556" s="156">
        <v>555</v>
      </c>
      <c r="B556" s="59">
        <v>45797</v>
      </c>
      <c r="C556" s="34" t="s">
        <v>1143</v>
      </c>
      <c r="D556" s="23" t="s">
        <v>1144</v>
      </c>
      <c r="E556" s="23">
        <v>8720.83</v>
      </c>
      <c r="F556" s="23" t="s">
        <v>1145</v>
      </c>
      <c r="G556" s="14" t="s">
        <v>46</v>
      </c>
      <c r="H556" s="23" t="s">
        <v>40</v>
      </c>
      <c r="I556" s="23" t="s">
        <v>323</v>
      </c>
      <c r="J556" s="97">
        <f t="shared" si="128"/>
        <v>45697</v>
      </c>
      <c r="K556" s="4">
        <v>45705</v>
      </c>
      <c r="L556" s="19">
        <f t="shared" si="129"/>
        <v>-8</v>
      </c>
      <c r="M556" s="5">
        <f t="shared" si="130"/>
        <v>45708</v>
      </c>
      <c r="O556" s="19" t="str">
        <f t="shared" si="131"/>
        <v/>
      </c>
      <c r="P556" s="5">
        <f t="shared" si="132"/>
        <v>45723</v>
      </c>
      <c r="R556" s="19" t="str">
        <f t="shared" si="133"/>
        <v/>
      </c>
      <c r="S556" s="5">
        <f t="shared" si="143"/>
        <v>45728</v>
      </c>
      <c r="T556" s="4">
        <v>45729</v>
      </c>
      <c r="U556" s="19">
        <f t="shared" si="134"/>
        <v>-1</v>
      </c>
      <c r="V556" s="5">
        <f t="shared" si="135"/>
        <v>45767</v>
      </c>
      <c r="W556" s="4">
        <v>45775</v>
      </c>
      <c r="X556" s="19">
        <f t="shared" si="136"/>
        <v>-8</v>
      </c>
      <c r="Y556" s="51">
        <f t="shared" si="137"/>
        <v>45792</v>
      </c>
      <c r="Z556" s="4">
        <v>45790</v>
      </c>
      <c r="AA556" s="49">
        <f t="shared" si="138"/>
        <v>2</v>
      </c>
      <c r="AB556" s="51">
        <f t="shared" si="139"/>
        <v>45797</v>
      </c>
      <c r="AC556" s="49">
        <f t="shared" si="140"/>
        <v>7</v>
      </c>
      <c r="AD556" s="43">
        <f t="shared" si="141"/>
        <v>45797</v>
      </c>
      <c r="AE556" s="4">
        <v>45790</v>
      </c>
      <c r="AF556" s="19">
        <f t="shared" si="142"/>
        <v>7</v>
      </c>
      <c r="AG556" s="67"/>
      <c r="AH556" s="2"/>
      <c r="AI556" s="2"/>
      <c r="AJ556" s="2"/>
      <c r="AK556" s="2"/>
      <c r="AL556" s="2"/>
    </row>
    <row r="557" spans="1:38" ht="14.45">
      <c r="A557" s="156">
        <v>556</v>
      </c>
      <c r="B557" s="59">
        <v>45797</v>
      </c>
      <c r="C557" s="34" t="s">
        <v>1146</v>
      </c>
      <c r="D557" s="23" t="s">
        <v>1144</v>
      </c>
      <c r="E557" s="23">
        <v>3947.69</v>
      </c>
      <c r="F557" s="23" t="s">
        <v>1147</v>
      </c>
      <c r="G557" s="14" t="s">
        <v>46</v>
      </c>
      <c r="H557" s="23" t="s">
        <v>40</v>
      </c>
      <c r="I557" s="23" t="s">
        <v>62</v>
      </c>
      <c r="J557" s="97">
        <f t="shared" si="128"/>
        <v>45697</v>
      </c>
      <c r="K557" s="4">
        <v>45705</v>
      </c>
      <c r="L557" s="19">
        <f t="shared" si="129"/>
        <v>-8</v>
      </c>
      <c r="M557" s="5">
        <f t="shared" si="130"/>
        <v>45708</v>
      </c>
      <c r="O557" s="19" t="str">
        <f t="shared" si="131"/>
        <v/>
      </c>
      <c r="P557" s="5">
        <f t="shared" si="132"/>
        <v>45723</v>
      </c>
      <c r="R557" s="19" t="str">
        <f t="shared" si="133"/>
        <v/>
      </c>
      <c r="S557" s="5">
        <f t="shared" si="143"/>
        <v>45728</v>
      </c>
      <c r="T557" s="4">
        <v>45729</v>
      </c>
      <c r="U557" s="19">
        <f t="shared" si="134"/>
        <v>-1</v>
      </c>
      <c r="V557" s="5">
        <f t="shared" si="135"/>
        <v>45767</v>
      </c>
      <c r="W557" s="4">
        <v>45775</v>
      </c>
      <c r="X557" s="19">
        <f t="shared" si="136"/>
        <v>-8</v>
      </c>
      <c r="Y557" s="51">
        <f t="shared" si="137"/>
        <v>45792</v>
      </c>
      <c r="Z557" s="4">
        <v>45790</v>
      </c>
      <c r="AA557" s="49">
        <f t="shared" si="138"/>
        <v>2</v>
      </c>
      <c r="AB557" s="51">
        <f t="shared" si="139"/>
        <v>45797</v>
      </c>
      <c r="AC557" s="49">
        <f t="shared" si="140"/>
        <v>7</v>
      </c>
      <c r="AD557" s="43">
        <f t="shared" si="141"/>
        <v>45797</v>
      </c>
      <c r="AE557" s="4">
        <v>45790</v>
      </c>
      <c r="AF557" s="19">
        <f t="shared" si="142"/>
        <v>7</v>
      </c>
      <c r="AG557" s="67"/>
      <c r="AH557" s="2"/>
      <c r="AI557" s="2"/>
      <c r="AJ557" s="2"/>
      <c r="AK557" s="2"/>
      <c r="AL557" s="2"/>
    </row>
    <row r="558" spans="1:38" ht="14.45">
      <c r="A558" s="156">
        <v>557</v>
      </c>
      <c r="B558" s="59">
        <v>45798</v>
      </c>
      <c r="C558" s="34" t="s">
        <v>1148</v>
      </c>
      <c r="D558" s="23" t="s">
        <v>1149</v>
      </c>
      <c r="E558" s="23">
        <v>2542.39</v>
      </c>
      <c r="F558" s="23" t="s">
        <v>1150</v>
      </c>
      <c r="G558" s="14" t="s">
        <v>190</v>
      </c>
      <c r="H558" s="23" t="s">
        <v>40</v>
      </c>
      <c r="I558" s="23" t="s">
        <v>93</v>
      </c>
      <c r="J558" s="97">
        <f t="shared" si="128"/>
        <v>45698</v>
      </c>
      <c r="L558" s="19" t="str">
        <f t="shared" si="129"/>
        <v/>
      </c>
      <c r="M558" s="5">
        <f t="shared" si="130"/>
        <v>45709</v>
      </c>
      <c r="O558" s="19" t="str">
        <f t="shared" si="131"/>
        <v/>
      </c>
      <c r="P558" s="5">
        <f t="shared" si="132"/>
        <v>45724</v>
      </c>
      <c r="R558" s="19" t="str">
        <f t="shared" si="133"/>
        <v/>
      </c>
      <c r="S558" s="5">
        <f t="shared" si="143"/>
        <v>45729</v>
      </c>
      <c r="T558" s="4">
        <v>45755</v>
      </c>
      <c r="U558" s="19">
        <f t="shared" si="134"/>
        <v>-26</v>
      </c>
      <c r="V558" s="5">
        <f t="shared" si="135"/>
        <v>45768</v>
      </c>
      <c r="W558" s="4">
        <v>45758</v>
      </c>
      <c r="X558" s="19">
        <f t="shared" si="136"/>
        <v>10</v>
      </c>
      <c r="Y558" s="51">
        <f t="shared" si="137"/>
        <v>45793</v>
      </c>
      <c r="Z558" s="4">
        <v>45793</v>
      </c>
      <c r="AA558" s="49">
        <f t="shared" si="138"/>
        <v>0</v>
      </c>
      <c r="AB558" s="51">
        <f t="shared" si="139"/>
        <v>45798</v>
      </c>
      <c r="AC558" s="49">
        <f t="shared" si="140"/>
        <v>5</v>
      </c>
      <c r="AD558" s="43">
        <f t="shared" si="141"/>
        <v>45798</v>
      </c>
      <c r="AE558" s="4">
        <v>45793</v>
      </c>
      <c r="AF558" s="19">
        <f t="shared" si="142"/>
        <v>5</v>
      </c>
      <c r="AG558" s="67"/>
      <c r="AH558" s="2"/>
      <c r="AI558" s="2"/>
      <c r="AJ558" s="2"/>
      <c r="AK558" s="2"/>
      <c r="AL558" s="2"/>
    </row>
    <row r="559" spans="1:38" ht="14.45">
      <c r="A559" s="156">
        <v>558</v>
      </c>
      <c r="B559" s="59">
        <v>45799</v>
      </c>
      <c r="C559" s="34" t="s">
        <v>1151</v>
      </c>
      <c r="D559" s="23" t="s">
        <v>166</v>
      </c>
      <c r="E559" s="23">
        <v>9541.92</v>
      </c>
      <c r="F559" s="23" t="s">
        <v>1152</v>
      </c>
      <c r="G559" s="14" t="s">
        <v>46</v>
      </c>
      <c r="H559" s="23" t="s">
        <v>40</v>
      </c>
      <c r="I559" s="23" t="s">
        <v>229</v>
      </c>
      <c r="J559" s="97">
        <f t="shared" si="128"/>
        <v>45699</v>
      </c>
      <c r="K559" s="4">
        <v>45705</v>
      </c>
      <c r="L559" s="19">
        <f t="shared" si="129"/>
        <v>-6</v>
      </c>
      <c r="M559" s="5">
        <f t="shared" si="130"/>
        <v>45710</v>
      </c>
      <c r="O559" s="19" t="str">
        <f t="shared" si="131"/>
        <v/>
      </c>
      <c r="P559" s="5">
        <f t="shared" si="132"/>
        <v>45725</v>
      </c>
      <c r="R559" s="19" t="str">
        <f t="shared" si="133"/>
        <v/>
      </c>
      <c r="S559" s="5">
        <f t="shared" si="143"/>
        <v>45730</v>
      </c>
      <c r="T559" s="4">
        <v>45762</v>
      </c>
      <c r="U559" s="19">
        <f t="shared" si="134"/>
        <v>-32</v>
      </c>
      <c r="V559" s="5">
        <f t="shared" si="135"/>
        <v>45769</v>
      </c>
      <c r="W559" s="4">
        <v>45798</v>
      </c>
      <c r="X559" s="19">
        <f t="shared" si="136"/>
        <v>-29</v>
      </c>
      <c r="Y559" s="51">
        <f t="shared" si="137"/>
        <v>45794</v>
      </c>
      <c r="Z559" s="4">
        <v>45799</v>
      </c>
      <c r="AA559" s="49">
        <f t="shared" si="138"/>
        <v>-5</v>
      </c>
      <c r="AB559" s="51">
        <f t="shared" si="139"/>
        <v>45799</v>
      </c>
      <c r="AC559" s="49">
        <f t="shared" si="140"/>
        <v>0</v>
      </c>
      <c r="AD559" s="43">
        <f t="shared" si="141"/>
        <v>45799</v>
      </c>
      <c r="AE559" s="4">
        <v>45799</v>
      </c>
      <c r="AF559" s="19">
        <f t="shared" si="142"/>
        <v>0</v>
      </c>
      <c r="AG559" s="67"/>
      <c r="AH559" s="2"/>
      <c r="AI559" s="2"/>
      <c r="AJ559" s="2"/>
      <c r="AK559" s="2"/>
      <c r="AL559" s="2"/>
    </row>
    <row r="560" spans="1:38" ht="14.45">
      <c r="A560" s="156">
        <v>559</v>
      </c>
      <c r="B560" s="60">
        <v>45800</v>
      </c>
      <c r="C560" s="41" t="s">
        <v>1153</v>
      </c>
      <c r="D560" s="23" t="s">
        <v>596</v>
      </c>
      <c r="E560" s="23">
        <v>125630.79</v>
      </c>
      <c r="F560" s="23" t="s">
        <v>1154</v>
      </c>
      <c r="G560" s="23" t="s">
        <v>51</v>
      </c>
      <c r="H560" s="23" t="s">
        <v>40</v>
      </c>
      <c r="I560" s="23" t="s">
        <v>62</v>
      </c>
      <c r="J560" s="97">
        <f t="shared" si="128"/>
        <v>45700</v>
      </c>
      <c r="L560" s="19" t="str">
        <f t="shared" si="129"/>
        <v/>
      </c>
      <c r="M560" s="5">
        <f t="shared" si="130"/>
        <v>45711</v>
      </c>
      <c r="O560" s="19" t="str">
        <f t="shared" si="131"/>
        <v/>
      </c>
      <c r="P560" s="5">
        <f t="shared" si="132"/>
        <v>45726</v>
      </c>
      <c r="R560" s="19" t="str">
        <f t="shared" si="133"/>
        <v/>
      </c>
      <c r="S560" s="5">
        <f t="shared" si="143"/>
        <v>45731</v>
      </c>
      <c r="U560" s="19" t="str">
        <f t="shared" si="134"/>
        <v/>
      </c>
      <c r="V560" s="5">
        <f t="shared" si="135"/>
        <v>45770</v>
      </c>
      <c r="X560" s="19" t="str">
        <f t="shared" si="136"/>
        <v/>
      </c>
      <c r="Y560" s="51">
        <f t="shared" si="137"/>
        <v>45795</v>
      </c>
      <c r="AA560" s="49" t="str">
        <f t="shared" si="138"/>
        <v/>
      </c>
      <c r="AB560" s="51">
        <f t="shared" si="139"/>
        <v>45800</v>
      </c>
      <c r="AC560" s="49" t="str">
        <f t="shared" si="140"/>
        <v/>
      </c>
      <c r="AD560" s="43">
        <f t="shared" si="141"/>
        <v>45800</v>
      </c>
      <c r="AF560" s="19" t="str">
        <f t="shared" si="142"/>
        <v/>
      </c>
      <c r="AG560" s="67" t="s">
        <v>367</v>
      </c>
      <c r="AH560" s="2"/>
      <c r="AI560" s="2"/>
      <c r="AJ560" s="2"/>
      <c r="AK560" s="2"/>
      <c r="AL560" s="2"/>
    </row>
    <row r="561" spans="1:38" ht="14.45">
      <c r="A561" s="156">
        <v>560</v>
      </c>
      <c r="B561" s="59">
        <v>45800</v>
      </c>
      <c r="C561" s="34" t="s">
        <v>1155</v>
      </c>
      <c r="D561" s="23" t="s">
        <v>77</v>
      </c>
      <c r="E561" s="23">
        <v>2332.09</v>
      </c>
      <c r="F561" s="23" t="s">
        <v>1156</v>
      </c>
      <c r="G561" s="14" t="s">
        <v>46</v>
      </c>
      <c r="H561" s="23" t="s">
        <v>40</v>
      </c>
      <c r="I561" s="23" t="s">
        <v>229</v>
      </c>
      <c r="J561" s="97">
        <f t="shared" si="128"/>
        <v>45700</v>
      </c>
      <c r="K561" s="4">
        <v>45705</v>
      </c>
      <c r="L561" s="19">
        <f t="shared" si="129"/>
        <v>-5</v>
      </c>
      <c r="M561" s="5">
        <f t="shared" si="130"/>
        <v>45711</v>
      </c>
      <c r="O561" s="19" t="str">
        <f t="shared" si="131"/>
        <v/>
      </c>
      <c r="P561" s="5">
        <f t="shared" si="132"/>
        <v>45726</v>
      </c>
      <c r="R561" s="19" t="str">
        <f t="shared" si="133"/>
        <v/>
      </c>
      <c r="S561" s="5">
        <f t="shared" si="143"/>
        <v>45731</v>
      </c>
      <c r="T561" s="4">
        <v>45758</v>
      </c>
      <c r="U561" s="19">
        <f t="shared" si="134"/>
        <v>-27</v>
      </c>
      <c r="V561" s="5">
        <f t="shared" si="135"/>
        <v>45770</v>
      </c>
      <c r="W561" s="4">
        <v>45784</v>
      </c>
      <c r="X561" s="19">
        <f t="shared" si="136"/>
        <v>-14</v>
      </c>
      <c r="Y561" s="51">
        <f t="shared" si="137"/>
        <v>45795</v>
      </c>
      <c r="Z561" s="4">
        <v>45798</v>
      </c>
      <c r="AA561" s="49">
        <f t="shared" si="138"/>
        <v>-3</v>
      </c>
      <c r="AB561" s="51">
        <f t="shared" si="139"/>
        <v>45800</v>
      </c>
      <c r="AC561" s="49">
        <f t="shared" si="140"/>
        <v>2</v>
      </c>
      <c r="AD561" s="43">
        <f t="shared" si="141"/>
        <v>45800</v>
      </c>
      <c r="AE561" s="4">
        <v>45798</v>
      </c>
      <c r="AF561" s="19">
        <f t="shared" si="142"/>
        <v>2</v>
      </c>
      <c r="AG561" s="67"/>
      <c r="AH561" s="2"/>
      <c r="AI561" s="2"/>
      <c r="AJ561" s="2"/>
      <c r="AK561" s="2"/>
      <c r="AL561" s="2"/>
    </row>
    <row r="562" spans="1:38" ht="14.45">
      <c r="A562" s="156">
        <v>561</v>
      </c>
      <c r="B562" s="59">
        <v>45800</v>
      </c>
      <c r="C562" s="34" t="s">
        <v>1157</v>
      </c>
      <c r="D562" s="23" t="s">
        <v>1158</v>
      </c>
      <c r="E562" s="23">
        <v>10100.719999999999</v>
      </c>
      <c r="F562" s="23" t="s">
        <v>1159</v>
      </c>
      <c r="G562" s="14" t="s">
        <v>120</v>
      </c>
      <c r="H562" s="23" t="s">
        <v>36</v>
      </c>
      <c r="I562" s="23" t="s">
        <v>37</v>
      </c>
      <c r="J562" s="97">
        <f t="shared" si="128"/>
        <v>45700</v>
      </c>
      <c r="K562" s="4">
        <v>45729</v>
      </c>
      <c r="L562" s="19">
        <f t="shared" si="129"/>
        <v>-29</v>
      </c>
      <c r="M562" s="5">
        <f t="shared" si="130"/>
        <v>45711</v>
      </c>
      <c r="O562" s="19" t="str">
        <f t="shared" si="131"/>
        <v/>
      </c>
      <c r="P562" s="5">
        <f t="shared" si="132"/>
        <v>45726</v>
      </c>
      <c r="R562" s="19" t="str">
        <f t="shared" si="133"/>
        <v/>
      </c>
      <c r="S562" s="5">
        <f t="shared" si="143"/>
        <v>45731</v>
      </c>
      <c r="T562" s="4">
        <v>45729</v>
      </c>
      <c r="U562" s="19">
        <f t="shared" si="134"/>
        <v>2</v>
      </c>
      <c r="V562" s="5">
        <f t="shared" si="135"/>
        <v>45770</v>
      </c>
      <c r="W562" s="4">
        <v>45776</v>
      </c>
      <c r="X562" s="19">
        <f t="shared" si="136"/>
        <v>-6</v>
      </c>
      <c r="Y562" s="51">
        <f t="shared" si="137"/>
        <v>45795</v>
      </c>
      <c r="Z562" s="4">
        <v>45796</v>
      </c>
      <c r="AA562" s="49">
        <f t="shared" si="138"/>
        <v>-1</v>
      </c>
      <c r="AB562" s="51">
        <f t="shared" si="139"/>
        <v>45800</v>
      </c>
      <c r="AC562" s="49">
        <f t="shared" si="140"/>
        <v>4</v>
      </c>
      <c r="AD562" s="43">
        <f t="shared" si="141"/>
        <v>45800</v>
      </c>
      <c r="AE562" s="4">
        <v>45796</v>
      </c>
      <c r="AF562" s="19">
        <f t="shared" si="142"/>
        <v>4</v>
      </c>
      <c r="AG562" s="67"/>
      <c r="AH562" s="2"/>
      <c r="AI562" s="2"/>
      <c r="AJ562" s="2"/>
      <c r="AK562" s="2"/>
      <c r="AL562" s="2"/>
    </row>
    <row r="563" spans="1:38" ht="14.45">
      <c r="A563" s="156">
        <v>562</v>
      </c>
      <c r="B563" s="59">
        <v>45801</v>
      </c>
      <c r="C563" s="34" t="s">
        <v>1160</v>
      </c>
      <c r="D563" s="23" t="s">
        <v>751</v>
      </c>
      <c r="E563" s="23">
        <v>70601.850000000006</v>
      </c>
      <c r="F563" s="23" t="s">
        <v>1161</v>
      </c>
      <c r="G563" s="23" t="s">
        <v>51</v>
      </c>
      <c r="H563" s="23" t="s">
        <v>40</v>
      </c>
      <c r="I563" s="23" t="s">
        <v>41</v>
      </c>
      <c r="J563" s="97">
        <f t="shared" si="128"/>
        <v>45701</v>
      </c>
      <c r="L563" s="19" t="str">
        <f t="shared" si="129"/>
        <v/>
      </c>
      <c r="M563" s="5">
        <f t="shared" si="130"/>
        <v>45712</v>
      </c>
      <c r="N563" s="4">
        <v>45705</v>
      </c>
      <c r="O563" s="19">
        <f t="shared" si="131"/>
        <v>7</v>
      </c>
      <c r="P563" s="5">
        <f t="shared" si="132"/>
        <v>45727</v>
      </c>
      <c r="R563" s="19" t="str">
        <f t="shared" si="133"/>
        <v/>
      </c>
      <c r="S563" s="5">
        <f t="shared" si="143"/>
        <v>45732</v>
      </c>
      <c r="T563" s="4">
        <v>45708</v>
      </c>
      <c r="U563" s="19">
        <f t="shared" si="134"/>
        <v>24</v>
      </c>
      <c r="V563" s="5">
        <f t="shared" si="135"/>
        <v>45771</v>
      </c>
      <c r="W563" s="4">
        <v>45770</v>
      </c>
      <c r="X563" s="19">
        <f t="shared" si="136"/>
        <v>1</v>
      </c>
      <c r="Y563" s="51">
        <f t="shared" si="137"/>
        <v>45796</v>
      </c>
      <c r="Z563" s="4">
        <v>45784</v>
      </c>
      <c r="AA563" s="49">
        <f t="shared" si="138"/>
        <v>12</v>
      </c>
      <c r="AB563" s="51">
        <f t="shared" si="139"/>
        <v>45801</v>
      </c>
      <c r="AC563" s="49">
        <f t="shared" si="140"/>
        <v>17</v>
      </c>
      <c r="AD563" s="43">
        <f t="shared" si="141"/>
        <v>45801</v>
      </c>
      <c r="AE563" s="4">
        <v>45784</v>
      </c>
      <c r="AF563" s="19">
        <f t="shared" si="142"/>
        <v>17</v>
      </c>
      <c r="AG563" s="67"/>
      <c r="AH563" s="2"/>
      <c r="AI563" s="2"/>
      <c r="AJ563" s="2"/>
      <c r="AK563" s="2"/>
      <c r="AL563" s="2"/>
    </row>
    <row r="564" spans="1:38" ht="14.45">
      <c r="A564" s="156">
        <v>563</v>
      </c>
      <c r="B564" s="59">
        <v>45802</v>
      </c>
      <c r="C564" s="34" t="s">
        <v>1162</v>
      </c>
      <c r="D564" s="23" t="s">
        <v>77</v>
      </c>
      <c r="E564" s="23">
        <v>16990</v>
      </c>
      <c r="F564" s="23" t="s">
        <v>1163</v>
      </c>
      <c r="G564" s="14" t="s">
        <v>51</v>
      </c>
      <c r="H564" s="23" t="s">
        <v>40</v>
      </c>
      <c r="I564" s="23" t="s">
        <v>52</v>
      </c>
      <c r="J564" s="97">
        <f t="shared" si="128"/>
        <v>45702</v>
      </c>
      <c r="L564" s="19" t="str">
        <f t="shared" si="129"/>
        <v/>
      </c>
      <c r="M564" s="5">
        <f t="shared" si="130"/>
        <v>45713</v>
      </c>
      <c r="N564" s="4">
        <v>45708</v>
      </c>
      <c r="O564" s="19">
        <f t="shared" si="131"/>
        <v>5</v>
      </c>
      <c r="P564" s="5">
        <f t="shared" si="132"/>
        <v>45728</v>
      </c>
      <c r="R564" s="19" t="str">
        <f t="shared" si="133"/>
        <v/>
      </c>
      <c r="S564" s="5">
        <f t="shared" si="143"/>
        <v>45733</v>
      </c>
      <c r="T564" s="4">
        <v>45770</v>
      </c>
      <c r="U564" s="19">
        <f t="shared" si="134"/>
        <v>-37</v>
      </c>
      <c r="V564" s="5">
        <f t="shared" si="135"/>
        <v>45772</v>
      </c>
      <c r="X564" s="19" t="str">
        <f t="shared" si="136"/>
        <v/>
      </c>
      <c r="Y564" s="51">
        <f t="shared" si="137"/>
        <v>45797</v>
      </c>
      <c r="Z564" s="4">
        <v>45800</v>
      </c>
      <c r="AA564" s="49">
        <f t="shared" si="138"/>
        <v>-3</v>
      </c>
      <c r="AB564" s="51">
        <f t="shared" si="139"/>
        <v>45802</v>
      </c>
      <c r="AC564" s="49">
        <f t="shared" si="140"/>
        <v>2</v>
      </c>
      <c r="AD564" s="43">
        <f t="shared" si="141"/>
        <v>45802</v>
      </c>
      <c r="AE564" s="4">
        <v>45800</v>
      </c>
      <c r="AF564" s="19">
        <f t="shared" si="142"/>
        <v>2</v>
      </c>
      <c r="AG564" s="67"/>
      <c r="AH564" s="2"/>
      <c r="AI564" s="2"/>
      <c r="AJ564" s="2"/>
      <c r="AK564" s="2"/>
      <c r="AL564" s="2"/>
    </row>
    <row r="565" spans="1:38" ht="14.45">
      <c r="A565" s="156">
        <v>564</v>
      </c>
      <c r="B565" s="59">
        <v>45802</v>
      </c>
      <c r="C565" s="34" t="s">
        <v>1164</v>
      </c>
      <c r="D565" s="23" t="s">
        <v>38</v>
      </c>
      <c r="E565" s="23">
        <v>219.51</v>
      </c>
      <c r="F565" s="23" t="s">
        <v>1165</v>
      </c>
      <c r="G565" s="14" t="s">
        <v>190</v>
      </c>
      <c r="H565" s="23" t="s">
        <v>40</v>
      </c>
      <c r="I565" s="23" t="s">
        <v>41</v>
      </c>
      <c r="J565" s="97">
        <f t="shared" si="128"/>
        <v>45702</v>
      </c>
      <c r="L565" s="19" t="str">
        <f t="shared" si="129"/>
        <v/>
      </c>
      <c r="M565" s="5">
        <f t="shared" si="130"/>
        <v>45713</v>
      </c>
      <c r="N565" s="4">
        <v>45770</v>
      </c>
      <c r="O565" s="19">
        <f t="shared" si="131"/>
        <v>-57</v>
      </c>
      <c r="P565" s="5">
        <f t="shared" si="132"/>
        <v>45728</v>
      </c>
      <c r="Q565" s="4">
        <v>45777</v>
      </c>
      <c r="R565" s="19">
        <f t="shared" si="133"/>
        <v>-49</v>
      </c>
      <c r="S565" s="5">
        <f t="shared" si="143"/>
        <v>45733</v>
      </c>
      <c r="T565" s="4">
        <v>45778</v>
      </c>
      <c r="U565" s="19">
        <f t="shared" si="134"/>
        <v>-45</v>
      </c>
      <c r="V565" s="5">
        <f t="shared" si="135"/>
        <v>45772</v>
      </c>
      <c r="W565" s="4">
        <v>45778</v>
      </c>
      <c r="X565" s="19">
        <f t="shared" si="136"/>
        <v>-6</v>
      </c>
      <c r="Y565" s="51">
        <f t="shared" si="137"/>
        <v>45797</v>
      </c>
      <c r="Z565" s="4">
        <v>45793</v>
      </c>
      <c r="AA565" s="49">
        <f t="shared" si="138"/>
        <v>4</v>
      </c>
      <c r="AB565" s="51">
        <f t="shared" si="139"/>
        <v>45802</v>
      </c>
      <c r="AC565" s="49">
        <f t="shared" si="140"/>
        <v>9</v>
      </c>
      <c r="AD565" s="43">
        <f t="shared" si="141"/>
        <v>45802</v>
      </c>
      <c r="AE565" s="4">
        <v>45793</v>
      </c>
      <c r="AF565" s="19">
        <f t="shared" si="142"/>
        <v>9</v>
      </c>
      <c r="AG565" s="67"/>
      <c r="AH565" s="2"/>
      <c r="AI565" s="2"/>
      <c r="AJ565" s="2"/>
      <c r="AK565" s="2"/>
      <c r="AL565" s="2"/>
    </row>
    <row r="566" spans="1:38" ht="14.45">
      <c r="A566" s="156">
        <v>565</v>
      </c>
      <c r="B566" s="59">
        <v>45802</v>
      </c>
      <c r="C566" s="34" t="s">
        <v>1166</v>
      </c>
      <c r="D566" s="23" t="s">
        <v>1167</v>
      </c>
      <c r="E566" s="23">
        <v>12497.52</v>
      </c>
      <c r="F566" s="23" t="s">
        <v>1168</v>
      </c>
      <c r="G566" s="14" t="s">
        <v>35</v>
      </c>
      <c r="H566" s="23" t="s">
        <v>40</v>
      </c>
      <c r="I566" s="23" t="s">
        <v>93</v>
      </c>
      <c r="J566" s="97">
        <f t="shared" si="128"/>
        <v>45702</v>
      </c>
      <c r="L566" s="19" t="str">
        <f t="shared" si="129"/>
        <v/>
      </c>
      <c r="M566" s="5">
        <f t="shared" si="130"/>
        <v>45713</v>
      </c>
      <c r="O566" s="19" t="str">
        <f t="shared" si="131"/>
        <v/>
      </c>
      <c r="P566" s="5">
        <f t="shared" si="132"/>
        <v>45728</v>
      </c>
      <c r="R566" s="19" t="str">
        <f t="shared" si="133"/>
        <v/>
      </c>
      <c r="S566" s="5">
        <f t="shared" si="143"/>
        <v>45733</v>
      </c>
      <c r="U566" s="19" t="str">
        <f t="shared" si="134"/>
        <v/>
      </c>
      <c r="V566" s="5">
        <f t="shared" si="135"/>
        <v>45772</v>
      </c>
      <c r="W566" s="4">
        <v>45789</v>
      </c>
      <c r="X566" s="19">
        <f t="shared" si="136"/>
        <v>-17</v>
      </c>
      <c r="Y566" s="51">
        <f t="shared" si="137"/>
        <v>45797</v>
      </c>
      <c r="AA566" s="49" t="str">
        <f t="shared" si="138"/>
        <v/>
      </c>
      <c r="AB566" s="51">
        <f t="shared" si="139"/>
        <v>45802</v>
      </c>
      <c r="AC566" s="49" t="str">
        <f t="shared" si="140"/>
        <v/>
      </c>
      <c r="AD566" s="43">
        <f t="shared" si="141"/>
        <v>45802</v>
      </c>
      <c r="AF566" s="19" t="str">
        <f t="shared" si="142"/>
        <v/>
      </c>
      <c r="AG566" s="67"/>
      <c r="AH566" s="2"/>
      <c r="AI566" s="2"/>
      <c r="AJ566" s="2"/>
      <c r="AK566" s="2"/>
      <c r="AL566" s="2"/>
    </row>
    <row r="567" spans="1:38" ht="14.45">
      <c r="A567" s="156">
        <v>566</v>
      </c>
      <c r="B567" s="59">
        <v>45803</v>
      </c>
      <c r="C567" s="34" t="s">
        <v>1169</v>
      </c>
      <c r="D567" s="23" t="s">
        <v>1170</v>
      </c>
      <c r="E567" s="23">
        <v>28132.23</v>
      </c>
      <c r="F567" s="23" t="s">
        <v>1171</v>
      </c>
      <c r="G567" s="14" t="s">
        <v>51</v>
      </c>
      <c r="H567" s="23" t="s">
        <v>40</v>
      </c>
      <c r="I567" s="23" t="s">
        <v>93</v>
      </c>
      <c r="J567" s="97">
        <f t="shared" si="128"/>
        <v>45703</v>
      </c>
      <c r="L567" s="19" t="str">
        <f t="shared" si="129"/>
        <v/>
      </c>
      <c r="M567" s="5">
        <f t="shared" si="130"/>
        <v>45714</v>
      </c>
      <c r="O567" s="19" t="str">
        <f t="shared" si="131"/>
        <v/>
      </c>
      <c r="P567" s="5">
        <f t="shared" si="132"/>
        <v>45729</v>
      </c>
      <c r="R567" s="19" t="str">
        <f t="shared" si="133"/>
        <v/>
      </c>
      <c r="S567" s="5">
        <f t="shared" si="143"/>
        <v>45734</v>
      </c>
      <c r="U567" s="19" t="str">
        <f t="shared" si="134"/>
        <v/>
      </c>
      <c r="V567" s="5">
        <f t="shared" si="135"/>
        <v>45773</v>
      </c>
      <c r="X567" s="19" t="str">
        <f t="shared" si="136"/>
        <v/>
      </c>
      <c r="Y567" s="51">
        <f t="shared" si="137"/>
        <v>45798</v>
      </c>
      <c r="Z567" s="4">
        <v>45838</v>
      </c>
      <c r="AA567" s="49">
        <f t="shared" si="138"/>
        <v>-40</v>
      </c>
      <c r="AB567" s="51">
        <f t="shared" si="139"/>
        <v>45803</v>
      </c>
      <c r="AC567" s="49">
        <f t="shared" si="140"/>
        <v>-35</v>
      </c>
      <c r="AD567" s="43">
        <f t="shared" si="141"/>
        <v>45803</v>
      </c>
      <c r="AE567" s="4">
        <v>45838</v>
      </c>
      <c r="AF567" s="19">
        <f t="shared" si="142"/>
        <v>-35</v>
      </c>
      <c r="AG567" s="67"/>
      <c r="AH567" s="2"/>
      <c r="AI567" s="2"/>
      <c r="AJ567" s="2"/>
      <c r="AK567" s="2"/>
      <c r="AL567" s="2"/>
    </row>
    <row r="568" spans="1:38" ht="14.45">
      <c r="A568" s="156">
        <v>567</v>
      </c>
      <c r="B568" s="59">
        <v>45803</v>
      </c>
      <c r="C568" s="34" t="s">
        <v>1172</v>
      </c>
      <c r="D568" s="23" t="s">
        <v>38</v>
      </c>
      <c r="E568" s="23">
        <v>449.82</v>
      </c>
      <c r="F568" s="23" t="s">
        <v>1173</v>
      </c>
      <c r="G568" s="14" t="s">
        <v>190</v>
      </c>
      <c r="H568" s="23" t="s">
        <v>40</v>
      </c>
      <c r="I568" s="23" t="s">
        <v>41</v>
      </c>
      <c r="J568" s="97">
        <f t="shared" si="128"/>
        <v>45703</v>
      </c>
      <c r="L568" s="19" t="str">
        <f t="shared" si="129"/>
        <v/>
      </c>
      <c r="M568" s="5">
        <f t="shared" si="130"/>
        <v>45714</v>
      </c>
      <c r="N568" s="4">
        <v>45770</v>
      </c>
      <c r="O568" s="19">
        <f t="shared" si="131"/>
        <v>-56</v>
      </c>
      <c r="P568" s="5">
        <f t="shared" si="132"/>
        <v>45729</v>
      </c>
      <c r="Q568" s="4">
        <v>45777</v>
      </c>
      <c r="R568" s="19">
        <f t="shared" si="133"/>
        <v>-48</v>
      </c>
      <c r="S568" s="5">
        <f t="shared" si="143"/>
        <v>45734</v>
      </c>
      <c r="T568" s="4">
        <v>45778</v>
      </c>
      <c r="U568" s="19">
        <f t="shared" si="134"/>
        <v>-44</v>
      </c>
      <c r="V568" s="5">
        <f t="shared" si="135"/>
        <v>45773</v>
      </c>
      <c r="W568" s="4">
        <v>45778</v>
      </c>
      <c r="X568" s="19">
        <f t="shared" si="136"/>
        <v>-5</v>
      </c>
      <c r="Y568" s="51">
        <f t="shared" si="137"/>
        <v>45798</v>
      </c>
      <c r="Z568" s="4">
        <v>45793</v>
      </c>
      <c r="AA568" s="49">
        <f t="shared" si="138"/>
        <v>5</v>
      </c>
      <c r="AB568" s="51">
        <f t="shared" si="139"/>
        <v>45803</v>
      </c>
      <c r="AC568" s="49">
        <f t="shared" si="140"/>
        <v>10</v>
      </c>
      <c r="AD568" s="43">
        <f t="shared" si="141"/>
        <v>45803</v>
      </c>
      <c r="AE568" s="4">
        <v>45793</v>
      </c>
      <c r="AF568" s="19">
        <f t="shared" si="142"/>
        <v>10</v>
      </c>
      <c r="AG568" s="67"/>
      <c r="AH568" s="2"/>
      <c r="AI568" s="2"/>
      <c r="AJ568" s="2"/>
      <c r="AK568" s="2"/>
      <c r="AL568" s="2"/>
    </row>
    <row r="569" spans="1:38" s="9" customFormat="1" ht="14.45">
      <c r="A569" s="156">
        <v>568</v>
      </c>
      <c r="B569" s="60">
        <v>45803</v>
      </c>
      <c r="C569" s="41" t="s">
        <v>1174</v>
      </c>
      <c r="D569" s="24" t="s">
        <v>1175</v>
      </c>
      <c r="E569" s="24">
        <v>22868.02</v>
      </c>
      <c r="F569" s="24" t="s">
        <v>1176</v>
      </c>
      <c r="G569" s="14" t="s">
        <v>46</v>
      </c>
      <c r="H569" s="24" t="s">
        <v>1177</v>
      </c>
      <c r="I569" s="24" t="s">
        <v>229</v>
      </c>
      <c r="J569" s="98">
        <f t="shared" si="128"/>
        <v>45703</v>
      </c>
      <c r="K569" s="7">
        <v>45705</v>
      </c>
      <c r="L569" s="99">
        <f t="shared" si="129"/>
        <v>-2</v>
      </c>
      <c r="M569" s="20">
        <f t="shared" si="130"/>
        <v>45714</v>
      </c>
      <c r="N569" s="7"/>
      <c r="O569" s="99" t="str">
        <f t="shared" si="131"/>
        <v/>
      </c>
      <c r="P569" s="5">
        <f t="shared" si="132"/>
        <v>45729</v>
      </c>
      <c r="Q569" s="4"/>
      <c r="R569" s="19" t="str">
        <f t="shared" si="133"/>
        <v/>
      </c>
      <c r="S569" s="20">
        <f t="shared" si="143"/>
        <v>45734</v>
      </c>
      <c r="T569" s="7">
        <v>45705</v>
      </c>
      <c r="U569" s="99">
        <f t="shared" si="134"/>
        <v>29</v>
      </c>
      <c r="V569" s="20">
        <f t="shared" si="135"/>
        <v>45773</v>
      </c>
      <c r="W569" s="7">
        <v>45762</v>
      </c>
      <c r="X569" s="99">
        <f t="shared" si="136"/>
        <v>11</v>
      </c>
      <c r="Y569" s="51">
        <f t="shared" si="137"/>
        <v>45798</v>
      </c>
      <c r="Z569" s="7">
        <v>45762</v>
      </c>
      <c r="AA569" s="49">
        <f t="shared" si="138"/>
        <v>36</v>
      </c>
      <c r="AB569" s="51">
        <f t="shared" si="139"/>
        <v>45803</v>
      </c>
      <c r="AC569" s="49">
        <f t="shared" si="140"/>
        <v>41</v>
      </c>
      <c r="AD569" s="100">
        <f t="shared" si="141"/>
        <v>45803</v>
      </c>
      <c r="AE569" s="7">
        <v>45762</v>
      </c>
      <c r="AF569" s="99">
        <f t="shared" si="142"/>
        <v>41</v>
      </c>
      <c r="AG569" s="68"/>
      <c r="AH569" s="8"/>
      <c r="AI569" s="8"/>
      <c r="AJ569" s="8"/>
      <c r="AK569" s="8"/>
      <c r="AL569" s="8"/>
    </row>
    <row r="570" spans="1:38" s="9" customFormat="1" ht="14.45">
      <c r="A570" s="156">
        <v>569</v>
      </c>
      <c r="B570" s="60">
        <v>45803</v>
      </c>
      <c r="C570" s="41" t="s">
        <v>1178</v>
      </c>
      <c r="D570" s="24" t="s">
        <v>1175</v>
      </c>
      <c r="E570" s="24">
        <v>208.71</v>
      </c>
      <c r="F570" s="24" t="s">
        <v>1179</v>
      </c>
      <c r="G570" s="14" t="s">
        <v>46</v>
      </c>
      <c r="H570" s="24" t="s">
        <v>1177</v>
      </c>
      <c r="I570" s="24" t="s">
        <v>229</v>
      </c>
      <c r="J570" s="98">
        <f t="shared" si="128"/>
        <v>45703</v>
      </c>
      <c r="K570" s="7">
        <v>45705</v>
      </c>
      <c r="L570" s="99">
        <f t="shared" si="129"/>
        <v>-2</v>
      </c>
      <c r="M570" s="20">
        <f t="shared" si="130"/>
        <v>45714</v>
      </c>
      <c r="N570" s="7"/>
      <c r="O570" s="99" t="str">
        <f t="shared" si="131"/>
        <v/>
      </c>
      <c r="P570" s="5">
        <f t="shared" si="132"/>
        <v>45729</v>
      </c>
      <c r="Q570" s="4"/>
      <c r="R570" s="19" t="str">
        <f t="shared" si="133"/>
        <v/>
      </c>
      <c r="S570" s="20">
        <f t="shared" si="143"/>
        <v>45734</v>
      </c>
      <c r="T570" s="7">
        <v>45705</v>
      </c>
      <c r="U570" s="99">
        <f t="shared" si="134"/>
        <v>29</v>
      </c>
      <c r="V570" s="20">
        <f t="shared" si="135"/>
        <v>45773</v>
      </c>
      <c r="W570" s="7">
        <v>45762</v>
      </c>
      <c r="X570" s="99">
        <f t="shared" si="136"/>
        <v>11</v>
      </c>
      <c r="Y570" s="51">
        <f t="shared" si="137"/>
        <v>45798</v>
      </c>
      <c r="Z570" s="7">
        <v>45762</v>
      </c>
      <c r="AA570" s="49">
        <f t="shared" si="138"/>
        <v>36</v>
      </c>
      <c r="AB570" s="51">
        <f t="shared" si="139"/>
        <v>45803</v>
      </c>
      <c r="AC570" s="49">
        <f t="shared" si="140"/>
        <v>41</v>
      </c>
      <c r="AD570" s="100">
        <f t="shared" si="141"/>
        <v>45803</v>
      </c>
      <c r="AE570" s="7">
        <v>45762</v>
      </c>
      <c r="AF570" s="99">
        <f t="shared" si="142"/>
        <v>41</v>
      </c>
      <c r="AG570" s="68"/>
      <c r="AH570" s="8"/>
      <c r="AI570" s="8"/>
      <c r="AJ570" s="8"/>
      <c r="AK570" s="8"/>
      <c r="AL570" s="8"/>
    </row>
    <row r="571" spans="1:38" ht="14.45">
      <c r="A571" s="156">
        <v>570</v>
      </c>
      <c r="B571" s="59">
        <v>45804</v>
      </c>
      <c r="C571" s="34" t="s">
        <v>1180</v>
      </c>
      <c r="D571" s="23" t="s">
        <v>1181</v>
      </c>
      <c r="E571" s="23">
        <v>820.8</v>
      </c>
      <c r="F571" s="23" t="s">
        <v>1182</v>
      </c>
      <c r="G571" s="14" t="s">
        <v>46</v>
      </c>
      <c r="H571" s="23" t="s">
        <v>40</v>
      </c>
      <c r="I571" s="23" t="s">
        <v>229</v>
      </c>
      <c r="J571" s="97">
        <f t="shared" si="128"/>
        <v>45704</v>
      </c>
      <c r="K571" s="4">
        <v>45705</v>
      </c>
      <c r="L571" s="19">
        <f t="shared" si="129"/>
        <v>-1</v>
      </c>
      <c r="M571" s="5">
        <f t="shared" si="130"/>
        <v>45715</v>
      </c>
      <c r="O571" s="19" t="str">
        <f t="shared" si="131"/>
        <v/>
      </c>
      <c r="P571" s="5">
        <f t="shared" si="132"/>
        <v>45730</v>
      </c>
      <c r="R571" s="19" t="str">
        <f t="shared" si="133"/>
        <v/>
      </c>
      <c r="S571" s="5">
        <f t="shared" si="143"/>
        <v>45735</v>
      </c>
      <c r="T571" s="4">
        <v>45744</v>
      </c>
      <c r="U571" s="19">
        <f t="shared" si="134"/>
        <v>-9</v>
      </c>
      <c r="V571" s="5">
        <f t="shared" si="135"/>
        <v>45774</v>
      </c>
      <c r="W571" s="4">
        <v>45776</v>
      </c>
      <c r="X571" s="19">
        <f t="shared" si="136"/>
        <v>-2</v>
      </c>
      <c r="Y571" s="51">
        <f t="shared" si="137"/>
        <v>45799</v>
      </c>
      <c r="Z571" s="4">
        <v>45791</v>
      </c>
      <c r="AA571" s="49">
        <f t="shared" si="138"/>
        <v>8</v>
      </c>
      <c r="AB571" s="51">
        <f t="shared" si="139"/>
        <v>45804</v>
      </c>
      <c r="AC571" s="49">
        <f t="shared" si="140"/>
        <v>13</v>
      </c>
      <c r="AD571" s="43">
        <f t="shared" si="141"/>
        <v>45804</v>
      </c>
      <c r="AE571" s="4">
        <v>45791</v>
      </c>
      <c r="AF571" s="19">
        <f t="shared" si="142"/>
        <v>13</v>
      </c>
      <c r="AG571" s="67"/>
      <c r="AH571" s="2"/>
      <c r="AI571" s="2"/>
      <c r="AJ571" s="2"/>
      <c r="AK571" s="2"/>
      <c r="AL571" s="2"/>
    </row>
    <row r="572" spans="1:38" ht="14.45">
      <c r="A572" s="156">
        <v>571</v>
      </c>
      <c r="B572" s="59">
        <v>45804</v>
      </c>
      <c r="C572" s="34" t="s">
        <v>1183</v>
      </c>
      <c r="D572" s="23" t="s">
        <v>77</v>
      </c>
      <c r="E572" s="23">
        <v>13914.52</v>
      </c>
      <c r="F572" s="23" t="s">
        <v>1184</v>
      </c>
      <c r="G572" s="14" t="s">
        <v>51</v>
      </c>
      <c r="H572" s="23" t="s">
        <v>40</v>
      </c>
      <c r="I572" s="23" t="s">
        <v>93</v>
      </c>
      <c r="J572" s="97">
        <f t="shared" si="128"/>
        <v>45704</v>
      </c>
      <c r="L572" s="19" t="str">
        <f t="shared" si="129"/>
        <v/>
      </c>
      <c r="M572" s="5">
        <f t="shared" si="130"/>
        <v>45715</v>
      </c>
      <c r="O572" s="19" t="str">
        <f t="shared" si="131"/>
        <v/>
      </c>
      <c r="P572" s="5">
        <f t="shared" si="132"/>
        <v>45730</v>
      </c>
      <c r="R572" s="19" t="str">
        <f t="shared" si="133"/>
        <v/>
      </c>
      <c r="S572" s="5">
        <f t="shared" si="143"/>
        <v>45735</v>
      </c>
      <c r="T572" s="4">
        <v>45694</v>
      </c>
      <c r="U572" s="19">
        <f t="shared" si="134"/>
        <v>41</v>
      </c>
      <c r="V572" s="5">
        <f t="shared" si="135"/>
        <v>45774</v>
      </c>
      <c r="W572" s="4">
        <v>45735</v>
      </c>
      <c r="X572" s="19">
        <f t="shared" si="136"/>
        <v>39</v>
      </c>
      <c r="Y572" s="51">
        <f t="shared" si="137"/>
        <v>45799</v>
      </c>
      <c r="Z572" s="4">
        <v>45783</v>
      </c>
      <c r="AA572" s="49">
        <f t="shared" si="138"/>
        <v>16</v>
      </c>
      <c r="AB572" s="51">
        <f t="shared" si="139"/>
        <v>45804</v>
      </c>
      <c r="AC572" s="49">
        <f t="shared" si="140"/>
        <v>21</v>
      </c>
      <c r="AD572" s="43">
        <f t="shared" si="141"/>
        <v>45804</v>
      </c>
      <c r="AE572" s="4">
        <v>45783</v>
      </c>
      <c r="AF572" s="19">
        <f t="shared" si="142"/>
        <v>21</v>
      </c>
      <c r="AG572" s="67"/>
      <c r="AH572" s="2"/>
      <c r="AI572" s="2"/>
      <c r="AJ572" s="2"/>
      <c r="AK572" s="2"/>
      <c r="AL572" s="2"/>
    </row>
    <row r="573" spans="1:38" ht="14.45">
      <c r="A573" s="156">
        <v>572</v>
      </c>
      <c r="B573" s="59">
        <v>45804</v>
      </c>
      <c r="C573" s="34" t="s">
        <v>1185</v>
      </c>
      <c r="D573" s="23" t="s">
        <v>488</v>
      </c>
      <c r="E573" s="23">
        <v>53881.48</v>
      </c>
      <c r="F573" s="23" t="s">
        <v>1186</v>
      </c>
      <c r="G573" s="14" t="s">
        <v>46</v>
      </c>
      <c r="H573" s="23" t="s">
        <v>40</v>
      </c>
      <c r="I573" s="23" t="s">
        <v>323</v>
      </c>
      <c r="J573" s="97">
        <f t="shared" si="128"/>
        <v>45704</v>
      </c>
      <c r="K573" s="4">
        <v>45705</v>
      </c>
      <c r="L573" s="19">
        <f t="shared" si="129"/>
        <v>-1</v>
      </c>
      <c r="M573" s="5">
        <f t="shared" si="130"/>
        <v>45715</v>
      </c>
      <c r="O573" s="19" t="str">
        <f t="shared" si="131"/>
        <v/>
      </c>
      <c r="P573" s="5">
        <f t="shared" si="132"/>
        <v>45730</v>
      </c>
      <c r="R573" s="19" t="str">
        <f t="shared" si="133"/>
        <v/>
      </c>
      <c r="S573" s="5">
        <f t="shared" si="143"/>
        <v>45735</v>
      </c>
      <c r="T573" s="4">
        <v>45774</v>
      </c>
      <c r="U573" s="19">
        <f t="shared" si="134"/>
        <v>-39</v>
      </c>
      <c r="V573" s="5">
        <f t="shared" si="135"/>
        <v>45774</v>
      </c>
      <c r="W573" s="4">
        <v>45792</v>
      </c>
      <c r="X573" s="19">
        <f t="shared" si="136"/>
        <v>-18</v>
      </c>
      <c r="Y573" s="51">
        <f t="shared" si="137"/>
        <v>45799</v>
      </c>
      <c r="Z573" s="4">
        <v>45821</v>
      </c>
      <c r="AA573" s="49">
        <f t="shared" si="138"/>
        <v>-22</v>
      </c>
      <c r="AB573" s="51">
        <f t="shared" si="139"/>
        <v>45804</v>
      </c>
      <c r="AC573" s="49">
        <f t="shared" si="140"/>
        <v>-17</v>
      </c>
      <c r="AD573" s="43">
        <f t="shared" si="141"/>
        <v>45804</v>
      </c>
      <c r="AE573" s="4">
        <v>45821</v>
      </c>
      <c r="AF573" s="19">
        <f t="shared" si="142"/>
        <v>-17</v>
      </c>
      <c r="AG573" s="67"/>
      <c r="AH573" s="2"/>
      <c r="AI573" s="2"/>
      <c r="AJ573" s="2"/>
      <c r="AK573" s="2"/>
      <c r="AL573" s="2"/>
    </row>
    <row r="574" spans="1:38" ht="14.45">
      <c r="A574" s="156">
        <v>573</v>
      </c>
      <c r="B574" s="59">
        <v>45805</v>
      </c>
      <c r="C574" s="34" t="s">
        <v>1187</v>
      </c>
      <c r="D574" s="23" t="s">
        <v>1188</v>
      </c>
      <c r="E574" s="23">
        <v>908.79</v>
      </c>
      <c r="F574" s="23" t="s">
        <v>1189</v>
      </c>
      <c r="G574" s="14" t="s">
        <v>35</v>
      </c>
      <c r="H574" s="23" t="s">
        <v>40</v>
      </c>
      <c r="I574" s="23" t="s">
        <v>41</v>
      </c>
      <c r="J574" s="97">
        <f t="shared" si="128"/>
        <v>45705</v>
      </c>
      <c r="L574" s="19" t="str">
        <f t="shared" si="129"/>
        <v/>
      </c>
      <c r="M574" s="5">
        <f t="shared" si="130"/>
        <v>45716</v>
      </c>
      <c r="O574" s="19" t="str">
        <f t="shared" si="131"/>
        <v/>
      </c>
      <c r="P574" s="5">
        <f t="shared" si="132"/>
        <v>45731</v>
      </c>
      <c r="R574" s="19" t="str">
        <f t="shared" si="133"/>
        <v/>
      </c>
      <c r="S574" s="5">
        <f t="shared" si="143"/>
        <v>45736</v>
      </c>
      <c r="U574" s="19" t="str">
        <f t="shared" si="134"/>
        <v/>
      </c>
      <c r="V574" s="5">
        <f t="shared" si="135"/>
        <v>45775</v>
      </c>
      <c r="W574" s="4">
        <v>45782</v>
      </c>
      <c r="X574" s="19">
        <f t="shared" si="136"/>
        <v>-7</v>
      </c>
      <c r="Y574" s="51">
        <f t="shared" si="137"/>
        <v>45800</v>
      </c>
      <c r="AA574" s="49" t="str">
        <f t="shared" si="138"/>
        <v/>
      </c>
      <c r="AB574" s="51">
        <f t="shared" si="139"/>
        <v>45805</v>
      </c>
      <c r="AC574" s="49" t="str">
        <f t="shared" si="140"/>
        <v/>
      </c>
      <c r="AD574" s="43">
        <f t="shared" si="141"/>
        <v>45805</v>
      </c>
      <c r="AF574" s="19" t="str">
        <f t="shared" si="142"/>
        <v/>
      </c>
      <c r="AG574" s="67"/>
      <c r="AH574" s="2"/>
      <c r="AI574" s="2"/>
      <c r="AJ574" s="2"/>
      <c r="AK574" s="2"/>
      <c r="AL574" s="2"/>
    </row>
    <row r="575" spans="1:38" ht="14.45">
      <c r="A575" s="156">
        <v>574</v>
      </c>
      <c r="B575" s="59">
        <v>45806</v>
      </c>
      <c r="C575" s="34" t="s">
        <v>1190</v>
      </c>
      <c r="D575" s="23" t="s">
        <v>38</v>
      </c>
      <c r="E575" s="23">
        <v>118.36</v>
      </c>
      <c r="F575" s="23" t="s">
        <v>1191</v>
      </c>
      <c r="G575" s="14" t="s">
        <v>190</v>
      </c>
      <c r="H575" s="23" t="s">
        <v>40</v>
      </c>
      <c r="I575" s="23" t="s">
        <v>41</v>
      </c>
      <c r="J575" s="97">
        <f t="shared" si="128"/>
        <v>45706</v>
      </c>
      <c r="L575" s="19" t="str">
        <f t="shared" si="129"/>
        <v/>
      </c>
      <c r="M575" s="5">
        <f t="shared" si="130"/>
        <v>45717</v>
      </c>
      <c r="N575" s="4">
        <v>45770</v>
      </c>
      <c r="O575" s="19">
        <f t="shared" si="131"/>
        <v>-53</v>
      </c>
      <c r="P575" s="5">
        <f t="shared" si="132"/>
        <v>45732</v>
      </c>
      <c r="Q575" s="4">
        <v>45777</v>
      </c>
      <c r="R575" s="19">
        <f t="shared" si="133"/>
        <v>-45</v>
      </c>
      <c r="S575" s="5">
        <f t="shared" si="143"/>
        <v>45737</v>
      </c>
      <c r="T575" s="4">
        <v>45778</v>
      </c>
      <c r="U575" s="19">
        <f t="shared" si="134"/>
        <v>-41</v>
      </c>
      <c r="V575" s="5">
        <f t="shared" si="135"/>
        <v>45776</v>
      </c>
      <c r="W575" s="4">
        <v>45778</v>
      </c>
      <c r="X575" s="19">
        <f t="shared" si="136"/>
        <v>-2</v>
      </c>
      <c r="Y575" s="51">
        <f t="shared" si="137"/>
        <v>45801</v>
      </c>
      <c r="Z575" s="4">
        <v>45793</v>
      </c>
      <c r="AA575" s="49">
        <f t="shared" si="138"/>
        <v>8</v>
      </c>
      <c r="AB575" s="51">
        <f t="shared" si="139"/>
        <v>45806</v>
      </c>
      <c r="AC575" s="49">
        <f t="shared" si="140"/>
        <v>13</v>
      </c>
      <c r="AD575" s="43">
        <f t="shared" si="141"/>
        <v>45806</v>
      </c>
      <c r="AE575" s="4">
        <v>45793</v>
      </c>
      <c r="AF575" s="19">
        <f t="shared" si="142"/>
        <v>13</v>
      </c>
      <c r="AG575" s="67"/>
      <c r="AH575" s="2"/>
      <c r="AI575" s="2"/>
      <c r="AJ575" s="2"/>
      <c r="AK575" s="2"/>
      <c r="AL575" s="2"/>
    </row>
    <row r="576" spans="1:38" ht="14.45">
      <c r="A576" s="156">
        <v>575</v>
      </c>
      <c r="B576" s="59">
        <v>45808</v>
      </c>
      <c r="C576" s="34" t="s">
        <v>1192</v>
      </c>
      <c r="D576" s="23" t="s">
        <v>1193</v>
      </c>
      <c r="E576" s="23">
        <v>30994.26</v>
      </c>
      <c r="F576" s="23" t="s">
        <v>1194</v>
      </c>
      <c r="G576" s="14" t="s">
        <v>35</v>
      </c>
      <c r="H576" s="23" t="s">
        <v>40</v>
      </c>
      <c r="I576" s="23" t="s">
        <v>93</v>
      </c>
      <c r="J576" s="97">
        <f t="shared" si="128"/>
        <v>45708</v>
      </c>
      <c r="L576" s="19" t="str">
        <f t="shared" si="129"/>
        <v/>
      </c>
      <c r="M576" s="5">
        <f t="shared" si="130"/>
        <v>45719</v>
      </c>
      <c r="O576" s="19" t="str">
        <f t="shared" si="131"/>
        <v/>
      </c>
      <c r="P576" s="5">
        <f t="shared" si="132"/>
        <v>45734</v>
      </c>
      <c r="R576" s="19" t="str">
        <f t="shared" si="133"/>
        <v/>
      </c>
      <c r="S576" s="5">
        <f t="shared" si="143"/>
        <v>45739</v>
      </c>
      <c r="U576" s="19" t="str">
        <f t="shared" si="134"/>
        <v/>
      </c>
      <c r="V576" s="5">
        <f t="shared" si="135"/>
        <v>45778</v>
      </c>
      <c r="W576" s="4">
        <v>45789</v>
      </c>
      <c r="X576" s="19">
        <f t="shared" si="136"/>
        <v>-11</v>
      </c>
      <c r="Y576" s="51">
        <f t="shared" si="137"/>
        <v>45803</v>
      </c>
      <c r="AA576" s="49" t="str">
        <f t="shared" si="138"/>
        <v/>
      </c>
      <c r="AB576" s="51">
        <f t="shared" si="139"/>
        <v>45808</v>
      </c>
      <c r="AC576" s="49" t="str">
        <f t="shared" si="140"/>
        <v/>
      </c>
      <c r="AD576" s="43">
        <f t="shared" si="141"/>
        <v>45808</v>
      </c>
      <c r="AF576" s="19" t="str">
        <f t="shared" si="142"/>
        <v/>
      </c>
      <c r="AG576" s="67"/>
      <c r="AH576" s="2"/>
      <c r="AI576" s="2"/>
      <c r="AJ576" s="2"/>
      <c r="AK576" s="2"/>
      <c r="AL576" s="2"/>
    </row>
    <row r="577" spans="1:38" ht="14.45">
      <c r="A577" s="156">
        <v>576</v>
      </c>
      <c r="B577" s="59">
        <v>45808</v>
      </c>
      <c r="C577" s="34" t="s">
        <v>1195</v>
      </c>
      <c r="D577" s="23" t="s">
        <v>1196</v>
      </c>
      <c r="E577" s="23">
        <v>9616.44</v>
      </c>
      <c r="F577" s="23" t="s">
        <v>1197</v>
      </c>
      <c r="G577" s="14" t="s">
        <v>35</v>
      </c>
      <c r="H577" s="23" t="s">
        <v>40</v>
      </c>
      <c r="I577" s="23" t="s">
        <v>93</v>
      </c>
      <c r="J577" s="97">
        <f t="shared" si="128"/>
        <v>45708</v>
      </c>
      <c r="L577" s="19" t="str">
        <f t="shared" si="129"/>
        <v/>
      </c>
      <c r="M577" s="5">
        <f t="shared" si="130"/>
        <v>45719</v>
      </c>
      <c r="O577" s="19" t="str">
        <f t="shared" si="131"/>
        <v/>
      </c>
      <c r="P577" s="5">
        <f t="shared" si="132"/>
        <v>45734</v>
      </c>
      <c r="R577" s="19" t="str">
        <f t="shared" si="133"/>
        <v/>
      </c>
      <c r="S577" s="5">
        <f t="shared" si="143"/>
        <v>45739</v>
      </c>
      <c r="U577" s="19" t="str">
        <f t="shared" si="134"/>
        <v/>
      </c>
      <c r="V577" s="5">
        <f t="shared" si="135"/>
        <v>45778</v>
      </c>
      <c r="X577" s="19" t="str">
        <f t="shared" si="136"/>
        <v/>
      </c>
      <c r="Y577" s="51">
        <f t="shared" si="137"/>
        <v>45803</v>
      </c>
      <c r="AA577" s="49" t="str">
        <f t="shared" si="138"/>
        <v/>
      </c>
      <c r="AB577" s="51">
        <f t="shared" si="139"/>
        <v>45808</v>
      </c>
      <c r="AC577" s="49" t="str">
        <f t="shared" si="140"/>
        <v/>
      </c>
      <c r="AD577" s="43">
        <f t="shared" si="141"/>
        <v>45808</v>
      </c>
      <c r="AF577" s="19" t="str">
        <f t="shared" si="142"/>
        <v/>
      </c>
      <c r="AG577" s="67"/>
      <c r="AH577" s="2"/>
      <c r="AI577" s="2"/>
      <c r="AJ577" s="2"/>
      <c r="AK577" s="2"/>
      <c r="AL577" s="2"/>
    </row>
    <row r="578" spans="1:38" ht="14.45">
      <c r="A578" s="156">
        <v>577</v>
      </c>
      <c r="B578" s="59">
        <v>45808</v>
      </c>
      <c r="C578" s="34" t="s">
        <v>1198</v>
      </c>
      <c r="D578" s="23" t="s">
        <v>38</v>
      </c>
      <c r="E578" s="23">
        <v>136.55000000000001</v>
      </c>
      <c r="F578" s="23" t="s">
        <v>1199</v>
      </c>
      <c r="G578" s="14" t="s">
        <v>190</v>
      </c>
      <c r="H578" s="23" t="s">
        <v>40</v>
      </c>
      <c r="I578" s="23" t="s">
        <v>41</v>
      </c>
      <c r="J578" s="97">
        <f t="shared" ref="J578:J641" si="144">B578-100</f>
        <v>45708</v>
      </c>
      <c r="L578" s="19" t="str">
        <f t="shared" ref="L578:L641" si="145">IF(OR(J578="", K578=""), "", J578-K578)</f>
        <v/>
      </c>
      <c r="M578" s="5">
        <f t="shared" ref="M578:M641" si="146">B578-89</f>
        <v>45719</v>
      </c>
      <c r="N578" s="4">
        <v>45770</v>
      </c>
      <c r="O578" s="19">
        <f t="shared" ref="O578:O641" si="147">IF(OR(M578="", N578=""), "", M578-N578)</f>
        <v>-51</v>
      </c>
      <c r="P578" s="5">
        <f t="shared" ref="P578:P641" si="148">B578-74</f>
        <v>45734</v>
      </c>
      <c r="Q578" s="4">
        <v>45777</v>
      </c>
      <c r="R578" s="19">
        <f t="shared" ref="R578:R641" si="149">IF(OR(P578="", Q578=""), "", P578-Q578)</f>
        <v>-43</v>
      </c>
      <c r="S578" s="5">
        <f t="shared" si="143"/>
        <v>45739</v>
      </c>
      <c r="T578" s="4">
        <v>45778</v>
      </c>
      <c r="U578" s="19">
        <f t="shared" ref="U578:U641" si="150">IF(OR(S578="", T578=""), "", S578-T578)</f>
        <v>-39</v>
      </c>
      <c r="V578" s="5">
        <f t="shared" ref="V578:V641" si="151">B578-30</f>
        <v>45778</v>
      </c>
      <c r="W578" s="4">
        <v>45778</v>
      </c>
      <c r="X578" s="19">
        <f t="shared" ref="X578:X641" si="152">IF(OR(V578="", W578=""), "", V578-W578)</f>
        <v>0</v>
      </c>
      <c r="Y578" s="51">
        <f t="shared" ref="Y578:Y641" si="153">B578-5</f>
        <v>45803</v>
      </c>
      <c r="Z578" s="4">
        <v>45793</v>
      </c>
      <c r="AA578" s="49">
        <f t="shared" ref="AA578:AA641" si="154">IF(OR(Y578="", Z578=""), "", Y578-Z578)</f>
        <v>10</v>
      </c>
      <c r="AB578" s="51">
        <f t="shared" ref="AB578:AB641" si="155">IF(B578&lt;&gt;"", B578, "")</f>
        <v>45808</v>
      </c>
      <c r="AC578" s="49">
        <f t="shared" ref="AC578:AC641" si="156">IF(OR(AB578="", Z578=""), "", AB578-Z578)</f>
        <v>15</v>
      </c>
      <c r="AD578" s="43">
        <f t="shared" ref="AD578:AD641" si="157">IF(B578&lt;&gt;"", B578, "")</f>
        <v>45808</v>
      </c>
      <c r="AE578" s="4">
        <v>45793</v>
      </c>
      <c r="AF578" s="19">
        <f t="shared" ref="AF578:AF641" si="158">IF(OR(AD578="", AE578=""), "", AD578-AE578)</f>
        <v>15</v>
      </c>
      <c r="AG578" s="67"/>
      <c r="AH578" s="2"/>
      <c r="AI578" s="2"/>
      <c r="AJ578" s="2"/>
      <c r="AK578" s="2"/>
      <c r="AL578" s="2"/>
    </row>
    <row r="579" spans="1:38" ht="14.45">
      <c r="A579" s="156">
        <v>578</v>
      </c>
      <c r="B579" s="59">
        <v>45808</v>
      </c>
      <c r="C579" s="34" t="s">
        <v>1200</v>
      </c>
      <c r="D579" s="23" t="s">
        <v>38</v>
      </c>
      <c r="E579" s="23">
        <v>172.2</v>
      </c>
      <c r="F579" s="23" t="s">
        <v>1201</v>
      </c>
      <c r="G579" s="14" t="s">
        <v>190</v>
      </c>
      <c r="H579" s="23" t="s">
        <v>40</v>
      </c>
      <c r="I579" s="23" t="s">
        <v>41</v>
      </c>
      <c r="J579" s="97">
        <f t="shared" si="144"/>
        <v>45708</v>
      </c>
      <c r="L579" s="19" t="str">
        <f t="shared" si="145"/>
        <v/>
      </c>
      <c r="M579" s="5">
        <f t="shared" si="146"/>
        <v>45719</v>
      </c>
      <c r="N579" s="4">
        <v>45770</v>
      </c>
      <c r="O579" s="19">
        <f t="shared" si="147"/>
        <v>-51</v>
      </c>
      <c r="P579" s="5">
        <f t="shared" si="148"/>
        <v>45734</v>
      </c>
      <c r="Q579" s="4">
        <v>45777</v>
      </c>
      <c r="R579" s="19">
        <f t="shared" si="149"/>
        <v>-43</v>
      </c>
      <c r="S579" s="5">
        <f t="shared" si="143"/>
        <v>45739</v>
      </c>
      <c r="T579" s="4">
        <v>45778</v>
      </c>
      <c r="U579" s="19">
        <f t="shared" si="150"/>
        <v>-39</v>
      </c>
      <c r="V579" s="5">
        <f t="shared" si="151"/>
        <v>45778</v>
      </c>
      <c r="W579" s="4">
        <v>45778</v>
      </c>
      <c r="X579" s="19">
        <f t="shared" si="152"/>
        <v>0</v>
      </c>
      <c r="Y579" s="51">
        <f t="shared" si="153"/>
        <v>45803</v>
      </c>
      <c r="Z579" s="4">
        <v>45793</v>
      </c>
      <c r="AA579" s="49">
        <f t="shared" si="154"/>
        <v>10</v>
      </c>
      <c r="AB579" s="51">
        <f t="shared" si="155"/>
        <v>45808</v>
      </c>
      <c r="AC579" s="49">
        <f t="shared" si="156"/>
        <v>15</v>
      </c>
      <c r="AD579" s="43">
        <f t="shared" si="157"/>
        <v>45808</v>
      </c>
      <c r="AE579" s="4">
        <v>45793</v>
      </c>
      <c r="AF579" s="19">
        <f t="shared" si="158"/>
        <v>15</v>
      </c>
      <c r="AG579" s="67"/>
      <c r="AH579" s="2"/>
      <c r="AI579" s="2"/>
      <c r="AJ579" s="2"/>
      <c r="AK579" s="2"/>
      <c r="AL579" s="2"/>
    </row>
    <row r="580" spans="1:38" ht="14.45">
      <c r="A580" s="156">
        <v>579</v>
      </c>
      <c r="B580" s="59">
        <v>45808</v>
      </c>
      <c r="C580" s="34" t="s">
        <v>1202</v>
      </c>
      <c r="D580" s="23" t="s">
        <v>38</v>
      </c>
      <c r="E580" s="23">
        <v>346.98</v>
      </c>
      <c r="F580" s="23" t="s">
        <v>1203</v>
      </c>
      <c r="G580" s="14" t="s">
        <v>190</v>
      </c>
      <c r="H580" s="23" t="s">
        <v>40</v>
      </c>
      <c r="I580" s="23" t="s">
        <v>41</v>
      </c>
      <c r="J580" s="97">
        <f t="shared" si="144"/>
        <v>45708</v>
      </c>
      <c r="L580" s="19" t="str">
        <f t="shared" si="145"/>
        <v/>
      </c>
      <c r="M580" s="5">
        <f t="shared" si="146"/>
        <v>45719</v>
      </c>
      <c r="N580" s="4">
        <v>45770</v>
      </c>
      <c r="O580" s="19">
        <f t="shared" si="147"/>
        <v>-51</v>
      </c>
      <c r="P580" s="5">
        <f t="shared" si="148"/>
        <v>45734</v>
      </c>
      <c r="Q580" s="4">
        <v>45777</v>
      </c>
      <c r="R580" s="19">
        <f t="shared" si="149"/>
        <v>-43</v>
      </c>
      <c r="S580" s="5">
        <f t="shared" si="143"/>
        <v>45739</v>
      </c>
      <c r="T580" s="4">
        <v>45778</v>
      </c>
      <c r="U580" s="19">
        <f t="shared" si="150"/>
        <v>-39</v>
      </c>
      <c r="V580" s="5">
        <f t="shared" si="151"/>
        <v>45778</v>
      </c>
      <c r="W580" s="4">
        <v>45778</v>
      </c>
      <c r="X580" s="19">
        <f t="shared" si="152"/>
        <v>0</v>
      </c>
      <c r="Y580" s="51">
        <f t="shared" si="153"/>
        <v>45803</v>
      </c>
      <c r="Z580" s="4">
        <v>45793</v>
      </c>
      <c r="AA580" s="49">
        <f t="shared" si="154"/>
        <v>10</v>
      </c>
      <c r="AB580" s="51">
        <f t="shared" si="155"/>
        <v>45808</v>
      </c>
      <c r="AC580" s="49">
        <f t="shared" si="156"/>
        <v>15</v>
      </c>
      <c r="AD580" s="43">
        <f t="shared" si="157"/>
        <v>45808</v>
      </c>
      <c r="AE580" s="4">
        <v>45793</v>
      </c>
      <c r="AF580" s="19">
        <f t="shared" si="158"/>
        <v>15</v>
      </c>
      <c r="AG580" s="67"/>
      <c r="AH580" s="2"/>
      <c r="AI580" s="2"/>
      <c r="AJ580" s="2"/>
      <c r="AK580" s="2"/>
      <c r="AL580" s="2"/>
    </row>
    <row r="581" spans="1:38" ht="14.45">
      <c r="A581" s="156">
        <v>580</v>
      </c>
      <c r="B581" s="59">
        <v>45808</v>
      </c>
      <c r="C581" s="34" t="s">
        <v>1204</v>
      </c>
      <c r="D581" s="23" t="s">
        <v>38</v>
      </c>
      <c r="E581" s="23">
        <v>393.61</v>
      </c>
      <c r="F581" s="23" t="s">
        <v>1205</v>
      </c>
      <c r="G581" s="14" t="s">
        <v>190</v>
      </c>
      <c r="H581" s="23" t="s">
        <v>40</v>
      </c>
      <c r="I581" s="23" t="s">
        <v>41</v>
      </c>
      <c r="J581" s="97">
        <f t="shared" si="144"/>
        <v>45708</v>
      </c>
      <c r="L581" s="19" t="str">
        <f t="shared" si="145"/>
        <v/>
      </c>
      <c r="M581" s="5">
        <f t="shared" si="146"/>
        <v>45719</v>
      </c>
      <c r="N581" s="4">
        <v>45770</v>
      </c>
      <c r="O581" s="19">
        <f t="shared" si="147"/>
        <v>-51</v>
      </c>
      <c r="P581" s="5">
        <f t="shared" si="148"/>
        <v>45734</v>
      </c>
      <c r="Q581" s="4">
        <v>45777</v>
      </c>
      <c r="R581" s="19">
        <f t="shared" si="149"/>
        <v>-43</v>
      </c>
      <c r="S581" s="5">
        <f t="shared" ref="S581:S644" si="159">B581-69</f>
        <v>45739</v>
      </c>
      <c r="T581" s="4">
        <v>45778</v>
      </c>
      <c r="U581" s="19">
        <f t="shared" si="150"/>
        <v>-39</v>
      </c>
      <c r="V581" s="5">
        <f t="shared" si="151"/>
        <v>45778</v>
      </c>
      <c r="W581" s="4">
        <v>45778</v>
      </c>
      <c r="X581" s="19">
        <f t="shared" si="152"/>
        <v>0</v>
      </c>
      <c r="Y581" s="51">
        <f t="shared" si="153"/>
        <v>45803</v>
      </c>
      <c r="Z581" s="4">
        <v>45793</v>
      </c>
      <c r="AA581" s="49">
        <f t="shared" si="154"/>
        <v>10</v>
      </c>
      <c r="AB581" s="51">
        <f t="shared" si="155"/>
        <v>45808</v>
      </c>
      <c r="AC581" s="49">
        <f t="shared" si="156"/>
        <v>15</v>
      </c>
      <c r="AD581" s="43">
        <f t="shared" si="157"/>
        <v>45808</v>
      </c>
      <c r="AE581" s="4">
        <v>45793</v>
      </c>
      <c r="AF581" s="19">
        <f t="shared" si="158"/>
        <v>15</v>
      </c>
      <c r="AG581" s="67"/>
      <c r="AH581" s="2"/>
      <c r="AI581" s="2"/>
      <c r="AJ581" s="2"/>
      <c r="AK581" s="2"/>
      <c r="AL581" s="2"/>
    </row>
    <row r="582" spans="1:38" ht="14.45">
      <c r="A582" s="156">
        <v>581</v>
      </c>
      <c r="B582" s="59">
        <v>45808</v>
      </c>
      <c r="C582" s="34">
        <v>111712996</v>
      </c>
      <c r="D582" s="23" t="s">
        <v>1206</v>
      </c>
      <c r="E582" s="23">
        <v>35406.22</v>
      </c>
      <c r="F582" s="23" t="s">
        <v>1207</v>
      </c>
      <c r="G582" s="14" t="s">
        <v>35</v>
      </c>
      <c r="H582" s="23" t="s">
        <v>36</v>
      </c>
      <c r="I582" s="23" t="s">
        <v>37</v>
      </c>
      <c r="J582" s="97">
        <f t="shared" si="144"/>
        <v>45708</v>
      </c>
      <c r="L582" s="19" t="str">
        <f t="shared" si="145"/>
        <v/>
      </c>
      <c r="M582" s="5">
        <f t="shared" si="146"/>
        <v>45719</v>
      </c>
      <c r="O582" s="19" t="str">
        <f t="shared" si="147"/>
        <v/>
      </c>
      <c r="P582" s="5">
        <f t="shared" si="148"/>
        <v>45734</v>
      </c>
      <c r="R582" s="19" t="str">
        <f t="shared" si="149"/>
        <v/>
      </c>
      <c r="S582" s="5">
        <f t="shared" si="159"/>
        <v>45739</v>
      </c>
      <c r="U582" s="19" t="str">
        <f t="shared" si="150"/>
        <v/>
      </c>
      <c r="V582" s="5">
        <f t="shared" si="151"/>
        <v>45778</v>
      </c>
      <c r="W582" s="4">
        <v>45785</v>
      </c>
      <c r="X582" s="19">
        <f t="shared" si="152"/>
        <v>-7</v>
      </c>
      <c r="Y582" s="51">
        <f t="shared" si="153"/>
        <v>45803</v>
      </c>
      <c r="AA582" s="49" t="str">
        <f t="shared" si="154"/>
        <v/>
      </c>
      <c r="AB582" s="51">
        <f t="shared" si="155"/>
        <v>45808</v>
      </c>
      <c r="AC582" s="49" t="str">
        <f t="shared" si="156"/>
        <v/>
      </c>
      <c r="AD582" s="43">
        <f t="shared" si="157"/>
        <v>45808</v>
      </c>
      <c r="AF582" s="19" t="str">
        <f t="shared" si="158"/>
        <v/>
      </c>
      <c r="AG582" s="67"/>
      <c r="AH582" s="2"/>
      <c r="AI582" s="2"/>
      <c r="AJ582" s="2"/>
      <c r="AK582" s="2"/>
      <c r="AL582" s="2"/>
    </row>
    <row r="583" spans="1:38" ht="14.45">
      <c r="A583" s="156">
        <v>582</v>
      </c>
      <c r="B583" s="59">
        <v>45808</v>
      </c>
      <c r="C583" s="34" t="s">
        <v>1208</v>
      </c>
      <c r="D583" s="23" t="s">
        <v>1209</v>
      </c>
      <c r="E583" s="23">
        <v>7038</v>
      </c>
      <c r="F583" s="23" t="s">
        <v>1210</v>
      </c>
      <c r="G583" s="14" t="s">
        <v>35</v>
      </c>
      <c r="H583" s="23" t="s">
        <v>40</v>
      </c>
      <c r="I583" s="23" t="s">
        <v>62</v>
      </c>
      <c r="J583" s="97">
        <f t="shared" si="144"/>
        <v>45708</v>
      </c>
      <c r="L583" s="19" t="str">
        <f t="shared" si="145"/>
        <v/>
      </c>
      <c r="M583" s="5">
        <f t="shared" si="146"/>
        <v>45719</v>
      </c>
      <c r="O583" s="19" t="str">
        <f t="shared" si="147"/>
        <v/>
      </c>
      <c r="P583" s="5">
        <f t="shared" si="148"/>
        <v>45734</v>
      </c>
      <c r="R583" s="19" t="str">
        <f t="shared" si="149"/>
        <v/>
      </c>
      <c r="S583" s="5">
        <f t="shared" si="159"/>
        <v>45739</v>
      </c>
      <c r="U583" s="19" t="str">
        <f t="shared" si="150"/>
        <v/>
      </c>
      <c r="V583" s="5">
        <f t="shared" si="151"/>
        <v>45778</v>
      </c>
      <c r="W583" s="4">
        <v>45786</v>
      </c>
      <c r="X583" s="19">
        <f t="shared" si="152"/>
        <v>-8</v>
      </c>
      <c r="Y583" s="51">
        <f t="shared" si="153"/>
        <v>45803</v>
      </c>
      <c r="AA583" s="49" t="str">
        <f t="shared" si="154"/>
        <v/>
      </c>
      <c r="AB583" s="51">
        <f t="shared" si="155"/>
        <v>45808</v>
      </c>
      <c r="AC583" s="49" t="str">
        <f t="shared" si="156"/>
        <v/>
      </c>
      <c r="AD583" s="43">
        <f t="shared" si="157"/>
        <v>45808</v>
      </c>
      <c r="AF583" s="19" t="str">
        <f t="shared" si="158"/>
        <v/>
      </c>
      <c r="AG583" s="67"/>
      <c r="AH583" s="2"/>
      <c r="AI583" s="2"/>
      <c r="AJ583" s="2"/>
      <c r="AK583" s="2"/>
      <c r="AL583" s="2"/>
    </row>
    <row r="584" spans="1:38" ht="14.45">
      <c r="A584" s="156">
        <v>583</v>
      </c>
      <c r="B584" s="59">
        <v>45808</v>
      </c>
      <c r="C584" s="34" t="s">
        <v>1211</v>
      </c>
      <c r="D584" s="23" t="s">
        <v>100</v>
      </c>
      <c r="E584" s="23">
        <v>40825.4</v>
      </c>
      <c r="F584" s="23" t="s">
        <v>1212</v>
      </c>
      <c r="G584" s="14" t="s">
        <v>46</v>
      </c>
      <c r="H584" s="23" t="s">
        <v>36</v>
      </c>
      <c r="I584" s="23" t="s">
        <v>62</v>
      </c>
      <c r="J584" s="97">
        <f t="shared" si="144"/>
        <v>45708</v>
      </c>
      <c r="L584" s="19" t="str">
        <f t="shared" si="145"/>
        <v/>
      </c>
      <c r="M584" s="5">
        <f t="shared" si="146"/>
        <v>45719</v>
      </c>
      <c r="O584" s="19" t="str">
        <f t="shared" si="147"/>
        <v/>
      </c>
      <c r="P584" s="5">
        <f t="shared" si="148"/>
        <v>45734</v>
      </c>
      <c r="R584" s="19" t="str">
        <f t="shared" si="149"/>
        <v/>
      </c>
      <c r="S584" s="5">
        <f t="shared" si="159"/>
        <v>45739</v>
      </c>
      <c r="T584" s="4">
        <v>45729</v>
      </c>
      <c r="U584" s="19">
        <f t="shared" si="150"/>
        <v>10</v>
      </c>
      <c r="V584" s="5">
        <f t="shared" si="151"/>
        <v>45778</v>
      </c>
      <c r="W584" s="4">
        <v>45757</v>
      </c>
      <c r="X584" s="19">
        <f t="shared" si="152"/>
        <v>21</v>
      </c>
      <c r="Y584" s="51">
        <f t="shared" si="153"/>
        <v>45803</v>
      </c>
      <c r="Z584" s="4">
        <v>45812</v>
      </c>
      <c r="AA584" s="49">
        <f t="shared" si="154"/>
        <v>-9</v>
      </c>
      <c r="AB584" s="51">
        <f t="shared" si="155"/>
        <v>45808</v>
      </c>
      <c r="AC584" s="49">
        <f t="shared" si="156"/>
        <v>-4</v>
      </c>
      <c r="AD584" s="43">
        <f t="shared" si="157"/>
        <v>45808</v>
      </c>
      <c r="AE584" s="4">
        <v>45812</v>
      </c>
      <c r="AF584" s="19">
        <f t="shared" si="158"/>
        <v>-4</v>
      </c>
      <c r="AG584" s="67"/>
      <c r="AH584" s="2"/>
      <c r="AI584" s="2"/>
      <c r="AJ584" s="2"/>
      <c r="AK584" s="2"/>
      <c r="AL584" s="2"/>
    </row>
    <row r="585" spans="1:38" ht="14.45">
      <c r="A585" s="156">
        <v>584</v>
      </c>
      <c r="B585" s="59">
        <v>45808</v>
      </c>
      <c r="C585" s="34" t="s">
        <v>1213</v>
      </c>
      <c r="D585" s="23" t="s">
        <v>1214</v>
      </c>
      <c r="E585" s="23">
        <v>48774.31</v>
      </c>
      <c r="F585" s="23" t="s">
        <v>1215</v>
      </c>
      <c r="G585" s="14" t="s">
        <v>35</v>
      </c>
      <c r="H585" s="23" t="s">
        <v>40</v>
      </c>
      <c r="I585" s="23" t="s">
        <v>93</v>
      </c>
      <c r="J585" s="97">
        <f t="shared" si="144"/>
        <v>45708</v>
      </c>
      <c r="K585" s="4">
        <v>45729</v>
      </c>
      <c r="L585" s="19">
        <f t="shared" si="145"/>
        <v>-21</v>
      </c>
      <c r="M585" s="5">
        <f t="shared" si="146"/>
        <v>45719</v>
      </c>
      <c r="O585" s="19" t="str">
        <f t="shared" si="147"/>
        <v/>
      </c>
      <c r="P585" s="5">
        <f t="shared" si="148"/>
        <v>45734</v>
      </c>
      <c r="R585" s="19" t="str">
        <f t="shared" si="149"/>
        <v/>
      </c>
      <c r="S585" s="5">
        <f t="shared" si="159"/>
        <v>45739</v>
      </c>
      <c r="T585" s="4">
        <v>45729</v>
      </c>
      <c r="U585" s="19">
        <f t="shared" si="150"/>
        <v>10</v>
      </c>
      <c r="V585" s="5">
        <f t="shared" si="151"/>
        <v>45778</v>
      </c>
      <c r="W585" s="4">
        <v>45786</v>
      </c>
      <c r="X585" s="19">
        <f t="shared" si="152"/>
        <v>-8</v>
      </c>
      <c r="Y585" s="51">
        <f t="shared" si="153"/>
        <v>45803</v>
      </c>
      <c r="AA585" s="49" t="str">
        <f t="shared" si="154"/>
        <v/>
      </c>
      <c r="AB585" s="51">
        <f t="shared" si="155"/>
        <v>45808</v>
      </c>
      <c r="AC585" s="49" t="str">
        <f t="shared" si="156"/>
        <v/>
      </c>
      <c r="AD585" s="43">
        <f t="shared" si="157"/>
        <v>45808</v>
      </c>
      <c r="AF585" s="19" t="str">
        <f t="shared" si="158"/>
        <v/>
      </c>
      <c r="AG585" s="67"/>
      <c r="AH585" s="2"/>
      <c r="AI585" s="2"/>
      <c r="AJ585" s="2"/>
      <c r="AK585" s="2"/>
      <c r="AL585" s="2"/>
    </row>
    <row r="586" spans="1:38" ht="14.45">
      <c r="A586" s="156">
        <v>585</v>
      </c>
      <c r="B586" s="59">
        <v>45808</v>
      </c>
      <c r="C586" s="34" t="s">
        <v>1216</v>
      </c>
      <c r="D586" s="23" t="s">
        <v>1217</v>
      </c>
      <c r="E586" s="23">
        <v>2786.23</v>
      </c>
      <c r="F586" s="23" t="s">
        <v>1218</v>
      </c>
      <c r="G586" s="14" t="s">
        <v>190</v>
      </c>
      <c r="H586" s="23" t="s">
        <v>40</v>
      </c>
      <c r="I586" s="23" t="s">
        <v>93</v>
      </c>
      <c r="J586" s="97">
        <f t="shared" si="144"/>
        <v>45708</v>
      </c>
      <c r="L586" s="19" t="str">
        <f t="shared" si="145"/>
        <v/>
      </c>
      <c r="M586" s="5">
        <f t="shared" si="146"/>
        <v>45719</v>
      </c>
      <c r="O586" s="19" t="str">
        <f t="shared" si="147"/>
        <v/>
      </c>
      <c r="P586" s="5">
        <f t="shared" si="148"/>
        <v>45734</v>
      </c>
      <c r="R586" s="19" t="str">
        <f t="shared" si="149"/>
        <v/>
      </c>
      <c r="S586" s="5">
        <f t="shared" si="159"/>
        <v>45739</v>
      </c>
      <c r="T586" s="4">
        <v>45755</v>
      </c>
      <c r="U586" s="19">
        <f t="shared" si="150"/>
        <v>-16</v>
      </c>
      <c r="V586" s="5">
        <f t="shared" si="151"/>
        <v>45778</v>
      </c>
      <c r="W586" s="4">
        <v>45778</v>
      </c>
      <c r="X586" s="19">
        <f t="shared" si="152"/>
        <v>0</v>
      </c>
      <c r="Y586" s="51">
        <f t="shared" si="153"/>
        <v>45803</v>
      </c>
      <c r="AA586" s="49" t="str">
        <f t="shared" si="154"/>
        <v/>
      </c>
      <c r="AB586" s="51">
        <f t="shared" si="155"/>
        <v>45808</v>
      </c>
      <c r="AC586" s="49" t="str">
        <f t="shared" si="156"/>
        <v/>
      </c>
      <c r="AD586" s="43">
        <f t="shared" si="157"/>
        <v>45808</v>
      </c>
      <c r="AE586" s="4">
        <v>45873</v>
      </c>
      <c r="AF586" s="19">
        <f t="shared" si="158"/>
        <v>-65</v>
      </c>
      <c r="AG586" s="67"/>
      <c r="AH586" s="2"/>
      <c r="AI586" s="2"/>
      <c r="AJ586" s="2"/>
      <c r="AK586" s="2"/>
      <c r="AL586" s="2"/>
    </row>
    <row r="587" spans="1:38" ht="14.45">
      <c r="A587" s="156">
        <v>586</v>
      </c>
      <c r="B587" s="59">
        <v>45809</v>
      </c>
      <c r="C587" s="34" t="s">
        <v>1219</v>
      </c>
      <c r="D587" s="23" t="s">
        <v>1220</v>
      </c>
      <c r="E587" s="23">
        <v>68579.92</v>
      </c>
      <c r="F587" s="23" t="s">
        <v>1221</v>
      </c>
      <c r="G587" s="14" t="s">
        <v>35</v>
      </c>
      <c r="H587" s="23" t="s">
        <v>36</v>
      </c>
      <c r="I587" s="23" t="s">
        <v>37</v>
      </c>
      <c r="J587" s="97">
        <f t="shared" si="144"/>
        <v>45709</v>
      </c>
      <c r="L587" s="19" t="str">
        <f t="shared" si="145"/>
        <v/>
      </c>
      <c r="M587" s="5">
        <f t="shared" si="146"/>
        <v>45720</v>
      </c>
      <c r="O587" s="19" t="str">
        <f t="shared" si="147"/>
        <v/>
      </c>
      <c r="P587" s="5">
        <f t="shared" si="148"/>
        <v>45735</v>
      </c>
      <c r="R587" s="19" t="str">
        <f t="shared" si="149"/>
        <v/>
      </c>
      <c r="S587" s="5">
        <f t="shared" si="159"/>
        <v>45740</v>
      </c>
      <c r="U587" s="19" t="str">
        <f t="shared" si="150"/>
        <v/>
      </c>
      <c r="V587" s="5">
        <f t="shared" si="151"/>
        <v>45779</v>
      </c>
      <c r="W587" s="4">
        <v>45799</v>
      </c>
      <c r="X587" s="19">
        <f t="shared" si="152"/>
        <v>-20</v>
      </c>
      <c r="Y587" s="51">
        <f t="shared" si="153"/>
        <v>45804</v>
      </c>
      <c r="Z587" s="4">
        <v>45826</v>
      </c>
      <c r="AA587" s="49">
        <f t="shared" si="154"/>
        <v>-22</v>
      </c>
      <c r="AB587" s="51">
        <f t="shared" si="155"/>
        <v>45809</v>
      </c>
      <c r="AC587" s="49">
        <f t="shared" si="156"/>
        <v>-17</v>
      </c>
      <c r="AD587" s="43">
        <f t="shared" si="157"/>
        <v>45809</v>
      </c>
      <c r="AE587" s="4">
        <v>45826</v>
      </c>
      <c r="AF587" s="19">
        <f t="shared" si="158"/>
        <v>-17</v>
      </c>
      <c r="AG587" s="67"/>
      <c r="AH587" s="2"/>
      <c r="AI587" s="2"/>
      <c r="AJ587" s="2"/>
      <c r="AK587" s="2"/>
      <c r="AL587" s="2"/>
    </row>
    <row r="588" spans="1:38" ht="14.45">
      <c r="A588" s="156">
        <v>587</v>
      </c>
      <c r="B588" s="59">
        <v>45809</v>
      </c>
      <c r="C588" s="34">
        <v>111690028</v>
      </c>
      <c r="D588" s="23" t="s">
        <v>1222</v>
      </c>
      <c r="E588" s="23">
        <v>217542.46</v>
      </c>
      <c r="F588" s="23" t="s">
        <v>1223</v>
      </c>
      <c r="G588" s="14" t="s">
        <v>35</v>
      </c>
      <c r="H588" s="23" t="s">
        <v>36</v>
      </c>
      <c r="I588" s="23" t="s">
        <v>37</v>
      </c>
      <c r="J588" s="97">
        <f t="shared" si="144"/>
        <v>45709</v>
      </c>
      <c r="L588" s="19" t="str">
        <f t="shared" si="145"/>
        <v/>
      </c>
      <c r="M588" s="5">
        <f t="shared" si="146"/>
        <v>45720</v>
      </c>
      <c r="O588" s="19" t="str">
        <f t="shared" si="147"/>
        <v/>
      </c>
      <c r="P588" s="5">
        <f t="shared" si="148"/>
        <v>45735</v>
      </c>
      <c r="R588" s="19" t="str">
        <f t="shared" si="149"/>
        <v/>
      </c>
      <c r="S588" s="5">
        <f t="shared" si="159"/>
        <v>45740</v>
      </c>
      <c r="U588" s="19" t="str">
        <f t="shared" si="150"/>
        <v/>
      </c>
      <c r="V588" s="5">
        <f t="shared" si="151"/>
        <v>45779</v>
      </c>
      <c r="W588" s="4">
        <v>45798</v>
      </c>
      <c r="X588" s="19">
        <f t="shared" si="152"/>
        <v>-19</v>
      </c>
      <c r="Y588" s="51">
        <f t="shared" si="153"/>
        <v>45804</v>
      </c>
      <c r="Z588" s="4">
        <v>45824</v>
      </c>
      <c r="AA588" s="49">
        <f t="shared" si="154"/>
        <v>-20</v>
      </c>
      <c r="AB588" s="51">
        <f t="shared" si="155"/>
        <v>45809</v>
      </c>
      <c r="AC588" s="49">
        <f t="shared" si="156"/>
        <v>-15</v>
      </c>
      <c r="AD588" s="43">
        <f t="shared" si="157"/>
        <v>45809</v>
      </c>
      <c r="AE588" s="4">
        <v>45824</v>
      </c>
      <c r="AF588" s="19">
        <f t="shared" si="158"/>
        <v>-15</v>
      </c>
      <c r="AG588" s="67"/>
      <c r="AH588" s="2"/>
      <c r="AI588" s="2"/>
      <c r="AJ588" s="2"/>
      <c r="AK588" s="2"/>
      <c r="AL588" s="2"/>
    </row>
    <row r="589" spans="1:38" ht="14.45">
      <c r="A589" s="156">
        <v>588</v>
      </c>
      <c r="B589" s="59">
        <v>45809</v>
      </c>
      <c r="C589" s="34" t="s">
        <v>1224</v>
      </c>
      <c r="D589" s="23" t="s">
        <v>1225</v>
      </c>
      <c r="E589" s="23">
        <v>25021.08</v>
      </c>
      <c r="F589" s="23" t="s">
        <v>1226</v>
      </c>
      <c r="G589" s="14" t="s">
        <v>46</v>
      </c>
      <c r="H589" s="23" t="s">
        <v>40</v>
      </c>
      <c r="I589" s="23" t="s">
        <v>62</v>
      </c>
      <c r="J589" s="97">
        <f t="shared" si="144"/>
        <v>45709</v>
      </c>
      <c r="K589" s="4">
        <v>45715</v>
      </c>
      <c r="L589" s="19">
        <f t="shared" si="145"/>
        <v>-6</v>
      </c>
      <c r="M589" s="5">
        <f t="shared" si="146"/>
        <v>45720</v>
      </c>
      <c r="N589" s="4">
        <v>45775</v>
      </c>
      <c r="O589" s="19">
        <f t="shared" si="147"/>
        <v>-55</v>
      </c>
      <c r="P589" s="5">
        <f t="shared" si="148"/>
        <v>45735</v>
      </c>
      <c r="R589" s="19" t="str">
        <f t="shared" si="149"/>
        <v/>
      </c>
      <c r="S589" s="5">
        <f t="shared" si="159"/>
        <v>45740</v>
      </c>
      <c r="T589" s="4">
        <v>45775</v>
      </c>
      <c r="U589" s="19">
        <f t="shared" si="150"/>
        <v>-35</v>
      </c>
      <c r="V589" s="5">
        <f t="shared" si="151"/>
        <v>45779</v>
      </c>
      <c r="W589" s="4">
        <v>45793</v>
      </c>
      <c r="X589" s="19">
        <f t="shared" si="152"/>
        <v>-14</v>
      </c>
      <c r="Y589" s="51">
        <f t="shared" si="153"/>
        <v>45804</v>
      </c>
      <c r="Z589" s="4">
        <v>45806</v>
      </c>
      <c r="AA589" s="49">
        <f t="shared" si="154"/>
        <v>-2</v>
      </c>
      <c r="AB589" s="51">
        <f t="shared" si="155"/>
        <v>45809</v>
      </c>
      <c r="AC589" s="49">
        <f t="shared" si="156"/>
        <v>3</v>
      </c>
      <c r="AD589" s="43">
        <f t="shared" si="157"/>
        <v>45809</v>
      </c>
      <c r="AE589" s="4">
        <v>45806</v>
      </c>
      <c r="AF589" s="19">
        <f t="shared" si="158"/>
        <v>3</v>
      </c>
      <c r="AG589" s="67"/>
      <c r="AH589" s="2"/>
      <c r="AI589" s="2"/>
      <c r="AJ589" s="2"/>
      <c r="AK589" s="2"/>
      <c r="AL589" s="2"/>
    </row>
    <row r="590" spans="1:38" s="9" customFormat="1" ht="14.45">
      <c r="A590" s="156">
        <v>589</v>
      </c>
      <c r="B590" s="60">
        <v>45809</v>
      </c>
      <c r="C590" s="41" t="s">
        <v>1227</v>
      </c>
      <c r="D590" s="24" t="s">
        <v>1225</v>
      </c>
      <c r="E590" s="24">
        <v>22223</v>
      </c>
      <c r="F590" s="24" t="s">
        <v>1228</v>
      </c>
      <c r="G590" s="14" t="s">
        <v>46</v>
      </c>
      <c r="H590" s="24" t="s">
        <v>40</v>
      </c>
      <c r="I590" s="24" t="s">
        <v>62</v>
      </c>
      <c r="J590" s="98">
        <f t="shared" si="144"/>
        <v>45709</v>
      </c>
      <c r="K590" s="7">
        <v>45715</v>
      </c>
      <c r="L590" s="99">
        <f t="shared" si="145"/>
        <v>-6</v>
      </c>
      <c r="M590" s="20">
        <f t="shared" si="146"/>
        <v>45720</v>
      </c>
      <c r="N590" s="7">
        <v>45775</v>
      </c>
      <c r="O590" s="99">
        <f t="shared" si="147"/>
        <v>-55</v>
      </c>
      <c r="P590" s="5">
        <f t="shared" si="148"/>
        <v>45735</v>
      </c>
      <c r="Q590" s="4"/>
      <c r="R590" s="19" t="str">
        <f t="shared" si="149"/>
        <v/>
      </c>
      <c r="S590" s="20">
        <f t="shared" si="159"/>
        <v>45740</v>
      </c>
      <c r="T590" s="7">
        <v>45775</v>
      </c>
      <c r="U590" s="99">
        <f t="shared" si="150"/>
        <v>-35</v>
      </c>
      <c r="V590" s="20">
        <f t="shared" si="151"/>
        <v>45779</v>
      </c>
      <c r="W590" s="7">
        <v>45793</v>
      </c>
      <c r="X590" s="99">
        <f t="shared" si="152"/>
        <v>-14</v>
      </c>
      <c r="Y590" s="51">
        <f t="shared" si="153"/>
        <v>45804</v>
      </c>
      <c r="Z590" s="7">
        <v>45793</v>
      </c>
      <c r="AA590" s="49">
        <f t="shared" si="154"/>
        <v>11</v>
      </c>
      <c r="AB590" s="51">
        <f t="shared" si="155"/>
        <v>45809</v>
      </c>
      <c r="AC590" s="49">
        <f t="shared" si="156"/>
        <v>16</v>
      </c>
      <c r="AD590" s="100">
        <f t="shared" si="157"/>
        <v>45809</v>
      </c>
      <c r="AE590" s="7">
        <v>45793</v>
      </c>
      <c r="AF590" s="99">
        <f t="shared" si="158"/>
        <v>16</v>
      </c>
      <c r="AG590" s="68"/>
      <c r="AH590" s="8"/>
      <c r="AI590" s="8"/>
      <c r="AJ590" s="8"/>
      <c r="AK590" s="8"/>
      <c r="AL590" s="8"/>
    </row>
    <row r="591" spans="1:38" ht="14.45">
      <c r="A591" s="156">
        <v>590</v>
      </c>
      <c r="B591" s="59">
        <v>45809</v>
      </c>
      <c r="C591" s="34" t="s">
        <v>1229</v>
      </c>
      <c r="D591" s="23" t="s">
        <v>1230</v>
      </c>
      <c r="E591" s="23">
        <v>11000</v>
      </c>
      <c r="F591" s="23" t="s">
        <v>1231</v>
      </c>
      <c r="G591" s="14" t="s">
        <v>35</v>
      </c>
      <c r="H591" s="23" t="s">
        <v>40</v>
      </c>
      <c r="I591" s="23" t="s">
        <v>62</v>
      </c>
      <c r="J591" s="97">
        <f t="shared" si="144"/>
        <v>45709</v>
      </c>
      <c r="K591" s="4">
        <v>45729</v>
      </c>
      <c r="L591" s="19">
        <f t="shared" si="145"/>
        <v>-20</v>
      </c>
      <c r="M591" s="5">
        <f t="shared" si="146"/>
        <v>45720</v>
      </c>
      <c r="O591" s="19" t="str">
        <f t="shared" si="147"/>
        <v/>
      </c>
      <c r="P591" s="5">
        <f t="shared" si="148"/>
        <v>45735</v>
      </c>
      <c r="R591" s="19" t="str">
        <f t="shared" si="149"/>
        <v/>
      </c>
      <c r="S591" s="5">
        <f t="shared" si="159"/>
        <v>45740</v>
      </c>
      <c r="U591" s="19" t="str">
        <f t="shared" si="150"/>
        <v/>
      </c>
      <c r="V591" s="5">
        <f t="shared" si="151"/>
        <v>45779</v>
      </c>
      <c r="X591" s="19" t="str">
        <f t="shared" si="152"/>
        <v/>
      </c>
      <c r="Y591" s="51">
        <f t="shared" si="153"/>
        <v>45804</v>
      </c>
      <c r="AA591" s="49" t="str">
        <f t="shared" si="154"/>
        <v/>
      </c>
      <c r="AB591" s="51">
        <f t="shared" si="155"/>
        <v>45809</v>
      </c>
      <c r="AC591" s="49" t="str">
        <f t="shared" si="156"/>
        <v/>
      </c>
      <c r="AD591" s="43">
        <f t="shared" si="157"/>
        <v>45809</v>
      </c>
      <c r="AF591" s="19" t="str">
        <f t="shared" si="158"/>
        <v/>
      </c>
      <c r="AG591" s="67" t="s">
        <v>367</v>
      </c>
      <c r="AH591" s="2"/>
      <c r="AI591" s="2"/>
      <c r="AJ591" s="2"/>
      <c r="AK591" s="2"/>
      <c r="AL591" s="2"/>
    </row>
    <row r="592" spans="1:38" ht="14.45">
      <c r="A592" s="156">
        <v>591</v>
      </c>
      <c r="B592" s="59">
        <v>45809</v>
      </c>
      <c r="C592" s="34" t="s">
        <v>1232</v>
      </c>
      <c r="D592" s="23" t="s">
        <v>1230</v>
      </c>
      <c r="E592" s="23">
        <v>7500</v>
      </c>
      <c r="F592" s="23" t="s">
        <v>1233</v>
      </c>
      <c r="G592" s="14" t="s">
        <v>35</v>
      </c>
      <c r="H592" s="23" t="s">
        <v>40</v>
      </c>
      <c r="I592" s="23" t="s">
        <v>62</v>
      </c>
      <c r="J592" s="97">
        <f t="shared" si="144"/>
        <v>45709</v>
      </c>
      <c r="K592" s="4">
        <v>45729</v>
      </c>
      <c r="L592" s="19">
        <f t="shared" si="145"/>
        <v>-20</v>
      </c>
      <c r="M592" s="5">
        <f t="shared" si="146"/>
        <v>45720</v>
      </c>
      <c r="O592" s="19" t="str">
        <f t="shared" si="147"/>
        <v/>
      </c>
      <c r="P592" s="5">
        <f t="shared" si="148"/>
        <v>45735</v>
      </c>
      <c r="R592" s="19" t="str">
        <f t="shared" si="149"/>
        <v/>
      </c>
      <c r="S592" s="5">
        <f t="shared" si="159"/>
        <v>45740</v>
      </c>
      <c r="U592" s="19" t="str">
        <f t="shared" si="150"/>
        <v/>
      </c>
      <c r="V592" s="5">
        <f t="shared" si="151"/>
        <v>45779</v>
      </c>
      <c r="W592" s="4">
        <v>45799</v>
      </c>
      <c r="X592" s="19">
        <f t="shared" si="152"/>
        <v>-20</v>
      </c>
      <c r="Y592" s="51">
        <f t="shared" si="153"/>
        <v>45804</v>
      </c>
      <c r="AA592" s="49" t="str">
        <f t="shared" si="154"/>
        <v/>
      </c>
      <c r="AB592" s="51">
        <f t="shared" si="155"/>
        <v>45809</v>
      </c>
      <c r="AC592" s="49" t="str">
        <f t="shared" si="156"/>
        <v/>
      </c>
      <c r="AD592" s="43">
        <f t="shared" si="157"/>
        <v>45809</v>
      </c>
      <c r="AF592" s="19" t="str">
        <f t="shared" si="158"/>
        <v/>
      </c>
      <c r="AG592" s="67"/>
      <c r="AH592" s="2"/>
      <c r="AI592" s="2"/>
      <c r="AJ592" s="2"/>
      <c r="AK592" s="2"/>
      <c r="AL592" s="2"/>
    </row>
    <row r="593" spans="1:38" ht="14.45">
      <c r="A593" s="156">
        <v>592</v>
      </c>
      <c r="B593" s="59">
        <v>45809</v>
      </c>
      <c r="C593" s="34" t="s">
        <v>1234</v>
      </c>
      <c r="D593" s="23" t="s">
        <v>1235</v>
      </c>
      <c r="E593" s="23">
        <v>2300</v>
      </c>
      <c r="F593" s="23" t="s">
        <v>1236</v>
      </c>
      <c r="G593" s="14" t="s">
        <v>35</v>
      </c>
      <c r="H593" s="23" t="s">
        <v>40</v>
      </c>
      <c r="I593" s="23" t="s">
        <v>62</v>
      </c>
      <c r="J593" s="97">
        <f t="shared" si="144"/>
        <v>45709</v>
      </c>
      <c r="L593" s="19" t="str">
        <f t="shared" si="145"/>
        <v/>
      </c>
      <c r="M593" s="5">
        <f t="shared" si="146"/>
        <v>45720</v>
      </c>
      <c r="O593" s="19" t="str">
        <f t="shared" si="147"/>
        <v/>
      </c>
      <c r="P593" s="5">
        <f t="shared" si="148"/>
        <v>45735</v>
      </c>
      <c r="R593" s="19" t="str">
        <f t="shared" si="149"/>
        <v/>
      </c>
      <c r="S593" s="5">
        <f t="shared" si="159"/>
        <v>45740</v>
      </c>
      <c r="U593" s="19" t="str">
        <f t="shared" si="150"/>
        <v/>
      </c>
      <c r="V593" s="5">
        <f t="shared" si="151"/>
        <v>45779</v>
      </c>
      <c r="W593" s="4">
        <v>45803</v>
      </c>
      <c r="X593" s="19">
        <f t="shared" si="152"/>
        <v>-24</v>
      </c>
      <c r="Y593" s="51">
        <f t="shared" si="153"/>
        <v>45804</v>
      </c>
      <c r="AA593" s="49" t="str">
        <f t="shared" si="154"/>
        <v/>
      </c>
      <c r="AB593" s="51">
        <f t="shared" si="155"/>
        <v>45809</v>
      </c>
      <c r="AC593" s="49" t="str">
        <f t="shared" si="156"/>
        <v/>
      </c>
      <c r="AD593" s="43">
        <f t="shared" si="157"/>
        <v>45809</v>
      </c>
      <c r="AF593" s="19" t="str">
        <f t="shared" si="158"/>
        <v/>
      </c>
      <c r="AG593" s="67"/>
      <c r="AH593" s="2"/>
      <c r="AI593" s="2"/>
      <c r="AJ593" s="2"/>
      <c r="AK593" s="2"/>
      <c r="AL593" s="2"/>
    </row>
    <row r="594" spans="1:38" ht="14.45">
      <c r="A594" s="156">
        <v>593</v>
      </c>
      <c r="B594" s="59">
        <v>45809</v>
      </c>
      <c r="C594" s="34" t="s">
        <v>1237</v>
      </c>
      <c r="D594" s="23" t="s">
        <v>1235</v>
      </c>
      <c r="E594" s="23">
        <v>4600</v>
      </c>
      <c r="F594" s="23" t="s">
        <v>1238</v>
      </c>
      <c r="G594" s="14" t="s">
        <v>35</v>
      </c>
      <c r="H594" s="23" t="s">
        <v>40</v>
      </c>
      <c r="I594" s="23" t="s">
        <v>252</v>
      </c>
      <c r="J594" s="97">
        <f t="shared" si="144"/>
        <v>45709</v>
      </c>
      <c r="L594" s="19" t="str">
        <f t="shared" si="145"/>
        <v/>
      </c>
      <c r="M594" s="5">
        <f t="shared" si="146"/>
        <v>45720</v>
      </c>
      <c r="O594" s="19" t="str">
        <f t="shared" si="147"/>
        <v/>
      </c>
      <c r="P594" s="5">
        <f t="shared" si="148"/>
        <v>45735</v>
      </c>
      <c r="R594" s="19" t="str">
        <f t="shared" si="149"/>
        <v/>
      </c>
      <c r="S594" s="5">
        <f t="shared" si="159"/>
        <v>45740</v>
      </c>
      <c r="U594" s="19" t="str">
        <f t="shared" si="150"/>
        <v/>
      </c>
      <c r="V594" s="5">
        <f t="shared" si="151"/>
        <v>45779</v>
      </c>
      <c r="X594" s="19" t="str">
        <f t="shared" si="152"/>
        <v/>
      </c>
      <c r="Y594" s="51">
        <f t="shared" si="153"/>
        <v>45804</v>
      </c>
      <c r="AA594" s="49" t="str">
        <f t="shared" si="154"/>
        <v/>
      </c>
      <c r="AB594" s="51">
        <f t="shared" si="155"/>
        <v>45809</v>
      </c>
      <c r="AC594" s="49" t="str">
        <f t="shared" si="156"/>
        <v/>
      </c>
      <c r="AD594" s="43">
        <f t="shared" si="157"/>
        <v>45809</v>
      </c>
      <c r="AF594" s="19" t="str">
        <f t="shared" si="158"/>
        <v/>
      </c>
      <c r="AG594" s="67"/>
      <c r="AH594" s="2"/>
      <c r="AI594" s="2"/>
      <c r="AJ594" s="2"/>
      <c r="AK594" s="2"/>
      <c r="AL594" s="2"/>
    </row>
    <row r="595" spans="1:38" ht="14.45">
      <c r="A595" s="156">
        <v>594</v>
      </c>
      <c r="B595" s="59">
        <v>45809</v>
      </c>
      <c r="C595" s="34">
        <v>614344448</v>
      </c>
      <c r="D595" s="23" t="s">
        <v>1239</v>
      </c>
      <c r="E595" s="23">
        <v>258134.36</v>
      </c>
      <c r="F595" s="23" t="s">
        <v>1240</v>
      </c>
      <c r="G595" s="14" t="s">
        <v>35</v>
      </c>
      <c r="H595" s="23" t="s">
        <v>36</v>
      </c>
      <c r="I595" s="23" t="s">
        <v>272</v>
      </c>
      <c r="J595" s="97">
        <f t="shared" si="144"/>
        <v>45709</v>
      </c>
      <c r="K595" s="4">
        <v>45729</v>
      </c>
      <c r="L595" s="19">
        <f t="shared" si="145"/>
        <v>-20</v>
      </c>
      <c r="M595" s="5">
        <f t="shared" si="146"/>
        <v>45720</v>
      </c>
      <c r="O595" s="19" t="str">
        <f t="shared" si="147"/>
        <v/>
      </c>
      <c r="P595" s="5">
        <f t="shared" si="148"/>
        <v>45735</v>
      </c>
      <c r="R595" s="19" t="str">
        <f t="shared" si="149"/>
        <v/>
      </c>
      <c r="S595" s="5">
        <f t="shared" si="159"/>
        <v>45740</v>
      </c>
      <c r="U595" s="19" t="str">
        <f t="shared" si="150"/>
        <v/>
      </c>
      <c r="V595" s="5">
        <f t="shared" si="151"/>
        <v>45779</v>
      </c>
      <c r="W595" s="4">
        <v>45803</v>
      </c>
      <c r="X595" s="19">
        <f t="shared" si="152"/>
        <v>-24</v>
      </c>
      <c r="Y595" s="51">
        <f t="shared" si="153"/>
        <v>45804</v>
      </c>
      <c r="AA595" s="49" t="str">
        <f t="shared" si="154"/>
        <v/>
      </c>
      <c r="AB595" s="51">
        <f t="shared" si="155"/>
        <v>45809</v>
      </c>
      <c r="AC595" s="49" t="str">
        <f t="shared" si="156"/>
        <v/>
      </c>
      <c r="AD595" s="43">
        <f t="shared" si="157"/>
        <v>45809</v>
      </c>
      <c r="AF595" s="19" t="str">
        <f t="shared" si="158"/>
        <v/>
      </c>
      <c r="AG595" s="67"/>
      <c r="AH595" s="2"/>
      <c r="AI595" s="2"/>
      <c r="AJ595" s="2"/>
      <c r="AK595" s="2"/>
      <c r="AL595" s="2"/>
    </row>
    <row r="596" spans="1:38" ht="14.45">
      <c r="A596" s="156">
        <v>595</v>
      </c>
      <c r="B596" s="59">
        <v>45809</v>
      </c>
      <c r="C596" s="34" t="s">
        <v>1241</v>
      </c>
      <c r="D596" s="23" t="s">
        <v>1242</v>
      </c>
      <c r="E596" s="23">
        <v>2103.96</v>
      </c>
      <c r="F596" s="23" t="s">
        <v>1243</v>
      </c>
      <c r="G596" s="14" t="s">
        <v>35</v>
      </c>
      <c r="H596" s="23" t="s">
        <v>40</v>
      </c>
      <c r="I596" s="23" t="s">
        <v>93</v>
      </c>
      <c r="J596" s="97">
        <f t="shared" si="144"/>
        <v>45709</v>
      </c>
      <c r="K596" s="4">
        <v>45729</v>
      </c>
      <c r="L596" s="19">
        <f t="shared" si="145"/>
        <v>-20</v>
      </c>
      <c r="M596" s="5">
        <f t="shared" si="146"/>
        <v>45720</v>
      </c>
      <c r="O596" s="19" t="str">
        <f t="shared" si="147"/>
        <v/>
      </c>
      <c r="P596" s="5">
        <f t="shared" si="148"/>
        <v>45735</v>
      </c>
      <c r="R596" s="19" t="str">
        <f t="shared" si="149"/>
        <v/>
      </c>
      <c r="S596" s="5">
        <f t="shared" si="159"/>
        <v>45740</v>
      </c>
      <c r="T596" s="4">
        <v>45729</v>
      </c>
      <c r="U596" s="19">
        <f t="shared" si="150"/>
        <v>11</v>
      </c>
      <c r="V596" s="5">
        <f t="shared" si="151"/>
        <v>45779</v>
      </c>
      <c r="W596" s="4">
        <v>45796</v>
      </c>
      <c r="X596" s="19">
        <f t="shared" si="152"/>
        <v>-17</v>
      </c>
      <c r="Y596" s="51">
        <f t="shared" si="153"/>
        <v>45804</v>
      </c>
      <c r="AA596" s="49" t="str">
        <f t="shared" si="154"/>
        <v/>
      </c>
      <c r="AB596" s="51">
        <f t="shared" si="155"/>
        <v>45809</v>
      </c>
      <c r="AC596" s="49" t="str">
        <f t="shared" si="156"/>
        <v/>
      </c>
      <c r="AD596" s="43">
        <f t="shared" si="157"/>
        <v>45809</v>
      </c>
      <c r="AF596" s="19" t="str">
        <f t="shared" si="158"/>
        <v/>
      </c>
      <c r="AG596" s="67"/>
      <c r="AH596" s="2"/>
      <c r="AI596" s="2"/>
      <c r="AJ596" s="2"/>
      <c r="AK596" s="2"/>
      <c r="AL596" s="2"/>
    </row>
    <row r="597" spans="1:38" ht="14.45">
      <c r="A597" s="156">
        <v>596</v>
      </c>
      <c r="B597" s="59">
        <v>45809</v>
      </c>
      <c r="C597" s="34">
        <v>111696229</v>
      </c>
      <c r="D597" s="23" t="s">
        <v>1244</v>
      </c>
      <c r="E597" s="23">
        <v>32346.03</v>
      </c>
      <c r="F597" s="23" t="s">
        <v>1245</v>
      </c>
      <c r="G597" s="14" t="s">
        <v>35</v>
      </c>
      <c r="H597" s="23" t="s">
        <v>36</v>
      </c>
      <c r="I597" s="23" t="s">
        <v>37</v>
      </c>
      <c r="J597" s="97">
        <f t="shared" si="144"/>
        <v>45709</v>
      </c>
      <c r="L597" s="19" t="str">
        <f t="shared" si="145"/>
        <v/>
      </c>
      <c r="M597" s="5">
        <f t="shared" si="146"/>
        <v>45720</v>
      </c>
      <c r="O597" s="19" t="str">
        <f t="shared" si="147"/>
        <v/>
      </c>
      <c r="P597" s="5">
        <f t="shared" si="148"/>
        <v>45735</v>
      </c>
      <c r="R597" s="19" t="str">
        <f t="shared" si="149"/>
        <v/>
      </c>
      <c r="S597" s="5">
        <f t="shared" si="159"/>
        <v>45740</v>
      </c>
      <c r="U597" s="19" t="str">
        <f t="shared" si="150"/>
        <v/>
      </c>
      <c r="V597" s="5">
        <f t="shared" si="151"/>
        <v>45779</v>
      </c>
      <c r="W597" s="4">
        <v>45793</v>
      </c>
      <c r="X597" s="19">
        <f t="shared" si="152"/>
        <v>-14</v>
      </c>
      <c r="Y597" s="51">
        <f t="shared" si="153"/>
        <v>45804</v>
      </c>
      <c r="Z597" s="4">
        <v>45824</v>
      </c>
      <c r="AA597" s="49">
        <f t="shared" si="154"/>
        <v>-20</v>
      </c>
      <c r="AB597" s="51">
        <f t="shared" si="155"/>
        <v>45809</v>
      </c>
      <c r="AC597" s="49">
        <f t="shared" si="156"/>
        <v>-15</v>
      </c>
      <c r="AD597" s="43">
        <f t="shared" si="157"/>
        <v>45809</v>
      </c>
      <c r="AE597" s="4">
        <v>45824</v>
      </c>
      <c r="AF597" s="19">
        <f t="shared" si="158"/>
        <v>-15</v>
      </c>
      <c r="AG597" s="67"/>
      <c r="AH597" s="2"/>
      <c r="AI597" s="2"/>
      <c r="AJ597" s="2"/>
      <c r="AK597" s="2"/>
      <c r="AL597" s="2"/>
    </row>
    <row r="598" spans="1:38" ht="14.45">
      <c r="A598" s="156">
        <v>597</v>
      </c>
      <c r="B598" s="59">
        <v>45809</v>
      </c>
      <c r="C598" s="34">
        <v>617716402</v>
      </c>
      <c r="D598" s="23" t="s">
        <v>465</v>
      </c>
      <c r="E598" s="23">
        <v>4000</v>
      </c>
      <c r="F598" s="23" t="s">
        <v>1246</v>
      </c>
      <c r="G598" s="14" t="s">
        <v>120</v>
      </c>
      <c r="H598" s="23" t="s">
        <v>40</v>
      </c>
      <c r="I598" s="23" t="s">
        <v>121</v>
      </c>
      <c r="J598" s="97">
        <f t="shared" si="144"/>
        <v>45709</v>
      </c>
      <c r="K598" s="4">
        <v>45761</v>
      </c>
      <c r="L598" s="19">
        <f t="shared" si="145"/>
        <v>-52</v>
      </c>
      <c r="M598" s="5">
        <f t="shared" si="146"/>
        <v>45720</v>
      </c>
      <c r="N598" s="4">
        <v>45761</v>
      </c>
      <c r="O598" s="19">
        <f t="shared" si="147"/>
        <v>-41</v>
      </c>
      <c r="P598" s="5">
        <f t="shared" si="148"/>
        <v>45735</v>
      </c>
      <c r="R598" s="19" t="str">
        <f t="shared" si="149"/>
        <v/>
      </c>
      <c r="S598" s="5">
        <f t="shared" si="159"/>
        <v>45740</v>
      </c>
      <c r="T598" s="4">
        <v>45761</v>
      </c>
      <c r="U598" s="19">
        <f t="shared" si="150"/>
        <v>-21</v>
      </c>
      <c r="V598" s="5">
        <f t="shared" si="151"/>
        <v>45779</v>
      </c>
      <c r="W598" s="4">
        <v>45761</v>
      </c>
      <c r="X598" s="19">
        <f t="shared" si="152"/>
        <v>18</v>
      </c>
      <c r="Y598" s="51">
        <f t="shared" si="153"/>
        <v>45804</v>
      </c>
      <c r="AA598" s="49" t="str">
        <f t="shared" si="154"/>
        <v/>
      </c>
      <c r="AB598" s="51">
        <f t="shared" si="155"/>
        <v>45809</v>
      </c>
      <c r="AC598" s="49" t="str">
        <f t="shared" si="156"/>
        <v/>
      </c>
      <c r="AD598" s="43">
        <f t="shared" si="157"/>
        <v>45809</v>
      </c>
      <c r="AF598" s="19" t="str">
        <f t="shared" si="158"/>
        <v/>
      </c>
      <c r="AG598" s="67"/>
      <c r="AH598" s="2"/>
      <c r="AI598" s="2"/>
      <c r="AJ598" s="2"/>
      <c r="AK598" s="2"/>
      <c r="AL598" s="2"/>
    </row>
    <row r="599" spans="1:38" ht="14.45">
      <c r="A599" s="156">
        <v>598</v>
      </c>
      <c r="B599" s="59">
        <v>45809</v>
      </c>
      <c r="C599" s="34" t="s">
        <v>1247</v>
      </c>
      <c r="D599" s="23" t="s">
        <v>1248</v>
      </c>
      <c r="E599" s="23">
        <v>756343.87</v>
      </c>
      <c r="F599" s="23" t="s">
        <v>1249</v>
      </c>
      <c r="G599" s="14" t="s">
        <v>120</v>
      </c>
      <c r="H599" s="23" t="s">
        <v>40</v>
      </c>
      <c r="I599" s="23" t="s">
        <v>37</v>
      </c>
      <c r="J599" s="97">
        <f t="shared" si="144"/>
        <v>45709</v>
      </c>
      <c r="K599" s="4">
        <v>45761</v>
      </c>
      <c r="L599" s="19">
        <f t="shared" si="145"/>
        <v>-52</v>
      </c>
      <c r="M599" s="5">
        <f t="shared" si="146"/>
        <v>45720</v>
      </c>
      <c r="N599" s="4">
        <v>45761</v>
      </c>
      <c r="O599" s="19">
        <f t="shared" si="147"/>
        <v>-41</v>
      </c>
      <c r="P599" s="5">
        <f t="shared" si="148"/>
        <v>45735</v>
      </c>
      <c r="R599" s="19" t="str">
        <f t="shared" si="149"/>
        <v/>
      </c>
      <c r="S599" s="5">
        <f t="shared" si="159"/>
        <v>45740</v>
      </c>
      <c r="T599" s="4">
        <v>45761</v>
      </c>
      <c r="U599" s="19">
        <f t="shared" si="150"/>
        <v>-21</v>
      </c>
      <c r="V599" s="5">
        <f t="shared" si="151"/>
        <v>45779</v>
      </c>
      <c r="W599" s="4">
        <v>45761</v>
      </c>
      <c r="X599" s="19">
        <f t="shared" si="152"/>
        <v>18</v>
      </c>
      <c r="Y599" s="51">
        <f t="shared" si="153"/>
        <v>45804</v>
      </c>
      <c r="AA599" s="49" t="str">
        <f t="shared" si="154"/>
        <v/>
      </c>
      <c r="AB599" s="51">
        <f t="shared" si="155"/>
        <v>45809</v>
      </c>
      <c r="AC599" s="49" t="str">
        <f t="shared" si="156"/>
        <v/>
      </c>
      <c r="AD599" s="43">
        <f t="shared" si="157"/>
        <v>45809</v>
      </c>
      <c r="AF599" s="19" t="str">
        <f t="shared" si="158"/>
        <v/>
      </c>
      <c r="AG599" s="67"/>
      <c r="AH599" s="2"/>
      <c r="AI599" s="2"/>
      <c r="AJ599" s="2"/>
      <c r="AK599" s="2"/>
      <c r="AL599" s="2"/>
    </row>
    <row r="600" spans="1:38" ht="14.45">
      <c r="A600" s="156">
        <v>599</v>
      </c>
      <c r="B600" s="59">
        <v>45809</v>
      </c>
      <c r="C600" s="34" t="s">
        <v>1250</v>
      </c>
      <c r="D600" s="23" t="s">
        <v>1248</v>
      </c>
      <c r="E600" s="23">
        <v>288131</v>
      </c>
      <c r="F600" s="23" t="s">
        <v>1249</v>
      </c>
      <c r="G600" s="14" t="s">
        <v>120</v>
      </c>
      <c r="H600" s="23" t="s">
        <v>40</v>
      </c>
      <c r="I600" s="23" t="s">
        <v>37</v>
      </c>
      <c r="J600" s="97">
        <f t="shared" si="144"/>
        <v>45709</v>
      </c>
      <c r="K600" s="4">
        <v>45761</v>
      </c>
      <c r="L600" s="19">
        <f t="shared" si="145"/>
        <v>-52</v>
      </c>
      <c r="M600" s="5">
        <f t="shared" si="146"/>
        <v>45720</v>
      </c>
      <c r="N600" s="4">
        <v>45761</v>
      </c>
      <c r="O600" s="19">
        <f t="shared" si="147"/>
        <v>-41</v>
      </c>
      <c r="P600" s="5">
        <f t="shared" si="148"/>
        <v>45735</v>
      </c>
      <c r="R600" s="19" t="str">
        <f t="shared" si="149"/>
        <v/>
      </c>
      <c r="S600" s="5">
        <f t="shared" si="159"/>
        <v>45740</v>
      </c>
      <c r="T600" s="4">
        <v>45761</v>
      </c>
      <c r="U600" s="19">
        <f t="shared" si="150"/>
        <v>-21</v>
      </c>
      <c r="V600" s="5">
        <f t="shared" si="151"/>
        <v>45779</v>
      </c>
      <c r="W600" s="4">
        <v>45761</v>
      </c>
      <c r="X600" s="19">
        <f t="shared" si="152"/>
        <v>18</v>
      </c>
      <c r="Y600" s="51">
        <f t="shared" si="153"/>
        <v>45804</v>
      </c>
      <c r="AA600" s="49" t="str">
        <f t="shared" si="154"/>
        <v/>
      </c>
      <c r="AB600" s="51">
        <f t="shared" si="155"/>
        <v>45809</v>
      </c>
      <c r="AC600" s="49" t="str">
        <f t="shared" si="156"/>
        <v/>
      </c>
      <c r="AD600" s="43">
        <f t="shared" si="157"/>
        <v>45809</v>
      </c>
      <c r="AF600" s="19" t="str">
        <f t="shared" si="158"/>
        <v/>
      </c>
      <c r="AG600" s="67"/>
      <c r="AH600" s="2"/>
      <c r="AI600" s="2"/>
      <c r="AJ600" s="2"/>
      <c r="AK600" s="2"/>
      <c r="AL600" s="2"/>
    </row>
    <row r="601" spans="1:38" ht="14.45">
      <c r="A601" s="156">
        <v>600</v>
      </c>
      <c r="B601" s="59">
        <v>45809</v>
      </c>
      <c r="C601" s="34" t="s">
        <v>1251</v>
      </c>
      <c r="D601" s="23" t="s">
        <v>1248</v>
      </c>
      <c r="E601" s="23">
        <v>216098.25</v>
      </c>
      <c r="F601" s="23" t="s">
        <v>1252</v>
      </c>
      <c r="G601" s="14" t="s">
        <v>120</v>
      </c>
      <c r="H601" s="23" t="s">
        <v>40</v>
      </c>
      <c r="I601" s="23" t="s">
        <v>37</v>
      </c>
      <c r="J601" s="97">
        <f t="shared" si="144"/>
        <v>45709</v>
      </c>
      <c r="K601" s="4">
        <v>45761</v>
      </c>
      <c r="L601" s="19">
        <f t="shared" si="145"/>
        <v>-52</v>
      </c>
      <c r="M601" s="5">
        <f t="shared" si="146"/>
        <v>45720</v>
      </c>
      <c r="N601" s="4">
        <v>45761</v>
      </c>
      <c r="O601" s="19">
        <f t="shared" si="147"/>
        <v>-41</v>
      </c>
      <c r="P601" s="5">
        <f t="shared" si="148"/>
        <v>45735</v>
      </c>
      <c r="R601" s="19" t="str">
        <f t="shared" si="149"/>
        <v/>
      </c>
      <c r="S601" s="5">
        <f t="shared" si="159"/>
        <v>45740</v>
      </c>
      <c r="T601" s="4">
        <v>45761</v>
      </c>
      <c r="U601" s="19">
        <f t="shared" si="150"/>
        <v>-21</v>
      </c>
      <c r="V601" s="5">
        <f t="shared" si="151"/>
        <v>45779</v>
      </c>
      <c r="W601" s="4">
        <v>45761</v>
      </c>
      <c r="X601" s="19">
        <f t="shared" si="152"/>
        <v>18</v>
      </c>
      <c r="Y601" s="51">
        <f t="shared" si="153"/>
        <v>45804</v>
      </c>
      <c r="AA601" s="49" t="str">
        <f t="shared" si="154"/>
        <v/>
      </c>
      <c r="AB601" s="51">
        <f t="shared" si="155"/>
        <v>45809</v>
      </c>
      <c r="AC601" s="49" t="str">
        <f t="shared" si="156"/>
        <v/>
      </c>
      <c r="AD601" s="43">
        <f t="shared" si="157"/>
        <v>45809</v>
      </c>
      <c r="AF601" s="19" t="str">
        <f t="shared" si="158"/>
        <v/>
      </c>
      <c r="AG601" s="67"/>
      <c r="AH601" s="2"/>
      <c r="AI601" s="2"/>
      <c r="AJ601" s="2"/>
      <c r="AK601" s="2"/>
      <c r="AL601" s="2"/>
    </row>
    <row r="602" spans="1:38" ht="14.45">
      <c r="A602" s="156">
        <v>601</v>
      </c>
      <c r="B602" s="59">
        <v>45809</v>
      </c>
      <c r="C602" s="34" t="s">
        <v>1253</v>
      </c>
      <c r="D602" s="23" t="s">
        <v>1248</v>
      </c>
      <c r="E602" s="23">
        <v>180081.87</v>
      </c>
      <c r="F602" s="23" t="s">
        <v>1249</v>
      </c>
      <c r="G602" s="14" t="s">
        <v>120</v>
      </c>
      <c r="H602" s="23" t="s">
        <v>40</v>
      </c>
      <c r="I602" s="23" t="s">
        <v>37</v>
      </c>
      <c r="J602" s="97">
        <f t="shared" si="144"/>
        <v>45709</v>
      </c>
      <c r="K602" s="4">
        <v>45761</v>
      </c>
      <c r="L602" s="19">
        <f t="shared" si="145"/>
        <v>-52</v>
      </c>
      <c r="M602" s="5">
        <f t="shared" si="146"/>
        <v>45720</v>
      </c>
      <c r="N602" s="4">
        <v>45761</v>
      </c>
      <c r="O602" s="19">
        <f t="shared" si="147"/>
        <v>-41</v>
      </c>
      <c r="P602" s="5">
        <f t="shared" si="148"/>
        <v>45735</v>
      </c>
      <c r="R602" s="19" t="str">
        <f t="shared" si="149"/>
        <v/>
      </c>
      <c r="S602" s="5">
        <f t="shared" si="159"/>
        <v>45740</v>
      </c>
      <c r="T602" s="4">
        <v>45761</v>
      </c>
      <c r="U602" s="19">
        <f t="shared" si="150"/>
        <v>-21</v>
      </c>
      <c r="V602" s="5">
        <f t="shared" si="151"/>
        <v>45779</v>
      </c>
      <c r="W602" s="4">
        <v>45761</v>
      </c>
      <c r="X602" s="19">
        <f t="shared" si="152"/>
        <v>18</v>
      </c>
      <c r="Y602" s="51">
        <f t="shared" si="153"/>
        <v>45804</v>
      </c>
      <c r="AA602" s="49" t="str">
        <f t="shared" si="154"/>
        <v/>
      </c>
      <c r="AB602" s="51">
        <f t="shared" si="155"/>
        <v>45809</v>
      </c>
      <c r="AC602" s="49" t="str">
        <f t="shared" si="156"/>
        <v/>
      </c>
      <c r="AD602" s="43">
        <f t="shared" si="157"/>
        <v>45809</v>
      </c>
      <c r="AF602" s="19" t="str">
        <f t="shared" si="158"/>
        <v/>
      </c>
      <c r="AG602" s="67"/>
      <c r="AH602" s="2"/>
      <c r="AI602" s="2"/>
      <c r="AJ602" s="2"/>
      <c r="AK602" s="2"/>
      <c r="AL602" s="2"/>
    </row>
    <row r="603" spans="1:38" ht="14.45">
      <c r="A603" s="156">
        <v>602</v>
      </c>
      <c r="B603" s="59">
        <v>45810</v>
      </c>
      <c r="C603" s="34" t="s">
        <v>1254</v>
      </c>
      <c r="D603" s="23" t="s">
        <v>38</v>
      </c>
      <c r="E603" s="23">
        <v>391.57</v>
      </c>
      <c r="F603" s="23" t="s">
        <v>1255</v>
      </c>
      <c r="G603" s="14" t="s">
        <v>190</v>
      </c>
      <c r="H603" s="23" t="s">
        <v>40</v>
      </c>
      <c r="I603" s="23" t="s">
        <v>41</v>
      </c>
      <c r="J603" s="97">
        <f t="shared" si="144"/>
        <v>45710</v>
      </c>
      <c r="L603" s="19" t="str">
        <f t="shared" si="145"/>
        <v/>
      </c>
      <c r="M603" s="5">
        <f t="shared" si="146"/>
        <v>45721</v>
      </c>
      <c r="N603" s="4">
        <v>45804</v>
      </c>
      <c r="O603" s="19">
        <f t="shared" si="147"/>
        <v>-83</v>
      </c>
      <c r="P603" s="5">
        <f t="shared" si="148"/>
        <v>45736</v>
      </c>
      <c r="Q603" s="4">
        <v>45806</v>
      </c>
      <c r="R603" s="19">
        <f t="shared" si="149"/>
        <v>-70</v>
      </c>
      <c r="S603" s="5">
        <f t="shared" si="159"/>
        <v>45741</v>
      </c>
      <c r="T603" s="4">
        <v>45809</v>
      </c>
      <c r="U603" s="19">
        <f t="shared" si="150"/>
        <v>-68</v>
      </c>
      <c r="V603" s="5">
        <f t="shared" si="151"/>
        <v>45780</v>
      </c>
      <c r="W603" s="4">
        <v>45809</v>
      </c>
      <c r="X603" s="19">
        <f t="shared" si="152"/>
        <v>-29</v>
      </c>
      <c r="Y603" s="51">
        <f t="shared" si="153"/>
        <v>45805</v>
      </c>
      <c r="Z603" s="4">
        <v>45831</v>
      </c>
      <c r="AA603" s="49">
        <f t="shared" si="154"/>
        <v>-26</v>
      </c>
      <c r="AB603" s="51">
        <f t="shared" si="155"/>
        <v>45810</v>
      </c>
      <c r="AC603" s="49">
        <f t="shared" si="156"/>
        <v>-21</v>
      </c>
      <c r="AD603" s="43">
        <f t="shared" si="157"/>
        <v>45810</v>
      </c>
      <c r="AE603" s="4">
        <v>45831</v>
      </c>
      <c r="AF603" s="19">
        <f t="shared" si="158"/>
        <v>-21</v>
      </c>
      <c r="AG603" s="67"/>
      <c r="AH603" s="2"/>
      <c r="AI603" s="2"/>
      <c r="AJ603" s="2"/>
      <c r="AK603" s="2"/>
      <c r="AL603" s="2"/>
    </row>
    <row r="604" spans="1:38" ht="14.45">
      <c r="A604" s="156">
        <v>603</v>
      </c>
      <c r="B604" s="59">
        <v>45810</v>
      </c>
      <c r="C604" s="34" t="s">
        <v>1256</v>
      </c>
      <c r="D604" s="23" t="s">
        <v>1257</v>
      </c>
      <c r="E604" s="23">
        <v>9242.06</v>
      </c>
      <c r="F604" s="23" t="s">
        <v>1258</v>
      </c>
      <c r="G604" s="14" t="s">
        <v>35</v>
      </c>
      <c r="H604" s="23" t="s">
        <v>40</v>
      </c>
      <c r="I604" s="23" t="s">
        <v>93</v>
      </c>
      <c r="J604" s="97">
        <f t="shared" si="144"/>
        <v>45710</v>
      </c>
      <c r="L604" s="19" t="str">
        <f t="shared" si="145"/>
        <v/>
      </c>
      <c r="M604" s="5">
        <f t="shared" si="146"/>
        <v>45721</v>
      </c>
      <c r="O604" s="19" t="str">
        <f t="shared" si="147"/>
        <v/>
      </c>
      <c r="P604" s="5">
        <f t="shared" si="148"/>
        <v>45736</v>
      </c>
      <c r="R604" s="19" t="str">
        <f t="shared" si="149"/>
        <v/>
      </c>
      <c r="S604" s="5">
        <f t="shared" si="159"/>
        <v>45741</v>
      </c>
      <c r="U604" s="19" t="str">
        <f t="shared" si="150"/>
        <v/>
      </c>
      <c r="V604" s="5">
        <f t="shared" si="151"/>
        <v>45780</v>
      </c>
      <c r="W604" s="4">
        <v>45797</v>
      </c>
      <c r="X604" s="19">
        <f t="shared" si="152"/>
        <v>-17</v>
      </c>
      <c r="Y604" s="51">
        <f t="shared" si="153"/>
        <v>45805</v>
      </c>
      <c r="Z604" s="4">
        <v>45827</v>
      </c>
      <c r="AA604" s="49">
        <f t="shared" si="154"/>
        <v>-22</v>
      </c>
      <c r="AB604" s="51">
        <f t="shared" si="155"/>
        <v>45810</v>
      </c>
      <c r="AC604" s="49">
        <f t="shared" si="156"/>
        <v>-17</v>
      </c>
      <c r="AD604" s="43">
        <f t="shared" si="157"/>
        <v>45810</v>
      </c>
      <c r="AE604" s="4">
        <v>45827</v>
      </c>
      <c r="AF604" s="19">
        <f t="shared" si="158"/>
        <v>-17</v>
      </c>
      <c r="AG604" s="67"/>
      <c r="AH604" s="2"/>
      <c r="AI604" s="2"/>
      <c r="AJ604" s="2"/>
      <c r="AK604" s="2"/>
      <c r="AL604" s="2"/>
    </row>
    <row r="605" spans="1:38" ht="14.45">
      <c r="A605" s="156">
        <v>604</v>
      </c>
      <c r="B605" s="59">
        <v>45811</v>
      </c>
      <c r="C605" s="34" t="s">
        <v>1259</v>
      </c>
      <c r="D605" s="23" t="s">
        <v>1260</v>
      </c>
      <c r="E605" s="23">
        <v>67029.759999999995</v>
      </c>
      <c r="F605" s="23" t="s">
        <v>1261</v>
      </c>
      <c r="G605" s="10" t="s">
        <v>120</v>
      </c>
      <c r="H605" s="23" t="s">
        <v>40</v>
      </c>
      <c r="I605" s="23" t="s">
        <v>52</v>
      </c>
      <c r="J605" s="97">
        <f t="shared" si="144"/>
        <v>45711</v>
      </c>
      <c r="L605" s="19" t="str">
        <f t="shared" si="145"/>
        <v/>
      </c>
      <c r="M605" s="5">
        <f t="shared" si="146"/>
        <v>45722</v>
      </c>
      <c r="O605" s="19" t="str">
        <f t="shared" si="147"/>
        <v/>
      </c>
      <c r="P605" s="5">
        <f t="shared" si="148"/>
        <v>45737</v>
      </c>
      <c r="R605" s="19" t="str">
        <f t="shared" si="149"/>
        <v/>
      </c>
      <c r="S605" s="5">
        <f t="shared" si="159"/>
        <v>45742</v>
      </c>
      <c r="T605" s="4">
        <v>45775</v>
      </c>
      <c r="U605" s="19">
        <f t="shared" si="150"/>
        <v>-33</v>
      </c>
      <c r="V605" s="5">
        <f t="shared" si="151"/>
        <v>45781</v>
      </c>
      <c r="W605" s="4">
        <v>45783</v>
      </c>
      <c r="X605" s="19">
        <f t="shared" si="152"/>
        <v>-2</v>
      </c>
      <c r="Y605" s="51">
        <f t="shared" si="153"/>
        <v>45806</v>
      </c>
      <c r="Z605" s="4">
        <v>45799</v>
      </c>
      <c r="AA605" s="49">
        <f t="shared" si="154"/>
        <v>7</v>
      </c>
      <c r="AB605" s="51">
        <f t="shared" si="155"/>
        <v>45811</v>
      </c>
      <c r="AC605" s="49">
        <f t="shared" si="156"/>
        <v>12</v>
      </c>
      <c r="AD605" s="43">
        <f t="shared" si="157"/>
        <v>45811</v>
      </c>
      <c r="AE605" s="4">
        <v>45799</v>
      </c>
      <c r="AF605" s="19">
        <f t="shared" si="158"/>
        <v>12</v>
      </c>
      <c r="AG605" s="67"/>
      <c r="AH605" s="2"/>
      <c r="AI605" s="2"/>
      <c r="AJ605" s="2"/>
      <c r="AK605" s="2"/>
      <c r="AL605" s="2"/>
    </row>
    <row r="606" spans="1:38" ht="14.45">
      <c r="A606" s="156">
        <v>605</v>
      </c>
      <c r="B606" s="59">
        <v>45811</v>
      </c>
      <c r="C606" s="34" t="s">
        <v>1262</v>
      </c>
      <c r="D606" s="23" t="s">
        <v>1263</v>
      </c>
      <c r="E606" s="23">
        <v>86840.67</v>
      </c>
      <c r="F606" s="23" t="s">
        <v>1264</v>
      </c>
      <c r="G606" s="14" t="s">
        <v>35</v>
      </c>
      <c r="H606" s="23" t="s">
        <v>36</v>
      </c>
      <c r="I606" s="23" t="s">
        <v>37</v>
      </c>
      <c r="J606" s="97">
        <f t="shared" si="144"/>
        <v>45711</v>
      </c>
      <c r="L606" s="19" t="str">
        <f t="shared" si="145"/>
        <v/>
      </c>
      <c r="M606" s="5">
        <f t="shared" si="146"/>
        <v>45722</v>
      </c>
      <c r="O606" s="19" t="str">
        <f t="shared" si="147"/>
        <v/>
      </c>
      <c r="P606" s="5">
        <f t="shared" si="148"/>
        <v>45737</v>
      </c>
      <c r="R606" s="19" t="str">
        <f t="shared" si="149"/>
        <v/>
      </c>
      <c r="S606" s="5">
        <f t="shared" si="159"/>
        <v>45742</v>
      </c>
      <c r="U606" s="19" t="str">
        <f t="shared" si="150"/>
        <v/>
      </c>
      <c r="V606" s="5">
        <f t="shared" si="151"/>
        <v>45781</v>
      </c>
      <c r="W606" s="4">
        <v>45779</v>
      </c>
      <c r="X606" s="19">
        <f t="shared" si="152"/>
        <v>2</v>
      </c>
      <c r="Y606" s="51">
        <f t="shared" si="153"/>
        <v>45806</v>
      </c>
      <c r="Z606" s="4">
        <v>45831</v>
      </c>
      <c r="AA606" s="49">
        <f t="shared" si="154"/>
        <v>-25</v>
      </c>
      <c r="AB606" s="51">
        <f t="shared" si="155"/>
        <v>45811</v>
      </c>
      <c r="AC606" s="49">
        <f t="shared" si="156"/>
        <v>-20</v>
      </c>
      <c r="AD606" s="43">
        <f t="shared" si="157"/>
        <v>45811</v>
      </c>
      <c r="AE606" s="4">
        <v>45831</v>
      </c>
      <c r="AF606" s="19">
        <f t="shared" si="158"/>
        <v>-20</v>
      </c>
      <c r="AG606" s="67"/>
      <c r="AH606" s="2"/>
      <c r="AI606" s="2"/>
      <c r="AJ606" s="2"/>
      <c r="AK606" s="2"/>
      <c r="AL606" s="2"/>
    </row>
    <row r="607" spans="1:38" ht="14.45">
      <c r="A607" s="156">
        <v>606</v>
      </c>
      <c r="B607" s="59">
        <v>45812</v>
      </c>
      <c r="C607" s="34" t="s">
        <v>1265</v>
      </c>
      <c r="D607" s="23" t="s">
        <v>66</v>
      </c>
      <c r="E607" s="23">
        <v>145.58000000000001</v>
      </c>
      <c r="F607" s="23" t="s">
        <v>1266</v>
      </c>
      <c r="G607" s="23" t="s">
        <v>110</v>
      </c>
      <c r="H607" s="23" t="s">
        <v>40</v>
      </c>
      <c r="I607" s="23" t="s">
        <v>62</v>
      </c>
      <c r="J607" s="97">
        <f t="shared" si="144"/>
        <v>45712</v>
      </c>
      <c r="K607" s="4">
        <v>45749</v>
      </c>
      <c r="L607" s="19">
        <f t="shared" si="145"/>
        <v>-37</v>
      </c>
      <c r="M607" s="5">
        <f t="shared" si="146"/>
        <v>45723</v>
      </c>
      <c r="N607" s="4">
        <v>45694</v>
      </c>
      <c r="O607" s="19">
        <f t="shared" si="147"/>
        <v>29</v>
      </c>
      <c r="P607" s="5">
        <f t="shared" si="148"/>
        <v>45738</v>
      </c>
      <c r="R607" s="19" t="str">
        <f t="shared" si="149"/>
        <v/>
      </c>
      <c r="S607" s="5">
        <f t="shared" si="159"/>
        <v>45743</v>
      </c>
      <c r="T607" s="4">
        <v>45749</v>
      </c>
      <c r="U607" s="19">
        <f t="shared" si="150"/>
        <v>-6</v>
      </c>
      <c r="V607" s="5">
        <f t="shared" si="151"/>
        <v>45782</v>
      </c>
      <c r="W607" s="4">
        <v>45749</v>
      </c>
      <c r="X607" s="19">
        <f t="shared" si="152"/>
        <v>33</v>
      </c>
      <c r="Y607" s="51">
        <f t="shared" si="153"/>
        <v>45807</v>
      </c>
      <c r="Z607" s="4">
        <v>45749</v>
      </c>
      <c r="AA607" s="49">
        <f t="shared" si="154"/>
        <v>58</v>
      </c>
      <c r="AB607" s="51">
        <f t="shared" si="155"/>
        <v>45812</v>
      </c>
      <c r="AC607" s="49">
        <f t="shared" si="156"/>
        <v>63</v>
      </c>
      <c r="AD607" s="43">
        <f t="shared" si="157"/>
        <v>45812</v>
      </c>
      <c r="AE607" s="4">
        <v>45749</v>
      </c>
      <c r="AF607" s="19">
        <f t="shared" si="158"/>
        <v>63</v>
      </c>
      <c r="AG607" s="67"/>
      <c r="AH607" s="2"/>
      <c r="AI607" s="2"/>
      <c r="AJ607" s="2"/>
      <c r="AK607" s="2"/>
      <c r="AL607" s="2"/>
    </row>
    <row r="608" spans="1:38" ht="14.45">
      <c r="A608" s="156">
        <v>607</v>
      </c>
      <c r="B608" s="59">
        <v>45812</v>
      </c>
      <c r="C608" s="34" t="s">
        <v>1267</v>
      </c>
      <c r="D608" s="23" t="s">
        <v>1268</v>
      </c>
      <c r="E608" s="23">
        <v>19035.18</v>
      </c>
      <c r="F608" s="23" t="s">
        <v>1269</v>
      </c>
      <c r="G608" s="14" t="s">
        <v>35</v>
      </c>
      <c r="H608" s="23" t="s">
        <v>36</v>
      </c>
      <c r="I608" s="23" t="s">
        <v>93</v>
      </c>
      <c r="J608" s="97">
        <f t="shared" si="144"/>
        <v>45712</v>
      </c>
      <c r="L608" s="19" t="str">
        <f t="shared" si="145"/>
        <v/>
      </c>
      <c r="M608" s="5">
        <f t="shared" si="146"/>
        <v>45723</v>
      </c>
      <c r="O608" s="19" t="str">
        <f t="shared" si="147"/>
        <v/>
      </c>
      <c r="P608" s="5">
        <f t="shared" si="148"/>
        <v>45738</v>
      </c>
      <c r="R608" s="19" t="str">
        <f t="shared" si="149"/>
        <v/>
      </c>
      <c r="S608" s="5">
        <f t="shared" si="159"/>
        <v>45743</v>
      </c>
      <c r="U608" s="19" t="str">
        <f t="shared" si="150"/>
        <v/>
      </c>
      <c r="V608" s="5">
        <f t="shared" si="151"/>
        <v>45782</v>
      </c>
      <c r="W608" s="4">
        <v>45805</v>
      </c>
      <c r="X608" s="19">
        <f t="shared" si="152"/>
        <v>-23</v>
      </c>
      <c r="Y608" s="51">
        <f t="shared" si="153"/>
        <v>45807</v>
      </c>
      <c r="Z608" s="4">
        <v>45831</v>
      </c>
      <c r="AA608" s="49">
        <f t="shared" si="154"/>
        <v>-24</v>
      </c>
      <c r="AB608" s="51">
        <f t="shared" si="155"/>
        <v>45812</v>
      </c>
      <c r="AC608" s="49">
        <f t="shared" si="156"/>
        <v>-19</v>
      </c>
      <c r="AD608" s="43">
        <f t="shared" si="157"/>
        <v>45812</v>
      </c>
      <c r="AE608" s="4">
        <v>45831</v>
      </c>
      <c r="AF608" s="19">
        <f t="shared" si="158"/>
        <v>-19</v>
      </c>
      <c r="AG608" s="67"/>
      <c r="AH608" s="2"/>
      <c r="AI608" s="2"/>
      <c r="AJ608" s="2"/>
      <c r="AK608" s="2"/>
      <c r="AL608" s="2"/>
    </row>
    <row r="609" spans="1:38" ht="14.45">
      <c r="A609" s="156">
        <v>608</v>
      </c>
      <c r="B609" s="59">
        <v>45813</v>
      </c>
      <c r="C609" s="34" t="s">
        <v>1270</v>
      </c>
      <c r="D609" s="23" t="s">
        <v>207</v>
      </c>
      <c r="E609" s="23">
        <v>62865.87</v>
      </c>
      <c r="F609" s="23" t="s">
        <v>1271</v>
      </c>
      <c r="G609" s="14" t="s">
        <v>35</v>
      </c>
      <c r="H609" s="23" t="s">
        <v>36</v>
      </c>
      <c r="I609" s="23" t="s">
        <v>37</v>
      </c>
      <c r="J609" s="97">
        <f t="shared" si="144"/>
        <v>45713</v>
      </c>
      <c r="L609" s="19" t="str">
        <f t="shared" si="145"/>
        <v/>
      </c>
      <c r="M609" s="5">
        <f t="shared" si="146"/>
        <v>45724</v>
      </c>
      <c r="O609" s="19" t="str">
        <f t="shared" si="147"/>
        <v/>
      </c>
      <c r="P609" s="5">
        <f t="shared" si="148"/>
        <v>45739</v>
      </c>
      <c r="R609" s="19" t="str">
        <f t="shared" si="149"/>
        <v/>
      </c>
      <c r="S609" s="5">
        <f t="shared" si="159"/>
        <v>45744</v>
      </c>
      <c r="U609" s="19" t="str">
        <f t="shared" si="150"/>
        <v/>
      </c>
      <c r="V609" s="5">
        <f t="shared" si="151"/>
        <v>45783</v>
      </c>
      <c r="X609" s="19" t="str">
        <f t="shared" si="152"/>
        <v/>
      </c>
      <c r="Y609" s="51">
        <f t="shared" si="153"/>
        <v>45808</v>
      </c>
      <c r="Z609" s="49"/>
      <c r="AA609" s="49" t="str">
        <f t="shared" si="154"/>
        <v/>
      </c>
      <c r="AB609" s="51">
        <f t="shared" si="155"/>
        <v>45813</v>
      </c>
      <c r="AC609" s="49" t="str">
        <f t="shared" si="156"/>
        <v/>
      </c>
      <c r="AD609" s="43">
        <f t="shared" si="157"/>
        <v>45813</v>
      </c>
      <c r="AF609" s="19" t="str">
        <f t="shared" si="158"/>
        <v/>
      </c>
      <c r="AG609" s="67"/>
      <c r="AH609" s="2"/>
      <c r="AI609" s="2"/>
      <c r="AJ609" s="2"/>
      <c r="AK609" s="2"/>
      <c r="AL609" s="2"/>
    </row>
    <row r="610" spans="1:38" ht="14.45">
      <c r="A610" s="156">
        <v>609</v>
      </c>
      <c r="B610" s="59">
        <v>45813</v>
      </c>
      <c r="C610" s="34" t="s">
        <v>1272</v>
      </c>
      <c r="D610" s="23" t="s">
        <v>1273</v>
      </c>
      <c r="E610" s="23">
        <v>27316.48</v>
      </c>
      <c r="F610" s="23" t="s">
        <v>1274</v>
      </c>
      <c r="G610" s="14" t="s">
        <v>46</v>
      </c>
      <c r="H610" s="23" t="s">
        <v>40</v>
      </c>
      <c r="I610" s="23" t="s">
        <v>93</v>
      </c>
      <c r="J610" s="97">
        <f t="shared" si="144"/>
        <v>45713</v>
      </c>
      <c r="K610" s="4">
        <v>45715</v>
      </c>
      <c r="L610" s="19">
        <f t="shared" si="145"/>
        <v>-2</v>
      </c>
      <c r="M610" s="5">
        <f t="shared" si="146"/>
        <v>45724</v>
      </c>
      <c r="O610" s="19" t="str">
        <f t="shared" si="147"/>
        <v/>
      </c>
      <c r="P610" s="5">
        <f t="shared" si="148"/>
        <v>45739</v>
      </c>
      <c r="R610" s="19" t="str">
        <f t="shared" si="149"/>
        <v/>
      </c>
      <c r="S610" s="5">
        <f t="shared" si="159"/>
        <v>45744</v>
      </c>
      <c r="T610" s="4">
        <v>45789</v>
      </c>
      <c r="U610" s="19">
        <f t="shared" si="150"/>
        <v>-45</v>
      </c>
      <c r="V610" s="5">
        <f t="shared" si="151"/>
        <v>45783</v>
      </c>
      <c r="W610" s="4">
        <v>45803</v>
      </c>
      <c r="X610" s="19">
        <f t="shared" si="152"/>
        <v>-20</v>
      </c>
      <c r="Y610" s="51">
        <f t="shared" si="153"/>
        <v>45808</v>
      </c>
      <c r="Z610" s="4">
        <v>45834</v>
      </c>
      <c r="AA610" s="49">
        <f t="shared" si="154"/>
        <v>-26</v>
      </c>
      <c r="AB610" s="51">
        <f t="shared" si="155"/>
        <v>45813</v>
      </c>
      <c r="AC610" s="49">
        <f t="shared" si="156"/>
        <v>-21</v>
      </c>
      <c r="AD610" s="43">
        <f t="shared" si="157"/>
        <v>45813</v>
      </c>
      <c r="AE610" s="4">
        <v>45834</v>
      </c>
      <c r="AF610" s="19">
        <f t="shared" si="158"/>
        <v>-21</v>
      </c>
      <c r="AG610" s="67"/>
      <c r="AH610" s="2"/>
      <c r="AI610" s="2"/>
      <c r="AJ610" s="2"/>
      <c r="AK610" s="2"/>
      <c r="AL610" s="2"/>
    </row>
    <row r="611" spans="1:38" ht="14.45">
      <c r="A611" s="156">
        <v>610</v>
      </c>
      <c r="B611" s="59">
        <v>45814</v>
      </c>
      <c r="C611" s="34" t="s">
        <v>1275</v>
      </c>
      <c r="D611" s="23" t="s">
        <v>1276</v>
      </c>
      <c r="E611" s="23">
        <v>2932.5</v>
      </c>
      <c r="F611" s="23" t="s">
        <v>1277</v>
      </c>
      <c r="G611" s="14" t="s">
        <v>190</v>
      </c>
      <c r="H611" s="23" t="s">
        <v>36</v>
      </c>
      <c r="I611" s="23" t="s">
        <v>37</v>
      </c>
      <c r="J611" s="97">
        <f t="shared" si="144"/>
        <v>45714</v>
      </c>
      <c r="L611" s="19" t="str">
        <f t="shared" si="145"/>
        <v/>
      </c>
      <c r="M611" s="5">
        <f t="shared" si="146"/>
        <v>45725</v>
      </c>
      <c r="N611" s="4">
        <v>45786</v>
      </c>
      <c r="O611" s="19">
        <f t="shared" si="147"/>
        <v>-61</v>
      </c>
      <c r="P611" s="5">
        <f t="shared" si="148"/>
        <v>45740</v>
      </c>
      <c r="R611" s="19" t="str">
        <f t="shared" si="149"/>
        <v/>
      </c>
      <c r="S611" s="5">
        <f t="shared" si="159"/>
        <v>45745</v>
      </c>
      <c r="T611" s="4">
        <v>45787</v>
      </c>
      <c r="U611" s="19">
        <f t="shared" si="150"/>
        <v>-42</v>
      </c>
      <c r="V611" s="5">
        <f t="shared" si="151"/>
        <v>45784</v>
      </c>
      <c r="W611" s="4">
        <v>45783</v>
      </c>
      <c r="X611" s="19">
        <f t="shared" si="152"/>
        <v>1</v>
      </c>
      <c r="Y611" s="51">
        <f t="shared" si="153"/>
        <v>45809</v>
      </c>
      <c r="Z611" s="4">
        <v>45814</v>
      </c>
      <c r="AA611" s="49">
        <f t="shared" si="154"/>
        <v>-5</v>
      </c>
      <c r="AB611" s="51">
        <f t="shared" si="155"/>
        <v>45814</v>
      </c>
      <c r="AC611" s="49">
        <f t="shared" si="156"/>
        <v>0</v>
      </c>
      <c r="AD611" s="43">
        <f t="shared" si="157"/>
        <v>45814</v>
      </c>
      <c r="AE611" s="4">
        <v>45814</v>
      </c>
      <c r="AF611" s="19">
        <f t="shared" si="158"/>
        <v>0</v>
      </c>
      <c r="AG611" s="67"/>
      <c r="AH611" s="2"/>
      <c r="AI611" s="2"/>
      <c r="AJ611" s="2"/>
      <c r="AK611" s="2"/>
      <c r="AL611" s="2"/>
    </row>
    <row r="612" spans="1:38" ht="14.45">
      <c r="A612" s="156">
        <v>611</v>
      </c>
      <c r="B612" s="59">
        <v>45814</v>
      </c>
      <c r="C612" s="34" t="s">
        <v>1278</v>
      </c>
      <c r="D612" s="23" t="s">
        <v>227</v>
      </c>
      <c r="E612" s="23">
        <v>22725.37</v>
      </c>
      <c r="F612" s="23" t="s">
        <v>1279</v>
      </c>
      <c r="G612" s="10" t="s">
        <v>120</v>
      </c>
      <c r="H612" s="23" t="s">
        <v>40</v>
      </c>
      <c r="I612" s="23" t="s">
        <v>52</v>
      </c>
      <c r="J612" s="97">
        <f t="shared" si="144"/>
        <v>45714</v>
      </c>
      <c r="L612" s="19" t="str">
        <f t="shared" si="145"/>
        <v/>
      </c>
      <c r="M612" s="5">
        <f t="shared" si="146"/>
        <v>45725</v>
      </c>
      <c r="O612" s="19" t="str">
        <f t="shared" si="147"/>
        <v/>
      </c>
      <c r="P612" s="5">
        <f t="shared" si="148"/>
        <v>45740</v>
      </c>
      <c r="R612" s="19" t="str">
        <f t="shared" si="149"/>
        <v/>
      </c>
      <c r="S612" s="5">
        <f t="shared" si="159"/>
        <v>45745</v>
      </c>
      <c r="T612" s="4">
        <v>45799</v>
      </c>
      <c r="U612" s="19">
        <f t="shared" si="150"/>
        <v>-54</v>
      </c>
      <c r="V612" s="5">
        <f t="shared" si="151"/>
        <v>45784</v>
      </c>
      <c r="W612" s="4">
        <v>45814</v>
      </c>
      <c r="X612" s="19">
        <f t="shared" si="152"/>
        <v>-30</v>
      </c>
      <c r="Y612" s="51">
        <f t="shared" si="153"/>
        <v>45809</v>
      </c>
      <c r="Z612" s="4">
        <v>45825</v>
      </c>
      <c r="AA612" s="49">
        <f t="shared" si="154"/>
        <v>-16</v>
      </c>
      <c r="AB612" s="51">
        <f t="shared" si="155"/>
        <v>45814</v>
      </c>
      <c r="AC612" s="49">
        <f t="shared" si="156"/>
        <v>-11</v>
      </c>
      <c r="AD612" s="43">
        <f t="shared" si="157"/>
        <v>45814</v>
      </c>
      <c r="AE612" s="4">
        <v>45825</v>
      </c>
      <c r="AF612" s="19">
        <f t="shared" si="158"/>
        <v>-11</v>
      </c>
      <c r="AG612" s="67"/>
      <c r="AH612" s="2"/>
      <c r="AI612" s="2"/>
      <c r="AJ612" s="2"/>
      <c r="AK612" s="2"/>
      <c r="AL612" s="2"/>
    </row>
    <row r="613" spans="1:38" ht="14.45">
      <c r="A613" s="156">
        <v>612</v>
      </c>
      <c r="B613" s="59">
        <v>45814</v>
      </c>
      <c r="C613" s="34" t="s">
        <v>1280</v>
      </c>
      <c r="D613" s="23" t="s">
        <v>38</v>
      </c>
      <c r="E613" s="23">
        <v>164.39</v>
      </c>
      <c r="F613" s="23" t="s">
        <v>1281</v>
      </c>
      <c r="G613" s="14" t="s">
        <v>190</v>
      </c>
      <c r="H613" s="23" t="s">
        <v>40</v>
      </c>
      <c r="I613" s="23" t="s">
        <v>41</v>
      </c>
      <c r="J613" s="97">
        <f t="shared" si="144"/>
        <v>45714</v>
      </c>
      <c r="L613" s="19" t="str">
        <f t="shared" si="145"/>
        <v/>
      </c>
      <c r="M613" s="5">
        <f t="shared" si="146"/>
        <v>45725</v>
      </c>
      <c r="N613" s="4">
        <v>45804</v>
      </c>
      <c r="O613" s="19">
        <f t="shared" si="147"/>
        <v>-79</v>
      </c>
      <c r="P613" s="5">
        <f t="shared" si="148"/>
        <v>45740</v>
      </c>
      <c r="Q613" s="4">
        <v>45806</v>
      </c>
      <c r="R613" s="19">
        <f t="shared" si="149"/>
        <v>-66</v>
      </c>
      <c r="S613" s="5">
        <f t="shared" si="159"/>
        <v>45745</v>
      </c>
      <c r="T613" s="4">
        <v>45809</v>
      </c>
      <c r="U613" s="19">
        <f t="shared" si="150"/>
        <v>-64</v>
      </c>
      <c r="V613" s="5">
        <f t="shared" si="151"/>
        <v>45784</v>
      </c>
      <c r="W613" s="4">
        <v>45809</v>
      </c>
      <c r="X613" s="19">
        <f t="shared" si="152"/>
        <v>-25</v>
      </c>
      <c r="Y613" s="51">
        <f t="shared" si="153"/>
        <v>45809</v>
      </c>
      <c r="Z613" s="4">
        <v>45831</v>
      </c>
      <c r="AA613" s="49">
        <f t="shared" si="154"/>
        <v>-22</v>
      </c>
      <c r="AB613" s="51">
        <f t="shared" si="155"/>
        <v>45814</v>
      </c>
      <c r="AC613" s="49">
        <f t="shared" si="156"/>
        <v>-17</v>
      </c>
      <c r="AD613" s="43">
        <f t="shared" si="157"/>
        <v>45814</v>
      </c>
      <c r="AE613" s="4">
        <v>45831</v>
      </c>
      <c r="AF613" s="19">
        <f t="shared" si="158"/>
        <v>-17</v>
      </c>
      <c r="AG613" s="67"/>
      <c r="AH613" s="2"/>
      <c r="AI613" s="2"/>
      <c r="AJ613" s="2"/>
      <c r="AK613" s="2"/>
      <c r="AL613" s="2"/>
    </row>
    <row r="614" spans="1:38" ht="14.45">
      <c r="A614" s="156">
        <v>613</v>
      </c>
      <c r="B614" s="59">
        <v>45814</v>
      </c>
      <c r="C614" s="34" t="s">
        <v>1282</v>
      </c>
      <c r="D614" s="23" t="s">
        <v>1268</v>
      </c>
      <c r="E614" s="23">
        <v>7685.12</v>
      </c>
      <c r="F614" s="23" t="s">
        <v>1283</v>
      </c>
      <c r="G614" s="14" t="s">
        <v>35</v>
      </c>
      <c r="H614" s="23" t="s">
        <v>36</v>
      </c>
      <c r="I614" s="23" t="s">
        <v>93</v>
      </c>
      <c r="J614" s="97">
        <f t="shared" si="144"/>
        <v>45714</v>
      </c>
      <c r="L614" s="19" t="str">
        <f t="shared" si="145"/>
        <v/>
      </c>
      <c r="M614" s="5">
        <f t="shared" si="146"/>
        <v>45725</v>
      </c>
      <c r="O614" s="19" t="str">
        <f t="shared" si="147"/>
        <v/>
      </c>
      <c r="P614" s="5">
        <f t="shared" si="148"/>
        <v>45740</v>
      </c>
      <c r="R614" s="19" t="str">
        <f t="shared" si="149"/>
        <v/>
      </c>
      <c r="S614" s="5">
        <f t="shared" si="159"/>
        <v>45745</v>
      </c>
      <c r="U614" s="19" t="str">
        <f t="shared" si="150"/>
        <v/>
      </c>
      <c r="V614" s="5">
        <f t="shared" si="151"/>
        <v>45784</v>
      </c>
      <c r="W614" s="4">
        <v>45805</v>
      </c>
      <c r="X614" s="19">
        <f t="shared" si="152"/>
        <v>-21</v>
      </c>
      <c r="Y614" s="51">
        <f t="shared" si="153"/>
        <v>45809</v>
      </c>
      <c r="Z614" s="4">
        <v>45831</v>
      </c>
      <c r="AA614" s="49">
        <f t="shared" si="154"/>
        <v>-22</v>
      </c>
      <c r="AB614" s="51">
        <f t="shared" si="155"/>
        <v>45814</v>
      </c>
      <c r="AC614" s="49">
        <f t="shared" si="156"/>
        <v>-17</v>
      </c>
      <c r="AD614" s="43">
        <f t="shared" si="157"/>
        <v>45814</v>
      </c>
      <c r="AE614" s="4">
        <v>45831</v>
      </c>
      <c r="AF614" s="19">
        <f t="shared" si="158"/>
        <v>-17</v>
      </c>
      <c r="AG614" s="67"/>
      <c r="AH614" s="2"/>
      <c r="AI614" s="2"/>
      <c r="AJ614" s="2"/>
      <c r="AK614" s="2"/>
      <c r="AL614" s="2"/>
    </row>
    <row r="615" spans="1:38" ht="14.45">
      <c r="A615" s="156">
        <v>614</v>
      </c>
      <c r="B615" s="59">
        <v>45814</v>
      </c>
      <c r="C615" s="34" t="s">
        <v>1284</v>
      </c>
      <c r="D615" s="23" t="s">
        <v>488</v>
      </c>
      <c r="E615" s="23">
        <v>44929</v>
      </c>
      <c r="F615" s="23" t="s">
        <v>1285</v>
      </c>
      <c r="G615" s="14" t="s">
        <v>46</v>
      </c>
      <c r="H615" s="23" t="s">
        <v>40</v>
      </c>
      <c r="I615" s="23" t="s">
        <v>323</v>
      </c>
      <c r="J615" s="97">
        <f t="shared" si="144"/>
        <v>45714</v>
      </c>
      <c r="K615" s="4">
        <v>45715</v>
      </c>
      <c r="L615" s="19">
        <f t="shared" si="145"/>
        <v>-1</v>
      </c>
      <c r="M615" s="5">
        <f t="shared" si="146"/>
        <v>45725</v>
      </c>
      <c r="O615" s="19" t="str">
        <f t="shared" si="147"/>
        <v/>
      </c>
      <c r="P615" s="5">
        <f t="shared" si="148"/>
        <v>45740</v>
      </c>
      <c r="R615" s="19" t="str">
        <f t="shared" si="149"/>
        <v/>
      </c>
      <c r="S615" s="5">
        <f t="shared" si="159"/>
        <v>45745</v>
      </c>
      <c r="T615" s="4">
        <v>45775</v>
      </c>
      <c r="U615" s="19">
        <f t="shared" si="150"/>
        <v>-30</v>
      </c>
      <c r="V615" s="5">
        <f t="shared" si="151"/>
        <v>45784</v>
      </c>
      <c r="W615" s="4">
        <v>45803</v>
      </c>
      <c r="X615" s="19">
        <f t="shared" si="152"/>
        <v>-19</v>
      </c>
      <c r="Y615" s="51">
        <f t="shared" si="153"/>
        <v>45809</v>
      </c>
      <c r="Z615" s="4">
        <v>45820</v>
      </c>
      <c r="AA615" s="49">
        <f t="shared" si="154"/>
        <v>-11</v>
      </c>
      <c r="AB615" s="51">
        <f t="shared" si="155"/>
        <v>45814</v>
      </c>
      <c r="AC615" s="49">
        <f t="shared" si="156"/>
        <v>-6</v>
      </c>
      <c r="AD615" s="43">
        <f t="shared" si="157"/>
        <v>45814</v>
      </c>
      <c r="AE615" s="4">
        <v>45820</v>
      </c>
      <c r="AF615" s="19">
        <f t="shared" si="158"/>
        <v>-6</v>
      </c>
      <c r="AG615" s="67"/>
      <c r="AH615" s="2"/>
      <c r="AI615" s="2"/>
      <c r="AJ615" s="2"/>
      <c r="AK615" s="2"/>
      <c r="AL615" s="2"/>
    </row>
    <row r="616" spans="1:38" ht="14.45">
      <c r="A616" s="156">
        <v>615</v>
      </c>
      <c r="B616" s="59">
        <v>45815</v>
      </c>
      <c r="C616" s="34">
        <v>111703963</v>
      </c>
      <c r="D616" s="23" t="s">
        <v>1286</v>
      </c>
      <c r="E616" s="23">
        <v>168481</v>
      </c>
      <c r="F616" s="23" t="s">
        <v>1287</v>
      </c>
      <c r="G616" s="14" t="s">
        <v>35</v>
      </c>
      <c r="H616" s="23" t="s">
        <v>36</v>
      </c>
      <c r="I616" s="23" t="s">
        <v>37</v>
      </c>
      <c r="J616" s="97">
        <f t="shared" si="144"/>
        <v>45715</v>
      </c>
      <c r="L616" s="19" t="str">
        <f t="shared" si="145"/>
        <v/>
      </c>
      <c r="M616" s="5">
        <f t="shared" si="146"/>
        <v>45726</v>
      </c>
      <c r="O616" s="19" t="str">
        <f t="shared" si="147"/>
        <v/>
      </c>
      <c r="P616" s="5">
        <f t="shared" si="148"/>
        <v>45741</v>
      </c>
      <c r="R616" s="19" t="str">
        <f t="shared" si="149"/>
        <v/>
      </c>
      <c r="S616" s="5">
        <f t="shared" si="159"/>
        <v>45746</v>
      </c>
      <c r="U616" s="19" t="str">
        <f t="shared" si="150"/>
        <v/>
      </c>
      <c r="V616" s="5">
        <f t="shared" si="151"/>
        <v>45785</v>
      </c>
      <c r="W616" s="4">
        <v>45799</v>
      </c>
      <c r="X616" s="19">
        <f t="shared" si="152"/>
        <v>-14</v>
      </c>
      <c r="Y616" s="51">
        <f t="shared" si="153"/>
        <v>45810</v>
      </c>
      <c r="AA616" s="49" t="str">
        <f t="shared" si="154"/>
        <v/>
      </c>
      <c r="AB616" s="51">
        <f t="shared" si="155"/>
        <v>45815</v>
      </c>
      <c r="AC616" s="49" t="str">
        <f t="shared" si="156"/>
        <v/>
      </c>
      <c r="AD616" s="43">
        <f t="shared" si="157"/>
        <v>45815</v>
      </c>
      <c r="AF616" s="19" t="str">
        <f t="shared" si="158"/>
        <v/>
      </c>
      <c r="AG616" s="67"/>
      <c r="AH616" s="2"/>
      <c r="AI616" s="2"/>
      <c r="AJ616" s="2"/>
      <c r="AK616" s="2"/>
      <c r="AL616" s="2"/>
    </row>
    <row r="617" spans="1:38" ht="14.25" customHeight="1">
      <c r="A617" s="156">
        <v>616</v>
      </c>
      <c r="B617" s="59">
        <v>45815</v>
      </c>
      <c r="C617" s="34" t="s">
        <v>1288</v>
      </c>
      <c r="D617" s="23" t="s">
        <v>1289</v>
      </c>
      <c r="E617" s="23">
        <v>4830.91</v>
      </c>
      <c r="F617" s="23" t="s">
        <v>1290</v>
      </c>
      <c r="G617" s="14" t="s">
        <v>120</v>
      </c>
      <c r="H617" s="23" t="s">
        <v>40</v>
      </c>
      <c r="I617" s="23" t="s">
        <v>93</v>
      </c>
      <c r="J617" s="97">
        <f t="shared" si="144"/>
        <v>45715</v>
      </c>
      <c r="L617" s="19" t="str">
        <f t="shared" si="145"/>
        <v/>
      </c>
      <c r="M617" s="5">
        <f t="shared" si="146"/>
        <v>45726</v>
      </c>
      <c r="O617" s="19" t="str">
        <f t="shared" si="147"/>
        <v/>
      </c>
      <c r="P617" s="5">
        <f t="shared" si="148"/>
        <v>45741</v>
      </c>
      <c r="R617" s="19" t="str">
        <f t="shared" si="149"/>
        <v/>
      </c>
      <c r="S617" s="5">
        <f t="shared" si="159"/>
        <v>45746</v>
      </c>
      <c r="U617" s="19" t="str">
        <f t="shared" si="150"/>
        <v/>
      </c>
      <c r="V617" s="5">
        <f t="shared" si="151"/>
        <v>45785</v>
      </c>
      <c r="X617" s="19" t="str">
        <f t="shared" si="152"/>
        <v/>
      </c>
      <c r="Y617" s="51">
        <f t="shared" si="153"/>
        <v>45810</v>
      </c>
      <c r="AA617" s="49" t="str">
        <f t="shared" si="154"/>
        <v/>
      </c>
      <c r="AB617" s="51">
        <f t="shared" si="155"/>
        <v>45815</v>
      </c>
      <c r="AC617" s="49" t="str">
        <f t="shared" si="156"/>
        <v/>
      </c>
      <c r="AD617" s="43">
        <f t="shared" si="157"/>
        <v>45815</v>
      </c>
      <c r="AF617" s="19" t="str">
        <f t="shared" si="158"/>
        <v/>
      </c>
      <c r="AG617" s="67"/>
      <c r="AH617" s="2"/>
      <c r="AI617" s="2"/>
      <c r="AJ617" s="2"/>
      <c r="AK617" s="2"/>
      <c r="AL617" s="2"/>
    </row>
    <row r="618" spans="1:38" ht="14.45">
      <c r="A618" s="156">
        <v>617</v>
      </c>
      <c r="B618" s="59">
        <v>45815</v>
      </c>
      <c r="C618" s="34" t="s">
        <v>1291</v>
      </c>
      <c r="D618" s="23" t="s">
        <v>1289</v>
      </c>
      <c r="E618" s="23">
        <v>421.64</v>
      </c>
      <c r="F618" s="23" t="s">
        <v>1292</v>
      </c>
      <c r="G618" s="23" t="s">
        <v>35</v>
      </c>
      <c r="H618" s="23" t="s">
        <v>40</v>
      </c>
      <c r="I618" s="23" t="s">
        <v>41</v>
      </c>
      <c r="J618" s="97">
        <f t="shared" si="144"/>
        <v>45715</v>
      </c>
      <c r="L618" s="19" t="str">
        <f t="shared" si="145"/>
        <v/>
      </c>
      <c r="M618" s="5">
        <f t="shared" si="146"/>
        <v>45726</v>
      </c>
      <c r="O618" s="19" t="str">
        <f t="shared" si="147"/>
        <v/>
      </c>
      <c r="P618" s="5">
        <f t="shared" si="148"/>
        <v>45741</v>
      </c>
      <c r="R618" s="19" t="str">
        <f t="shared" si="149"/>
        <v/>
      </c>
      <c r="S618" s="5">
        <f t="shared" si="159"/>
        <v>45746</v>
      </c>
      <c r="U618" s="19" t="str">
        <f t="shared" si="150"/>
        <v/>
      </c>
      <c r="V618" s="5">
        <f t="shared" si="151"/>
        <v>45785</v>
      </c>
      <c r="X618" s="19" t="str">
        <f t="shared" si="152"/>
        <v/>
      </c>
      <c r="Y618" s="51">
        <f t="shared" si="153"/>
        <v>45810</v>
      </c>
      <c r="AA618" s="49" t="str">
        <f t="shared" si="154"/>
        <v/>
      </c>
      <c r="AB618" s="51">
        <f t="shared" si="155"/>
        <v>45815</v>
      </c>
      <c r="AC618" s="49" t="str">
        <f t="shared" si="156"/>
        <v/>
      </c>
      <c r="AD618" s="43">
        <f t="shared" si="157"/>
        <v>45815</v>
      </c>
      <c r="AF618" s="19" t="str">
        <f>IF(OR(AD618="", AE618=""), "", AD618-AE618)</f>
        <v/>
      </c>
      <c r="AG618" s="67"/>
      <c r="AH618" s="2"/>
      <c r="AI618" s="2"/>
      <c r="AJ618" s="2"/>
      <c r="AK618" s="2"/>
      <c r="AL618" s="2"/>
    </row>
    <row r="619" spans="1:38" ht="14.45">
      <c r="A619" s="156">
        <v>618</v>
      </c>
      <c r="B619" s="59">
        <v>45815</v>
      </c>
      <c r="C619" s="34" t="s">
        <v>1293</v>
      </c>
      <c r="D619" s="23" t="s">
        <v>38</v>
      </c>
      <c r="E619" s="23">
        <v>1076.3900000000001</v>
      </c>
      <c r="F619" s="23" t="s">
        <v>1294</v>
      </c>
      <c r="G619" s="14" t="s">
        <v>190</v>
      </c>
      <c r="H619" s="23" t="s">
        <v>40</v>
      </c>
      <c r="I619" s="23" t="s">
        <v>41</v>
      </c>
      <c r="J619" s="97">
        <f t="shared" si="144"/>
        <v>45715</v>
      </c>
      <c r="L619" s="19" t="str">
        <f t="shared" si="145"/>
        <v/>
      </c>
      <c r="M619" s="5">
        <f t="shared" si="146"/>
        <v>45726</v>
      </c>
      <c r="N619" s="4">
        <v>45804</v>
      </c>
      <c r="O619" s="19">
        <f t="shared" si="147"/>
        <v>-78</v>
      </c>
      <c r="P619" s="5">
        <f t="shared" si="148"/>
        <v>45741</v>
      </c>
      <c r="Q619" s="4">
        <v>45806</v>
      </c>
      <c r="R619" s="19">
        <f t="shared" si="149"/>
        <v>-65</v>
      </c>
      <c r="S619" s="5">
        <f t="shared" si="159"/>
        <v>45746</v>
      </c>
      <c r="T619" s="4">
        <v>45809</v>
      </c>
      <c r="U619" s="19">
        <f t="shared" si="150"/>
        <v>-63</v>
      </c>
      <c r="V619" s="5">
        <f t="shared" si="151"/>
        <v>45785</v>
      </c>
      <c r="W619" s="4">
        <v>45809</v>
      </c>
      <c r="X619" s="19">
        <f t="shared" si="152"/>
        <v>-24</v>
      </c>
      <c r="Y619" s="51">
        <f t="shared" si="153"/>
        <v>45810</v>
      </c>
      <c r="Z619" s="4">
        <v>45811</v>
      </c>
      <c r="AA619" s="49">
        <f t="shared" si="154"/>
        <v>-1</v>
      </c>
      <c r="AB619" s="51">
        <f t="shared" si="155"/>
        <v>45815</v>
      </c>
      <c r="AC619" s="49">
        <f t="shared" si="156"/>
        <v>4</v>
      </c>
      <c r="AD619" s="43">
        <f t="shared" si="157"/>
        <v>45815</v>
      </c>
      <c r="AE619" s="4">
        <v>45811</v>
      </c>
      <c r="AF619" s="19">
        <f t="shared" si="158"/>
        <v>4</v>
      </c>
      <c r="AG619" s="67"/>
      <c r="AH619" s="2"/>
      <c r="AI619" s="2"/>
      <c r="AJ619" s="2"/>
      <c r="AK619" s="2"/>
      <c r="AL619" s="2"/>
    </row>
    <row r="620" spans="1:38" s="9" customFormat="1" ht="14.45">
      <c r="A620" s="156">
        <v>619</v>
      </c>
      <c r="B620" s="59">
        <v>45815</v>
      </c>
      <c r="C620" s="34" t="s">
        <v>1295</v>
      </c>
      <c r="D620" s="23" t="s">
        <v>304</v>
      </c>
      <c r="E620" s="23">
        <v>543.55999999999995</v>
      </c>
      <c r="F620" s="23" t="s">
        <v>1296</v>
      </c>
      <c r="G620" s="23" t="s">
        <v>51</v>
      </c>
      <c r="H620" s="23" t="s">
        <v>40</v>
      </c>
      <c r="I620" s="23" t="s">
        <v>62</v>
      </c>
      <c r="J620" s="97">
        <f t="shared" si="144"/>
        <v>45715</v>
      </c>
      <c r="K620" s="4"/>
      <c r="L620" s="19" t="str">
        <f t="shared" si="145"/>
        <v/>
      </c>
      <c r="M620" s="5">
        <f t="shared" si="146"/>
        <v>45726</v>
      </c>
      <c r="N620" s="4"/>
      <c r="O620" s="19" t="str">
        <f t="shared" si="147"/>
        <v/>
      </c>
      <c r="P620" s="5">
        <f t="shared" si="148"/>
        <v>45741</v>
      </c>
      <c r="Q620" s="4"/>
      <c r="R620" s="19" t="str">
        <f t="shared" si="149"/>
        <v/>
      </c>
      <c r="S620" s="5">
        <f t="shared" si="159"/>
        <v>45746</v>
      </c>
      <c r="T620" s="4"/>
      <c r="U620" s="19" t="str">
        <f t="shared" si="150"/>
        <v/>
      </c>
      <c r="V620" s="5">
        <f t="shared" si="151"/>
        <v>45785</v>
      </c>
      <c r="W620" s="4"/>
      <c r="X620" s="19" t="str">
        <f t="shared" si="152"/>
        <v/>
      </c>
      <c r="Y620" s="51">
        <f t="shared" si="153"/>
        <v>45810</v>
      </c>
      <c r="Z620" s="4">
        <v>45817</v>
      </c>
      <c r="AA620" s="49">
        <f t="shared" si="154"/>
        <v>-7</v>
      </c>
      <c r="AB620" s="51">
        <f t="shared" si="155"/>
        <v>45815</v>
      </c>
      <c r="AC620" s="49">
        <f t="shared" si="156"/>
        <v>-2</v>
      </c>
      <c r="AD620" s="43">
        <f t="shared" si="157"/>
        <v>45815</v>
      </c>
      <c r="AE620" s="4">
        <v>45817</v>
      </c>
      <c r="AF620" s="19">
        <f t="shared" si="158"/>
        <v>-2</v>
      </c>
      <c r="AG620" s="68" t="s">
        <v>367</v>
      </c>
      <c r="AH620" s="8"/>
      <c r="AI620" s="8"/>
      <c r="AJ620" s="8"/>
      <c r="AK620" s="8"/>
      <c r="AL620" s="8"/>
    </row>
    <row r="621" spans="1:38" s="9" customFormat="1" ht="14.45">
      <c r="A621" s="156">
        <v>620</v>
      </c>
      <c r="B621" s="59">
        <v>45816</v>
      </c>
      <c r="C621" s="34">
        <v>614015998</v>
      </c>
      <c r="D621" s="23" t="s">
        <v>1297</v>
      </c>
      <c r="E621" s="23">
        <v>4010.43</v>
      </c>
      <c r="F621" s="23" t="s">
        <v>1298</v>
      </c>
      <c r="G621" s="23" t="s">
        <v>35</v>
      </c>
      <c r="H621" s="23" t="s">
        <v>36</v>
      </c>
      <c r="I621" s="23" t="s">
        <v>93</v>
      </c>
      <c r="J621" s="97">
        <f t="shared" si="144"/>
        <v>45716</v>
      </c>
      <c r="K621" s="4"/>
      <c r="L621" s="19" t="str">
        <f t="shared" si="145"/>
        <v/>
      </c>
      <c r="M621" s="5">
        <f t="shared" si="146"/>
        <v>45727</v>
      </c>
      <c r="N621" s="4"/>
      <c r="O621" s="19" t="str">
        <f t="shared" si="147"/>
        <v/>
      </c>
      <c r="P621" s="5">
        <f t="shared" si="148"/>
        <v>45742</v>
      </c>
      <c r="Q621" s="4"/>
      <c r="R621" s="19" t="str">
        <f t="shared" si="149"/>
        <v/>
      </c>
      <c r="S621" s="5">
        <f t="shared" si="159"/>
        <v>45747</v>
      </c>
      <c r="T621" s="4"/>
      <c r="U621" s="19" t="str">
        <f t="shared" si="150"/>
        <v/>
      </c>
      <c r="V621" s="5">
        <f t="shared" si="151"/>
        <v>45786</v>
      </c>
      <c r="W621" s="4">
        <v>45810</v>
      </c>
      <c r="X621" s="19">
        <f t="shared" si="152"/>
        <v>-24</v>
      </c>
      <c r="Y621" s="51">
        <f t="shared" si="153"/>
        <v>45811</v>
      </c>
      <c r="Z621" s="4">
        <v>45831</v>
      </c>
      <c r="AA621" s="49">
        <f t="shared" si="154"/>
        <v>-20</v>
      </c>
      <c r="AB621" s="51">
        <f t="shared" si="155"/>
        <v>45816</v>
      </c>
      <c r="AC621" s="49">
        <f t="shared" si="156"/>
        <v>-15</v>
      </c>
      <c r="AD621" s="43">
        <f t="shared" si="157"/>
        <v>45816</v>
      </c>
      <c r="AE621" s="4">
        <v>45831</v>
      </c>
      <c r="AF621" s="19">
        <f>IF(OR(AD621="", AE621=""), "", AD621-AE621)</f>
        <v>-15</v>
      </c>
      <c r="AG621" s="68"/>
      <c r="AH621" s="8"/>
      <c r="AI621" s="8"/>
      <c r="AJ621" s="8"/>
      <c r="AK621" s="8"/>
      <c r="AL621" s="8"/>
    </row>
    <row r="622" spans="1:38" ht="14.45">
      <c r="A622" s="156">
        <v>621</v>
      </c>
      <c r="B622" s="59">
        <v>45816</v>
      </c>
      <c r="C622" s="34" t="s">
        <v>1299</v>
      </c>
      <c r="D622" s="23" t="s">
        <v>38</v>
      </c>
      <c r="E622" s="23">
        <v>1429.98</v>
      </c>
      <c r="F622" s="23" t="s">
        <v>1300</v>
      </c>
      <c r="G622" s="14" t="s">
        <v>190</v>
      </c>
      <c r="H622" s="23" t="s">
        <v>40</v>
      </c>
      <c r="I622" s="23" t="s">
        <v>41</v>
      </c>
      <c r="J622" s="97">
        <f t="shared" si="144"/>
        <v>45716</v>
      </c>
      <c r="L622" s="19" t="str">
        <f t="shared" si="145"/>
        <v/>
      </c>
      <c r="M622" s="5">
        <f t="shared" si="146"/>
        <v>45727</v>
      </c>
      <c r="N622" s="4">
        <v>45804</v>
      </c>
      <c r="O622" s="19">
        <f t="shared" si="147"/>
        <v>-77</v>
      </c>
      <c r="P622" s="5">
        <f t="shared" si="148"/>
        <v>45742</v>
      </c>
      <c r="Q622" s="4">
        <v>45806</v>
      </c>
      <c r="R622" s="19">
        <f t="shared" si="149"/>
        <v>-64</v>
      </c>
      <c r="S622" s="5">
        <f t="shared" si="159"/>
        <v>45747</v>
      </c>
      <c r="T622" s="4">
        <v>45809</v>
      </c>
      <c r="U622" s="19">
        <f t="shared" si="150"/>
        <v>-62</v>
      </c>
      <c r="V622" s="5">
        <f t="shared" si="151"/>
        <v>45786</v>
      </c>
      <c r="W622" s="4">
        <v>45809</v>
      </c>
      <c r="X622" s="19">
        <f t="shared" si="152"/>
        <v>-23</v>
      </c>
      <c r="Y622" s="51">
        <f t="shared" si="153"/>
        <v>45811</v>
      </c>
      <c r="Z622" s="4">
        <v>45811</v>
      </c>
      <c r="AA622" s="49">
        <f t="shared" si="154"/>
        <v>0</v>
      </c>
      <c r="AB622" s="51">
        <f t="shared" si="155"/>
        <v>45816</v>
      </c>
      <c r="AC622" s="49">
        <f t="shared" si="156"/>
        <v>5</v>
      </c>
      <c r="AD622" s="43">
        <f t="shared" si="157"/>
        <v>45816</v>
      </c>
      <c r="AE622" s="4">
        <v>45811</v>
      </c>
      <c r="AF622" s="19">
        <f t="shared" si="158"/>
        <v>5</v>
      </c>
      <c r="AG622" s="67"/>
      <c r="AH622" s="2"/>
      <c r="AI622" s="2"/>
      <c r="AJ622" s="2"/>
      <c r="AK622" s="2"/>
      <c r="AL622" s="2"/>
    </row>
    <row r="623" spans="1:38" ht="14.45">
      <c r="A623" s="156">
        <v>622</v>
      </c>
      <c r="B623" s="59">
        <v>45816</v>
      </c>
      <c r="C623" s="34" t="s">
        <v>1301</v>
      </c>
      <c r="D623" s="23" t="s">
        <v>1302</v>
      </c>
      <c r="E623" s="23">
        <v>32662.62</v>
      </c>
      <c r="F623" s="23" t="s">
        <v>1303</v>
      </c>
      <c r="G623" s="14" t="s">
        <v>120</v>
      </c>
      <c r="H623" s="23" t="s">
        <v>40</v>
      </c>
      <c r="I623" s="23" t="s">
        <v>93</v>
      </c>
      <c r="J623" s="97">
        <f t="shared" si="144"/>
        <v>45716</v>
      </c>
      <c r="K623" s="4">
        <v>45729</v>
      </c>
      <c r="L623" s="19">
        <f t="shared" si="145"/>
        <v>-13</v>
      </c>
      <c r="M623" s="5">
        <f t="shared" si="146"/>
        <v>45727</v>
      </c>
      <c r="O623" s="19" t="str">
        <f t="shared" si="147"/>
        <v/>
      </c>
      <c r="P623" s="5">
        <f t="shared" si="148"/>
        <v>45742</v>
      </c>
      <c r="R623" s="19" t="str">
        <f t="shared" si="149"/>
        <v/>
      </c>
      <c r="S623" s="5">
        <f t="shared" si="159"/>
        <v>45747</v>
      </c>
      <c r="T623" s="4">
        <v>45729</v>
      </c>
      <c r="U623" s="19">
        <f t="shared" si="150"/>
        <v>18</v>
      </c>
      <c r="V623" s="5">
        <f t="shared" si="151"/>
        <v>45786</v>
      </c>
      <c r="W623" s="4">
        <v>45786</v>
      </c>
      <c r="X623" s="19">
        <f t="shared" si="152"/>
        <v>0</v>
      </c>
      <c r="Y623" s="51">
        <f t="shared" si="153"/>
        <v>45811</v>
      </c>
      <c r="Z623" s="4">
        <v>45817</v>
      </c>
      <c r="AA623" s="49">
        <f t="shared" si="154"/>
        <v>-6</v>
      </c>
      <c r="AB623" s="51">
        <f t="shared" si="155"/>
        <v>45816</v>
      </c>
      <c r="AC623" s="49">
        <f t="shared" si="156"/>
        <v>-1</v>
      </c>
      <c r="AD623" s="43">
        <f t="shared" si="157"/>
        <v>45816</v>
      </c>
      <c r="AE623" s="4">
        <v>45817</v>
      </c>
      <c r="AF623" s="19">
        <f t="shared" si="158"/>
        <v>-1</v>
      </c>
      <c r="AG623" s="67"/>
      <c r="AH623" s="2"/>
      <c r="AI623" s="2"/>
      <c r="AJ623" s="2"/>
      <c r="AK623" s="2"/>
      <c r="AL623" s="2"/>
    </row>
    <row r="624" spans="1:38" ht="14.45">
      <c r="A624" s="156">
        <v>623</v>
      </c>
      <c r="B624" s="59">
        <v>45816</v>
      </c>
      <c r="C624" s="34" t="s">
        <v>1304</v>
      </c>
      <c r="D624" s="23" t="s">
        <v>1305</v>
      </c>
      <c r="E624" s="23">
        <v>1127</v>
      </c>
      <c r="F624" s="23" t="s">
        <v>1306</v>
      </c>
      <c r="G624" s="14" t="s">
        <v>190</v>
      </c>
      <c r="H624" s="23" t="s">
        <v>40</v>
      </c>
      <c r="I624" s="23" t="s">
        <v>93</v>
      </c>
      <c r="J624" s="97">
        <f t="shared" si="144"/>
        <v>45716</v>
      </c>
      <c r="K624" s="4">
        <v>45729</v>
      </c>
      <c r="L624" s="19">
        <f t="shared" si="145"/>
        <v>-13</v>
      </c>
      <c r="M624" s="5">
        <f t="shared" si="146"/>
        <v>45727</v>
      </c>
      <c r="O624" s="19" t="str">
        <f t="shared" si="147"/>
        <v/>
      </c>
      <c r="P624" s="5">
        <f t="shared" si="148"/>
        <v>45742</v>
      </c>
      <c r="R624" s="19" t="str">
        <f t="shared" si="149"/>
        <v/>
      </c>
      <c r="S624" s="5">
        <f t="shared" si="159"/>
        <v>45747</v>
      </c>
      <c r="T624" s="4">
        <v>45729</v>
      </c>
      <c r="U624" s="19">
        <f t="shared" si="150"/>
        <v>18</v>
      </c>
      <c r="V624" s="5">
        <f t="shared" si="151"/>
        <v>45786</v>
      </c>
      <c r="W624" s="4">
        <v>45772</v>
      </c>
      <c r="X624" s="19">
        <f t="shared" si="152"/>
        <v>14</v>
      </c>
      <c r="Y624" s="51">
        <f t="shared" si="153"/>
        <v>45811</v>
      </c>
      <c r="Z624" s="4">
        <v>45825</v>
      </c>
      <c r="AA624" s="49">
        <f t="shared" si="154"/>
        <v>-14</v>
      </c>
      <c r="AB624" s="51">
        <f t="shared" si="155"/>
        <v>45816</v>
      </c>
      <c r="AC624" s="49">
        <f t="shared" si="156"/>
        <v>-9</v>
      </c>
      <c r="AD624" s="43">
        <f t="shared" si="157"/>
        <v>45816</v>
      </c>
      <c r="AE624" s="4">
        <v>45825</v>
      </c>
      <c r="AF624" s="19">
        <f t="shared" si="158"/>
        <v>-9</v>
      </c>
      <c r="AG624" s="67"/>
      <c r="AH624" s="2"/>
      <c r="AI624" s="2"/>
      <c r="AJ624" s="2"/>
      <c r="AK624" s="2"/>
      <c r="AL624" s="2"/>
    </row>
    <row r="625" spans="1:38" ht="14.45">
      <c r="A625" s="156">
        <v>624</v>
      </c>
      <c r="B625" s="59">
        <v>45817</v>
      </c>
      <c r="C625" s="34" t="s">
        <v>1307</v>
      </c>
      <c r="D625" s="23" t="s">
        <v>1308</v>
      </c>
      <c r="E625" s="23">
        <v>9954.94</v>
      </c>
      <c r="F625" s="23" t="s">
        <v>1309</v>
      </c>
      <c r="G625" s="14" t="s">
        <v>190</v>
      </c>
      <c r="H625" s="23" t="s">
        <v>40</v>
      </c>
      <c r="I625" s="23" t="s">
        <v>93</v>
      </c>
      <c r="J625" s="97">
        <f t="shared" si="144"/>
        <v>45717</v>
      </c>
      <c r="K625" s="4">
        <v>45729</v>
      </c>
      <c r="L625" s="19">
        <f t="shared" si="145"/>
        <v>-12</v>
      </c>
      <c r="M625" s="5">
        <f t="shared" si="146"/>
        <v>45728</v>
      </c>
      <c r="O625" s="19" t="str">
        <f t="shared" si="147"/>
        <v/>
      </c>
      <c r="P625" s="5">
        <f t="shared" si="148"/>
        <v>45743</v>
      </c>
      <c r="R625" s="19" t="str">
        <f t="shared" si="149"/>
        <v/>
      </c>
      <c r="S625" s="5">
        <f t="shared" si="159"/>
        <v>45748</v>
      </c>
      <c r="T625" s="4">
        <v>45729</v>
      </c>
      <c r="U625" s="19">
        <f t="shared" si="150"/>
        <v>19</v>
      </c>
      <c r="V625" s="5">
        <f t="shared" si="151"/>
        <v>45787</v>
      </c>
      <c r="W625" s="4">
        <v>45804</v>
      </c>
      <c r="X625" s="19">
        <f t="shared" si="152"/>
        <v>-17</v>
      </c>
      <c r="Y625" s="51">
        <f t="shared" si="153"/>
        <v>45812</v>
      </c>
      <c r="Z625" s="4">
        <v>45817</v>
      </c>
      <c r="AA625" s="49">
        <f t="shared" si="154"/>
        <v>-5</v>
      </c>
      <c r="AB625" s="51">
        <f t="shared" si="155"/>
        <v>45817</v>
      </c>
      <c r="AC625" s="49">
        <f t="shared" si="156"/>
        <v>0</v>
      </c>
      <c r="AD625" s="43">
        <f t="shared" si="157"/>
        <v>45817</v>
      </c>
      <c r="AE625" s="4">
        <v>45817</v>
      </c>
      <c r="AF625" s="19">
        <f t="shared" si="158"/>
        <v>0</v>
      </c>
      <c r="AG625" s="67"/>
      <c r="AH625" s="2"/>
      <c r="AI625" s="2"/>
      <c r="AJ625" s="2"/>
      <c r="AK625" s="2"/>
      <c r="AL625" s="2"/>
    </row>
    <row r="626" spans="1:38" ht="14.45">
      <c r="A626" s="156">
        <v>625</v>
      </c>
      <c r="B626" s="59">
        <v>45819</v>
      </c>
      <c r="C626" s="34" t="s">
        <v>1310</v>
      </c>
      <c r="D626" s="23" t="s">
        <v>1311</v>
      </c>
      <c r="E626" s="23">
        <v>11168.29</v>
      </c>
      <c r="F626" s="23" t="s">
        <v>1312</v>
      </c>
      <c r="G626" s="14" t="s">
        <v>35</v>
      </c>
      <c r="H626" s="23" t="s">
        <v>40</v>
      </c>
      <c r="I626" s="23" t="s">
        <v>62</v>
      </c>
      <c r="J626" s="97">
        <f t="shared" si="144"/>
        <v>45719</v>
      </c>
      <c r="L626" s="19" t="str">
        <f t="shared" si="145"/>
        <v/>
      </c>
      <c r="M626" s="5">
        <f t="shared" si="146"/>
        <v>45730</v>
      </c>
      <c r="O626" s="19" t="str">
        <f t="shared" si="147"/>
        <v/>
      </c>
      <c r="P626" s="5">
        <f t="shared" si="148"/>
        <v>45745</v>
      </c>
      <c r="R626" s="19" t="str">
        <f t="shared" si="149"/>
        <v/>
      </c>
      <c r="S626" s="5">
        <f t="shared" si="159"/>
        <v>45750</v>
      </c>
      <c r="U626" s="19" t="str">
        <f t="shared" si="150"/>
        <v/>
      </c>
      <c r="V626" s="5">
        <f t="shared" si="151"/>
        <v>45789</v>
      </c>
      <c r="W626" s="4">
        <v>45790</v>
      </c>
      <c r="X626" s="19">
        <f t="shared" si="152"/>
        <v>-1</v>
      </c>
      <c r="Y626" s="51">
        <f t="shared" si="153"/>
        <v>45814</v>
      </c>
      <c r="Z626" s="4">
        <v>45818</v>
      </c>
      <c r="AA626" s="49">
        <f t="shared" si="154"/>
        <v>-4</v>
      </c>
      <c r="AB626" s="51">
        <f t="shared" si="155"/>
        <v>45819</v>
      </c>
      <c r="AC626" s="49">
        <f t="shared" si="156"/>
        <v>1</v>
      </c>
      <c r="AD626" s="43">
        <f t="shared" si="157"/>
        <v>45819</v>
      </c>
      <c r="AF626" s="19" t="str">
        <f t="shared" si="158"/>
        <v/>
      </c>
      <c r="AG626" s="67"/>
      <c r="AH626" s="2"/>
      <c r="AI626" s="2"/>
      <c r="AJ626" s="2"/>
      <c r="AK626" s="2"/>
      <c r="AL626" s="2"/>
    </row>
    <row r="627" spans="1:38" ht="14.45">
      <c r="A627" s="156">
        <v>626</v>
      </c>
      <c r="B627" s="59">
        <v>45819</v>
      </c>
      <c r="C627" s="34" t="s">
        <v>1313</v>
      </c>
      <c r="D627" s="23" t="s">
        <v>1311</v>
      </c>
      <c r="E627" s="23">
        <v>33950</v>
      </c>
      <c r="F627" s="23" t="s">
        <v>1314</v>
      </c>
      <c r="G627" s="14" t="s">
        <v>35</v>
      </c>
      <c r="H627" s="23" t="s">
        <v>40</v>
      </c>
      <c r="I627" s="23" t="s">
        <v>62</v>
      </c>
      <c r="J627" s="97">
        <f t="shared" si="144"/>
        <v>45719</v>
      </c>
      <c r="L627" s="19" t="str">
        <f t="shared" si="145"/>
        <v/>
      </c>
      <c r="M627" s="5">
        <f t="shared" si="146"/>
        <v>45730</v>
      </c>
      <c r="O627" s="19" t="str">
        <f t="shared" si="147"/>
        <v/>
      </c>
      <c r="P627" s="5">
        <f t="shared" si="148"/>
        <v>45745</v>
      </c>
      <c r="R627" s="19" t="str">
        <f t="shared" si="149"/>
        <v/>
      </c>
      <c r="S627" s="5">
        <f t="shared" si="159"/>
        <v>45750</v>
      </c>
      <c r="U627" s="19" t="str">
        <f t="shared" si="150"/>
        <v/>
      </c>
      <c r="V627" s="5">
        <f t="shared" si="151"/>
        <v>45789</v>
      </c>
      <c r="W627" s="4">
        <v>45790</v>
      </c>
      <c r="X627" s="19">
        <f t="shared" si="152"/>
        <v>-1</v>
      </c>
      <c r="Y627" s="51">
        <f t="shared" si="153"/>
        <v>45814</v>
      </c>
      <c r="Z627" s="4">
        <v>45818</v>
      </c>
      <c r="AA627" s="49">
        <f t="shared" si="154"/>
        <v>-4</v>
      </c>
      <c r="AB627" s="51">
        <f t="shared" si="155"/>
        <v>45819</v>
      </c>
      <c r="AC627" s="49">
        <f t="shared" si="156"/>
        <v>1</v>
      </c>
      <c r="AD627" s="43">
        <f t="shared" si="157"/>
        <v>45819</v>
      </c>
      <c r="AF627" s="19" t="str">
        <f t="shared" si="158"/>
        <v/>
      </c>
      <c r="AG627" s="67"/>
      <c r="AH627" s="2"/>
      <c r="AI627" s="2"/>
      <c r="AJ627" s="2"/>
      <c r="AK627" s="2"/>
      <c r="AL627" s="2"/>
    </row>
    <row r="628" spans="1:38" ht="14.45">
      <c r="A628" s="156">
        <v>627</v>
      </c>
      <c r="B628" s="59">
        <v>45820</v>
      </c>
      <c r="C628" s="34" t="s">
        <v>1315</v>
      </c>
      <c r="D628" s="23" t="s">
        <v>1316</v>
      </c>
      <c r="E628" s="23">
        <v>4800</v>
      </c>
      <c r="F628" s="23" t="s">
        <v>1317</v>
      </c>
      <c r="G628" s="14" t="s">
        <v>35</v>
      </c>
      <c r="H628" s="23" t="s">
        <v>36</v>
      </c>
      <c r="I628" s="23" t="s">
        <v>62</v>
      </c>
      <c r="J628" s="97">
        <f t="shared" si="144"/>
        <v>45720</v>
      </c>
      <c r="L628" s="19" t="str">
        <f t="shared" si="145"/>
        <v/>
      </c>
      <c r="M628" s="5">
        <f t="shared" si="146"/>
        <v>45731</v>
      </c>
      <c r="O628" s="19" t="str">
        <f t="shared" si="147"/>
        <v/>
      </c>
      <c r="P628" s="5">
        <f t="shared" si="148"/>
        <v>45746</v>
      </c>
      <c r="R628" s="19" t="str">
        <f t="shared" si="149"/>
        <v/>
      </c>
      <c r="S628" s="5">
        <f t="shared" si="159"/>
        <v>45751</v>
      </c>
      <c r="U628" s="19" t="str">
        <f t="shared" si="150"/>
        <v/>
      </c>
      <c r="V628" s="5">
        <f t="shared" si="151"/>
        <v>45790</v>
      </c>
      <c r="X628" s="19" t="str">
        <f t="shared" si="152"/>
        <v/>
      </c>
      <c r="Y628" s="51">
        <f t="shared" si="153"/>
        <v>45815</v>
      </c>
      <c r="Z628" s="49"/>
      <c r="AA628" s="49" t="str">
        <f t="shared" si="154"/>
        <v/>
      </c>
      <c r="AB628" s="51">
        <f t="shared" si="155"/>
        <v>45820</v>
      </c>
      <c r="AC628" s="49" t="str">
        <f t="shared" si="156"/>
        <v/>
      </c>
      <c r="AD628" s="43">
        <f t="shared" si="157"/>
        <v>45820</v>
      </c>
      <c r="AF628" s="19" t="str">
        <f t="shared" si="158"/>
        <v/>
      </c>
      <c r="AG628" s="67"/>
      <c r="AH628" s="2"/>
      <c r="AI628" s="2"/>
      <c r="AJ628" s="2"/>
      <c r="AK628" s="2"/>
      <c r="AL628" s="2"/>
    </row>
    <row r="629" spans="1:38" ht="14.45">
      <c r="A629" s="156">
        <v>628</v>
      </c>
      <c r="B629" s="59">
        <v>45821</v>
      </c>
      <c r="C629" s="34" t="s">
        <v>1318</v>
      </c>
      <c r="D629" s="23" t="s">
        <v>1319</v>
      </c>
      <c r="E629" s="23">
        <v>18596.259999999998</v>
      </c>
      <c r="F629" s="23" t="s">
        <v>1320</v>
      </c>
      <c r="G629" s="23" t="s">
        <v>35</v>
      </c>
      <c r="H629" s="23" t="s">
        <v>36</v>
      </c>
      <c r="I629" s="23" t="s">
        <v>93</v>
      </c>
      <c r="J629" s="97">
        <f t="shared" si="144"/>
        <v>45721</v>
      </c>
      <c r="L629" s="19" t="str">
        <f t="shared" si="145"/>
        <v/>
      </c>
      <c r="M629" s="5">
        <f t="shared" si="146"/>
        <v>45732</v>
      </c>
      <c r="O629" s="19" t="str">
        <f t="shared" si="147"/>
        <v/>
      </c>
      <c r="P629" s="5">
        <f t="shared" si="148"/>
        <v>45747</v>
      </c>
      <c r="R629" s="19" t="str">
        <f t="shared" si="149"/>
        <v/>
      </c>
      <c r="S629" s="5">
        <f t="shared" si="159"/>
        <v>45752</v>
      </c>
      <c r="U629" s="19" t="str">
        <f t="shared" si="150"/>
        <v/>
      </c>
      <c r="V629" s="5">
        <f t="shared" si="151"/>
        <v>45791</v>
      </c>
      <c r="X629" s="19" t="str">
        <f t="shared" si="152"/>
        <v/>
      </c>
      <c r="Y629" s="51">
        <f t="shared" si="153"/>
        <v>45816</v>
      </c>
      <c r="Z629" s="49"/>
      <c r="AA629" s="49" t="str">
        <f t="shared" si="154"/>
        <v/>
      </c>
      <c r="AB629" s="51">
        <f t="shared" si="155"/>
        <v>45821</v>
      </c>
      <c r="AC629" s="49" t="str">
        <f t="shared" si="156"/>
        <v/>
      </c>
      <c r="AD629" s="43">
        <f t="shared" si="157"/>
        <v>45821</v>
      </c>
      <c r="AF629" s="19" t="str">
        <f t="shared" si="158"/>
        <v/>
      </c>
      <c r="AG629" s="67"/>
      <c r="AH629" s="2"/>
      <c r="AI629" s="2"/>
      <c r="AJ629" s="2"/>
      <c r="AK629" s="2"/>
      <c r="AL629" s="2"/>
    </row>
    <row r="630" spans="1:38" ht="14.45">
      <c r="A630" s="156">
        <v>629</v>
      </c>
      <c r="B630" s="59">
        <v>45821</v>
      </c>
      <c r="C630" s="34" t="s">
        <v>1321</v>
      </c>
      <c r="D630" s="23" t="s">
        <v>1322</v>
      </c>
      <c r="E630" s="23">
        <v>19383.86</v>
      </c>
      <c r="F630" s="23" t="s">
        <v>1323</v>
      </c>
      <c r="G630" s="14" t="s">
        <v>120</v>
      </c>
      <c r="H630" s="23" t="s">
        <v>40</v>
      </c>
      <c r="I630" s="23" t="s">
        <v>37</v>
      </c>
      <c r="J630" s="97">
        <f t="shared" si="144"/>
        <v>45721</v>
      </c>
      <c r="L630" s="19" t="str">
        <f t="shared" si="145"/>
        <v/>
      </c>
      <c r="M630" s="5">
        <f t="shared" si="146"/>
        <v>45732</v>
      </c>
      <c r="O630" s="19" t="str">
        <f t="shared" si="147"/>
        <v/>
      </c>
      <c r="P630" s="5">
        <f t="shared" si="148"/>
        <v>45747</v>
      </c>
      <c r="R630" s="19" t="str">
        <f t="shared" si="149"/>
        <v/>
      </c>
      <c r="S630" s="5">
        <f t="shared" si="159"/>
        <v>45752</v>
      </c>
      <c r="T630" s="4">
        <v>45763</v>
      </c>
      <c r="U630" s="19">
        <f t="shared" si="150"/>
        <v>-11</v>
      </c>
      <c r="V630" s="5">
        <f t="shared" si="151"/>
        <v>45791</v>
      </c>
      <c r="W630" s="4">
        <v>45813</v>
      </c>
      <c r="X630" s="19">
        <f t="shared" si="152"/>
        <v>-22</v>
      </c>
      <c r="Y630" s="51">
        <f t="shared" si="153"/>
        <v>45816</v>
      </c>
      <c r="Z630" s="49"/>
      <c r="AA630" s="49" t="str">
        <f t="shared" si="154"/>
        <v/>
      </c>
      <c r="AB630" s="51">
        <f t="shared" si="155"/>
        <v>45821</v>
      </c>
      <c r="AC630" s="49" t="str">
        <f t="shared" si="156"/>
        <v/>
      </c>
      <c r="AD630" s="43">
        <f t="shared" si="157"/>
        <v>45821</v>
      </c>
      <c r="AF630" s="19" t="str">
        <f t="shared" si="158"/>
        <v/>
      </c>
      <c r="AG630" s="67"/>
      <c r="AH630" s="2"/>
      <c r="AI630" s="2"/>
      <c r="AJ630" s="2"/>
      <c r="AK630" s="2"/>
      <c r="AL630" s="2"/>
    </row>
    <row r="631" spans="1:38" ht="14.45">
      <c r="A631" s="156">
        <v>630</v>
      </c>
      <c r="B631" s="59">
        <v>45821</v>
      </c>
      <c r="C631" s="34" t="s">
        <v>1324</v>
      </c>
      <c r="D631" s="23" t="s">
        <v>227</v>
      </c>
      <c r="E631" s="23">
        <v>22725.38</v>
      </c>
      <c r="F631" s="23" t="s">
        <v>1325</v>
      </c>
      <c r="G631" s="10" t="s">
        <v>120</v>
      </c>
      <c r="H631" s="23" t="s">
        <v>40</v>
      </c>
      <c r="I631" s="23" t="s">
        <v>52</v>
      </c>
      <c r="J631" s="97">
        <f t="shared" si="144"/>
        <v>45721</v>
      </c>
      <c r="L631" s="19" t="str">
        <f t="shared" si="145"/>
        <v/>
      </c>
      <c r="M631" s="5">
        <f t="shared" si="146"/>
        <v>45732</v>
      </c>
      <c r="O631" s="19" t="str">
        <f t="shared" si="147"/>
        <v/>
      </c>
      <c r="P631" s="5">
        <f t="shared" si="148"/>
        <v>45747</v>
      </c>
      <c r="R631" s="19" t="str">
        <f t="shared" si="149"/>
        <v/>
      </c>
      <c r="S631" s="5">
        <f t="shared" si="159"/>
        <v>45752</v>
      </c>
      <c r="T631" s="4">
        <v>45807</v>
      </c>
      <c r="U631" s="19">
        <f t="shared" si="150"/>
        <v>-55</v>
      </c>
      <c r="V631" s="5">
        <f t="shared" si="151"/>
        <v>45791</v>
      </c>
      <c r="W631" s="4">
        <v>45818</v>
      </c>
      <c r="X631" s="19">
        <f t="shared" si="152"/>
        <v>-27</v>
      </c>
      <c r="Y631" s="51">
        <f t="shared" si="153"/>
        <v>45816</v>
      </c>
      <c r="Z631" s="4">
        <v>45825</v>
      </c>
      <c r="AA631" s="49">
        <f t="shared" si="154"/>
        <v>-9</v>
      </c>
      <c r="AB631" s="51">
        <f t="shared" si="155"/>
        <v>45821</v>
      </c>
      <c r="AC631" s="49">
        <f t="shared" si="156"/>
        <v>-4</v>
      </c>
      <c r="AD631" s="43">
        <f t="shared" si="157"/>
        <v>45821</v>
      </c>
      <c r="AE631" s="4">
        <v>45825</v>
      </c>
      <c r="AF631" s="19">
        <f t="shared" si="158"/>
        <v>-4</v>
      </c>
      <c r="AG631" s="67"/>
      <c r="AH631" s="2"/>
      <c r="AI631" s="2"/>
      <c r="AJ631" s="2"/>
      <c r="AK631" s="2"/>
      <c r="AL631" s="2"/>
    </row>
    <row r="632" spans="1:38" ht="14.45">
      <c r="A632" s="156">
        <v>631</v>
      </c>
      <c r="B632" s="59">
        <v>45821</v>
      </c>
      <c r="C632" s="34" t="s">
        <v>1326</v>
      </c>
      <c r="D632" s="23" t="s">
        <v>1327</v>
      </c>
      <c r="E632" s="23">
        <v>19712.240000000002</v>
      </c>
      <c r="F632" s="23" t="s">
        <v>1328</v>
      </c>
      <c r="G632" s="14" t="s">
        <v>120</v>
      </c>
      <c r="H632" s="23" t="s">
        <v>40</v>
      </c>
      <c r="I632" s="23" t="s">
        <v>93</v>
      </c>
      <c r="J632" s="97">
        <f t="shared" si="144"/>
        <v>45721</v>
      </c>
      <c r="K632" s="4">
        <v>45729</v>
      </c>
      <c r="L632" s="19">
        <f t="shared" si="145"/>
        <v>-8</v>
      </c>
      <c r="M632" s="5">
        <f t="shared" si="146"/>
        <v>45732</v>
      </c>
      <c r="O632" s="19" t="str">
        <f t="shared" si="147"/>
        <v/>
      </c>
      <c r="P632" s="5">
        <f t="shared" si="148"/>
        <v>45747</v>
      </c>
      <c r="R632" s="19" t="str">
        <f t="shared" si="149"/>
        <v/>
      </c>
      <c r="S632" s="5">
        <f t="shared" si="159"/>
        <v>45752</v>
      </c>
      <c r="T632" s="4">
        <v>45729</v>
      </c>
      <c r="U632" s="19">
        <f t="shared" si="150"/>
        <v>23</v>
      </c>
      <c r="V632" s="5">
        <f t="shared" si="151"/>
        <v>45791</v>
      </c>
      <c r="W632" s="4">
        <v>45792</v>
      </c>
      <c r="X632" s="19">
        <f t="shared" si="152"/>
        <v>-1</v>
      </c>
      <c r="Y632" s="51">
        <f t="shared" si="153"/>
        <v>45816</v>
      </c>
      <c r="Z632" s="4">
        <v>45817</v>
      </c>
      <c r="AA632" s="49">
        <f t="shared" si="154"/>
        <v>-1</v>
      </c>
      <c r="AB632" s="51">
        <f t="shared" si="155"/>
        <v>45821</v>
      </c>
      <c r="AC632" s="49">
        <f t="shared" si="156"/>
        <v>4</v>
      </c>
      <c r="AD632" s="43">
        <f t="shared" si="157"/>
        <v>45821</v>
      </c>
      <c r="AE632" s="4">
        <v>45817</v>
      </c>
      <c r="AF632" s="19">
        <f t="shared" si="158"/>
        <v>4</v>
      </c>
      <c r="AG632" s="67"/>
      <c r="AH632" s="2"/>
      <c r="AI632" s="2"/>
      <c r="AJ632" s="2"/>
      <c r="AK632" s="2"/>
      <c r="AL632" s="2"/>
    </row>
    <row r="633" spans="1:38" ht="14.45">
      <c r="A633" s="156">
        <v>632</v>
      </c>
      <c r="B633" s="59">
        <v>45822</v>
      </c>
      <c r="C633" s="34" t="s">
        <v>1329</v>
      </c>
      <c r="D633" s="23" t="s">
        <v>38</v>
      </c>
      <c r="E633" s="23">
        <v>936.97</v>
      </c>
      <c r="F633" s="23" t="s">
        <v>1330</v>
      </c>
      <c r="G633" s="14" t="s">
        <v>190</v>
      </c>
      <c r="H633" s="23" t="s">
        <v>40</v>
      </c>
      <c r="I633" s="23" t="s">
        <v>41</v>
      </c>
      <c r="J633" s="97">
        <f t="shared" si="144"/>
        <v>45722</v>
      </c>
      <c r="L633" s="19" t="str">
        <f t="shared" si="145"/>
        <v/>
      </c>
      <c r="M633" s="5">
        <f t="shared" si="146"/>
        <v>45733</v>
      </c>
      <c r="N633" s="4">
        <v>45804</v>
      </c>
      <c r="O633" s="19">
        <f t="shared" si="147"/>
        <v>-71</v>
      </c>
      <c r="P633" s="5">
        <f t="shared" si="148"/>
        <v>45748</v>
      </c>
      <c r="Q633" s="4">
        <v>45806</v>
      </c>
      <c r="R633" s="19">
        <f t="shared" si="149"/>
        <v>-58</v>
      </c>
      <c r="S633" s="5">
        <f t="shared" si="159"/>
        <v>45753</v>
      </c>
      <c r="T633" s="4">
        <v>45809</v>
      </c>
      <c r="U633" s="19">
        <f t="shared" si="150"/>
        <v>-56</v>
      </c>
      <c r="V633" s="5">
        <f t="shared" si="151"/>
        <v>45792</v>
      </c>
      <c r="W633" s="4">
        <v>45809</v>
      </c>
      <c r="X633" s="19">
        <f t="shared" si="152"/>
        <v>-17</v>
      </c>
      <c r="Y633" s="51">
        <f t="shared" si="153"/>
        <v>45817</v>
      </c>
      <c r="Z633" s="4">
        <v>45831</v>
      </c>
      <c r="AA633" s="49">
        <f t="shared" si="154"/>
        <v>-14</v>
      </c>
      <c r="AB633" s="51">
        <f t="shared" si="155"/>
        <v>45822</v>
      </c>
      <c r="AC633" s="49">
        <f t="shared" si="156"/>
        <v>-9</v>
      </c>
      <c r="AD633" s="43">
        <f t="shared" si="157"/>
        <v>45822</v>
      </c>
      <c r="AE633" s="4">
        <v>45831</v>
      </c>
      <c r="AF633" s="19">
        <f t="shared" si="158"/>
        <v>-9</v>
      </c>
      <c r="AG633" s="67"/>
      <c r="AH633" s="2"/>
      <c r="AI633" s="2"/>
      <c r="AJ633" s="2"/>
      <c r="AK633" s="2"/>
      <c r="AL633" s="2"/>
    </row>
    <row r="634" spans="1:38" ht="14.45">
      <c r="A634" s="156">
        <v>633</v>
      </c>
      <c r="B634" s="59">
        <v>45822</v>
      </c>
      <c r="C634" s="34" t="s">
        <v>1331</v>
      </c>
      <c r="D634" s="23" t="s">
        <v>38</v>
      </c>
      <c r="E634" s="23">
        <v>5189.49</v>
      </c>
      <c r="F634" s="23" t="s">
        <v>1332</v>
      </c>
      <c r="G634" s="14" t="s">
        <v>190</v>
      </c>
      <c r="H634" s="23" t="s">
        <v>40</v>
      </c>
      <c r="I634" s="23" t="s">
        <v>41</v>
      </c>
      <c r="J634" s="97">
        <f t="shared" si="144"/>
        <v>45722</v>
      </c>
      <c r="L634" s="19" t="str">
        <f t="shared" si="145"/>
        <v/>
      </c>
      <c r="M634" s="5">
        <f t="shared" si="146"/>
        <v>45733</v>
      </c>
      <c r="N634" s="4">
        <v>45804</v>
      </c>
      <c r="O634" s="19">
        <f t="shared" si="147"/>
        <v>-71</v>
      </c>
      <c r="P634" s="5">
        <f t="shared" si="148"/>
        <v>45748</v>
      </c>
      <c r="Q634" s="4">
        <v>45806</v>
      </c>
      <c r="R634" s="19">
        <f t="shared" si="149"/>
        <v>-58</v>
      </c>
      <c r="S634" s="5">
        <f t="shared" si="159"/>
        <v>45753</v>
      </c>
      <c r="T634" s="4">
        <v>45809</v>
      </c>
      <c r="U634" s="19">
        <f t="shared" si="150"/>
        <v>-56</v>
      </c>
      <c r="V634" s="5">
        <f t="shared" si="151"/>
        <v>45792</v>
      </c>
      <c r="W634" s="4">
        <v>45809</v>
      </c>
      <c r="X634" s="19">
        <f t="shared" si="152"/>
        <v>-17</v>
      </c>
      <c r="Y634" s="51">
        <f t="shared" si="153"/>
        <v>45817</v>
      </c>
      <c r="Z634" s="4">
        <v>45831</v>
      </c>
      <c r="AA634" s="49">
        <f t="shared" si="154"/>
        <v>-14</v>
      </c>
      <c r="AB634" s="51">
        <f t="shared" si="155"/>
        <v>45822</v>
      </c>
      <c r="AC634" s="49">
        <f t="shared" si="156"/>
        <v>-9</v>
      </c>
      <c r="AD634" s="43">
        <f t="shared" si="157"/>
        <v>45822</v>
      </c>
      <c r="AE634" s="4">
        <v>45831</v>
      </c>
      <c r="AF634" s="19">
        <f t="shared" si="158"/>
        <v>-9</v>
      </c>
      <c r="AG634" s="67"/>
      <c r="AH634" s="2"/>
      <c r="AI634" s="2"/>
      <c r="AJ634" s="2"/>
      <c r="AK634" s="2"/>
      <c r="AL634" s="2"/>
    </row>
    <row r="635" spans="1:38" ht="14.45">
      <c r="A635" s="156">
        <v>634</v>
      </c>
      <c r="B635" s="59">
        <v>45822</v>
      </c>
      <c r="C635" s="34" t="s">
        <v>1333</v>
      </c>
      <c r="D635" s="23" t="s">
        <v>38</v>
      </c>
      <c r="E635" s="23">
        <v>313.72000000000003</v>
      </c>
      <c r="F635" s="23" t="s">
        <v>1334</v>
      </c>
      <c r="G635" s="14" t="s">
        <v>190</v>
      </c>
      <c r="H635" s="23" t="s">
        <v>40</v>
      </c>
      <c r="I635" s="23" t="s">
        <v>41</v>
      </c>
      <c r="J635" s="97">
        <f t="shared" si="144"/>
        <v>45722</v>
      </c>
      <c r="L635" s="19" t="str">
        <f t="shared" si="145"/>
        <v/>
      </c>
      <c r="M635" s="5">
        <f t="shared" si="146"/>
        <v>45733</v>
      </c>
      <c r="N635" s="4">
        <v>45804</v>
      </c>
      <c r="O635" s="19">
        <f t="shared" si="147"/>
        <v>-71</v>
      </c>
      <c r="P635" s="5">
        <f t="shared" si="148"/>
        <v>45748</v>
      </c>
      <c r="Q635" s="4">
        <v>45806</v>
      </c>
      <c r="R635" s="19">
        <f t="shared" si="149"/>
        <v>-58</v>
      </c>
      <c r="S635" s="5">
        <f t="shared" si="159"/>
        <v>45753</v>
      </c>
      <c r="T635" s="4">
        <v>45809</v>
      </c>
      <c r="U635" s="19">
        <f t="shared" si="150"/>
        <v>-56</v>
      </c>
      <c r="V635" s="5">
        <f t="shared" si="151"/>
        <v>45792</v>
      </c>
      <c r="W635" s="4">
        <v>45809</v>
      </c>
      <c r="X635" s="19">
        <f t="shared" si="152"/>
        <v>-17</v>
      </c>
      <c r="Y635" s="51">
        <f t="shared" si="153"/>
        <v>45817</v>
      </c>
      <c r="Z635" s="4">
        <v>45831</v>
      </c>
      <c r="AA635" s="49">
        <f t="shared" si="154"/>
        <v>-14</v>
      </c>
      <c r="AB635" s="51">
        <f t="shared" si="155"/>
        <v>45822</v>
      </c>
      <c r="AC635" s="49">
        <f t="shared" si="156"/>
        <v>-9</v>
      </c>
      <c r="AD635" s="43">
        <f t="shared" si="157"/>
        <v>45822</v>
      </c>
      <c r="AE635" s="4">
        <v>45831</v>
      </c>
      <c r="AF635" s="19">
        <f t="shared" si="158"/>
        <v>-9</v>
      </c>
      <c r="AG635" s="67"/>
      <c r="AH635" s="2"/>
      <c r="AI635" s="2"/>
      <c r="AJ635" s="2"/>
      <c r="AK635" s="2"/>
      <c r="AL635" s="2"/>
    </row>
    <row r="636" spans="1:38" ht="14.45">
      <c r="A636" s="156">
        <v>635</v>
      </c>
      <c r="B636" s="59">
        <v>45822</v>
      </c>
      <c r="C636" s="34" t="s">
        <v>1335</v>
      </c>
      <c r="D636" s="23" t="s">
        <v>1336</v>
      </c>
      <c r="E636" s="23">
        <v>51163.86</v>
      </c>
      <c r="F636" s="23" t="s">
        <v>1337</v>
      </c>
      <c r="G636" s="14" t="s">
        <v>120</v>
      </c>
      <c r="H636" s="23" t="s">
        <v>40</v>
      </c>
      <c r="I636" s="23" t="s">
        <v>93</v>
      </c>
      <c r="J636" s="97">
        <f t="shared" si="144"/>
        <v>45722</v>
      </c>
      <c r="L636" s="19" t="str">
        <f t="shared" si="145"/>
        <v/>
      </c>
      <c r="M636" s="5">
        <f t="shared" si="146"/>
        <v>45733</v>
      </c>
      <c r="O636" s="19" t="str">
        <f t="shared" si="147"/>
        <v/>
      </c>
      <c r="P636" s="5">
        <f t="shared" si="148"/>
        <v>45748</v>
      </c>
      <c r="R636" s="19" t="str">
        <f t="shared" si="149"/>
        <v/>
      </c>
      <c r="S636" s="5">
        <f t="shared" si="159"/>
        <v>45753</v>
      </c>
      <c r="T636" s="4">
        <v>45763</v>
      </c>
      <c r="U636" s="19">
        <f t="shared" si="150"/>
        <v>-10</v>
      </c>
      <c r="V636" s="5">
        <f t="shared" si="151"/>
        <v>45792</v>
      </c>
      <c r="W636" s="4">
        <v>45793</v>
      </c>
      <c r="X636" s="19">
        <f t="shared" si="152"/>
        <v>-1</v>
      </c>
      <c r="Y636" s="51">
        <f t="shared" si="153"/>
        <v>45817</v>
      </c>
      <c r="Z636" s="4">
        <v>45828</v>
      </c>
      <c r="AA636" s="49">
        <f t="shared" si="154"/>
        <v>-11</v>
      </c>
      <c r="AB636" s="51">
        <f t="shared" si="155"/>
        <v>45822</v>
      </c>
      <c r="AC636" s="49">
        <f t="shared" si="156"/>
        <v>-6</v>
      </c>
      <c r="AD636" s="43">
        <f t="shared" si="157"/>
        <v>45822</v>
      </c>
      <c r="AE636" s="4">
        <v>45828</v>
      </c>
      <c r="AF636" s="19">
        <f t="shared" si="158"/>
        <v>-6</v>
      </c>
      <c r="AG636" s="67"/>
      <c r="AH636" s="2"/>
      <c r="AI636" s="2"/>
      <c r="AJ636" s="2"/>
      <c r="AK636" s="2"/>
      <c r="AL636" s="2"/>
    </row>
    <row r="637" spans="1:38" ht="14.45">
      <c r="A637" s="156">
        <v>636</v>
      </c>
      <c r="B637" s="59">
        <v>45822</v>
      </c>
      <c r="C637" s="34" t="s">
        <v>1338</v>
      </c>
      <c r="D637" s="23" t="s">
        <v>1339</v>
      </c>
      <c r="E637" s="23">
        <v>39789.81</v>
      </c>
      <c r="F637" s="23" t="s">
        <v>1340</v>
      </c>
      <c r="G637" s="14" t="s">
        <v>46</v>
      </c>
      <c r="H637" s="23" t="s">
        <v>40</v>
      </c>
      <c r="I637" s="23" t="s">
        <v>93</v>
      </c>
      <c r="J637" s="97">
        <f t="shared" si="144"/>
        <v>45722</v>
      </c>
      <c r="K637" s="4">
        <v>45715</v>
      </c>
      <c r="L637" s="19">
        <f t="shared" si="145"/>
        <v>7</v>
      </c>
      <c r="M637" s="5">
        <f t="shared" si="146"/>
        <v>45733</v>
      </c>
      <c r="O637" s="19" t="str">
        <f t="shared" si="147"/>
        <v/>
      </c>
      <c r="P637" s="5">
        <f t="shared" si="148"/>
        <v>45748</v>
      </c>
      <c r="R637" s="19" t="str">
        <f t="shared" si="149"/>
        <v/>
      </c>
      <c r="S637" s="5">
        <f t="shared" si="159"/>
        <v>45753</v>
      </c>
      <c r="T637" s="4">
        <v>45789</v>
      </c>
      <c r="U637" s="19">
        <f t="shared" si="150"/>
        <v>-36</v>
      </c>
      <c r="V637" s="5">
        <f t="shared" si="151"/>
        <v>45792</v>
      </c>
      <c r="W637" s="4">
        <v>45806</v>
      </c>
      <c r="X637" s="19">
        <f t="shared" si="152"/>
        <v>-14</v>
      </c>
      <c r="Y637" s="51">
        <f t="shared" si="153"/>
        <v>45817</v>
      </c>
      <c r="Z637" s="4">
        <v>45821</v>
      </c>
      <c r="AA637" s="49">
        <f t="shared" si="154"/>
        <v>-4</v>
      </c>
      <c r="AB637" s="51">
        <f t="shared" si="155"/>
        <v>45822</v>
      </c>
      <c r="AC637" s="49">
        <f t="shared" si="156"/>
        <v>1</v>
      </c>
      <c r="AD637" s="43">
        <f t="shared" si="157"/>
        <v>45822</v>
      </c>
      <c r="AE637" s="4">
        <v>45821</v>
      </c>
      <c r="AF637" s="19">
        <f t="shared" si="158"/>
        <v>1</v>
      </c>
      <c r="AG637" s="67"/>
      <c r="AH637" s="2"/>
      <c r="AI637" s="2"/>
      <c r="AJ637" s="2"/>
      <c r="AK637" s="2"/>
      <c r="AL637" s="2"/>
    </row>
    <row r="638" spans="1:38" ht="14.45">
      <c r="A638" s="156">
        <v>637</v>
      </c>
      <c r="B638" s="59">
        <v>45822</v>
      </c>
      <c r="C638" s="34" t="s">
        <v>1341</v>
      </c>
      <c r="D638" s="23" t="s">
        <v>1339</v>
      </c>
      <c r="E638" s="23">
        <v>950</v>
      </c>
      <c r="F638" s="23" t="s">
        <v>1342</v>
      </c>
      <c r="G638" s="14" t="s">
        <v>46</v>
      </c>
      <c r="H638" s="23" t="s">
        <v>40</v>
      </c>
      <c r="I638" s="23" t="s">
        <v>41</v>
      </c>
      <c r="J638" s="97">
        <f t="shared" si="144"/>
        <v>45722</v>
      </c>
      <c r="K638" s="4">
        <v>45715</v>
      </c>
      <c r="L638" s="19">
        <f t="shared" si="145"/>
        <v>7</v>
      </c>
      <c r="M638" s="5">
        <f t="shared" si="146"/>
        <v>45733</v>
      </c>
      <c r="O638" s="19" t="str">
        <f t="shared" si="147"/>
        <v/>
      </c>
      <c r="P638" s="5">
        <f t="shared" si="148"/>
        <v>45748</v>
      </c>
      <c r="R638" s="19" t="str">
        <f t="shared" si="149"/>
        <v/>
      </c>
      <c r="S638" s="5">
        <f t="shared" si="159"/>
        <v>45753</v>
      </c>
      <c r="T638" s="4">
        <v>45789</v>
      </c>
      <c r="U638" s="19">
        <f t="shared" si="150"/>
        <v>-36</v>
      </c>
      <c r="V638" s="5">
        <f t="shared" si="151"/>
        <v>45792</v>
      </c>
      <c r="W638" s="4">
        <v>45803</v>
      </c>
      <c r="X638" s="19">
        <f t="shared" si="152"/>
        <v>-11</v>
      </c>
      <c r="Y638" s="51">
        <f t="shared" si="153"/>
        <v>45817</v>
      </c>
      <c r="Z638" s="4">
        <v>45821</v>
      </c>
      <c r="AA638" s="49">
        <f t="shared" si="154"/>
        <v>-4</v>
      </c>
      <c r="AB638" s="51">
        <f t="shared" si="155"/>
        <v>45822</v>
      </c>
      <c r="AC638" s="49">
        <f t="shared" si="156"/>
        <v>1</v>
      </c>
      <c r="AD638" s="43">
        <f t="shared" si="157"/>
        <v>45822</v>
      </c>
      <c r="AE638" s="4">
        <v>45821</v>
      </c>
      <c r="AF638" s="19">
        <f t="shared" si="158"/>
        <v>1</v>
      </c>
      <c r="AG638" s="67"/>
      <c r="AH638" s="2"/>
      <c r="AI638" s="2"/>
      <c r="AJ638" s="2"/>
      <c r="AK638" s="2"/>
      <c r="AL638" s="2"/>
    </row>
    <row r="639" spans="1:38" ht="14.45">
      <c r="A639" s="156">
        <v>638</v>
      </c>
      <c r="B639" s="59">
        <v>45823</v>
      </c>
      <c r="C639" s="34" t="s">
        <v>1343</v>
      </c>
      <c r="D639" s="23" t="s">
        <v>1344</v>
      </c>
      <c r="E639" s="23">
        <v>1582.3</v>
      </c>
      <c r="F639" s="23" t="s">
        <v>1345</v>
      </c>
      <c r="G639" s="14" t="s">
        <v>35</v>
      </c>
      <c r="H639" s="23" t="s">
        <v>36</v>
      </c>
      <c r="I639" s="23" t="s">
        <v>93</v>
      </c>
      <c r="J639" s="97">
        <f t="shared" si="144"/>
        <v>45723</v>
      </c>
      <c r="L639" s="19" t="str">
        <f t="shared" si="145"/>
        <v/>
      </c>
      <c r="M639" s="5">
        <f t="shared" si="146"/>
        <v>45734</v>
      </c>
      <c r="O639" s="19" t="str">
        <f t="shared" si="147"/>
        <v/>
      </c>
      <c r="P639" s="5">
        <f t="shared" si="148"/>
        <v>45749</v>
      </c>
      <c r="R639" s="19" t="str">
        <f t="shared" si="149"/>
        <v/>
      </c>
      <c r="S639" s="5">
        <f t="shared" si="159"/>
        <v>45754</v>
      </c>
      <c r="U639" s="19" t="str">
        <f t="shared" si="150"/>
        <v/>
      </c>
      <c r="V639" s="5">
        <f t="shared" si="151"/>
        <v>45793</v>
      </c>
      <c r="X639" s="19" t="str">
        <f t="shared" si="152"/>
        <v/>
      </c>
      <c r="Y639" s="51">
        <f t="shared" si="153"/>
        <v>45818</v>
      </c>
      <c r="AA639" s="49" t="str">
        <f t="shared" si="154"/>
        <v/>
      </c>
      <c r="AB639" s="51">
        <f t="shared" si="155"/>
        <v>45823</v>
      </c>
      <c r="AC639" s="49" t="str">
        <f t="shared" si="156"/>
        <v/>
      </c>
      <c r="AD639" s="43">
        <f t="shared" si="157"/>
        <v>45823</v>
      </c>
      <c r="AF639" s="19" t="str">
        <f t="shared" si="158"/>
        <v/>
      </c>
      <c r="AG639" s="67"/>
      <c r="AH639" s="2"/>
      <c r="AI639" s="2"/>
      <c r="AJ639" s="2"/>
      <c r="AK639" s="2"/>
      <c r="AL639" s="2"/>
    </row>
    <row r="640" spans="1:38" ht="14.45">
      <c r="A640" s="156">
        <v>639</v>
      </c>
      <c r="B640" s="59">
        <v>45823</v>
      </c>
      <c r="C640" s="34" t="s">
        <v>1346</v>
      </c>
      <c r="D640" s="23" t="s">
        <v>1347</v>
      </c>
      <c r="E640" s="23">
        <v>5503.03</v>
      </c>
      <c r="F640" s="23" t="s">
        <v>1348</v>
      </c>
      <c r="G640" s="14" t="s">
        <v>190</v>
      </c>
      <c r="H640" s="23" t="s">
        <v>40</v>
      </c>
      <c r="I640" s="23" t="s">
        <v>93</v>
      </c>
      <c r="J640" s="97">
        <f t="shared" si="144"/>
        <v>45723</v>
      </c>
      <c r="K640" s="4">
        <v>45729</v>
      </c>
      <c r="L640" s="19">
        <f t="shared" si="145"/>
        <v>-6</v>
      </c>
      <c r="M640" s="5">
        <f t="shared" si="146"/>
        <v>45734</v>
      </c>
      <c r="O640" s="19" t="str">
        <f t="shared" si="147"/>
        <v/>
      </c>
      <c r="P640" s="5">
        <f t="shared" si="148"/>
        <v>45749</v>
      </c>
      <c r="R640" s="19" t="str">
        <f t="shared" si="149"/>
        <v/>
      </c>
      <c r="S640" s="5">
        <f t="shared" si="159"/>
        <v>45754</v>
      </c>
      <c r="T640" s="4">
        <v>45729</v>
      </c>
      <c r="U640" s="19">
        <f t="shared" si="150"/>
        <v>25</v>
      </c>
      <c r="V640" s="5">
        <f t="shared" si="151"/>
        <v>45793</v>
      </c>
      <c r="W640" s="4">
        <v>45813</v>
      </c>
      <c r="X640" s="19">
        <f t="shared" si="152"/>
        <v>-20</v>
      </c>
      <c r="Y640" s="51">
        <f t="shared" si="153"/>
        <v>45818</v>
      </c>
      <c r="Z640" s="4">
        <v>45827</v>
      </c>
      <c r="AA640" s="49">
        <f t="shared" si="154"/>
        <v>-9</v>
      </c>
      <c r="AB640" s="51">
        <f t="shared" si="155"/>
        <v>45823</v>
      </c>
      <c r="AC640" s="49">
        <f t="shared" si="156"/>
        <v>-4</v>
      </c>
      <c r="AD640" s="43">
        <f t="shared" si="157"/>
        <v>45823</v>
      </c>
      <c r="AE640" s="4">
        <v>45827</v>
      </c>
      <c r="AF640" s="19">
        <f t="shared" si="158"/>
        <v>-4</v>
      </c>
      <c r="AG640" s="67"/>
      <c r="AH640" s="2"/>
      <c r="AI640" s="2"/>
      <c r="AJ640" s="2"/>
      <c r="AK640" s="2"/>
      <c r="AL640" s="2"/>
    </row>
    <row r="641" spans="1:38" ht="14.45">
      <c r="A641" s="156">
        <v>640</v>
      </c>
      <c r="B641" s="59">
        <v>45824</v>
      </c>
      <c r="C641" s="34" t="s">
        <v>1349</v>
      </c>
      <c r="D641" s="23" t="s">
        <v>77</v>
      </c>
      <c r="E641" s="23">
        <v>300338.36</v>
      </c>
      <c r="F641" s="23" t="s">
        <v>428</v>
      </c>
      <c r="G641" s="14" t="s">
        <v>51</v>
      </c>
      <c r="H641" s="23" t="s">
        <v>40</v>
      </c>
      <c r="I641" s="23" t="s">
        <v>428</v>
      </c>
      <c r="J641" s="97">
        <f t="shared" si="144"/>
        <v>45724</v>
      </c>
      <c r="L641" s="19" t="str">
        <f t="shared" si="145"/>
        <v/>
      </c>
      <c r="M641" s="5">
        <f t="shared" si="146"/>
        <v>45735</v>
      </c>
      <c r="N641" s="4">
        <v>45741</v>
      </c>
      <c r="O641" s="19">
        <f t="shared" si="147"/>
        <v>-6</v>
      </c>
      <c r="P641" s="5">
        <f t="shared" si="148"/>
        <v>45750</v>
      </c>
      <c r="R641" s="19" t="str">
        <f t="shared" si="149"/>
        <v/>
      </c>
      <c r="S641" s="5">
        <f t="shared" si="159"/>
        <v>45755</v>
      </c>
      <c r="T641" s="4">
        <v>45756</v>
      </c>
      <c r="U641" s="19">
        <f t="shared" si="150"/>
        <v>-1</v>
      </c>
      <c r="V641" s="5">
        <f t="shared" si="151"/>
        <v>45794</v>
      </c>
      <c r="W641" s="4">
        <v>45803</v>
      </c>
      <c r="X641" s="19">
        <f t="shared" si="152"/>
        <v>-9</v>
      </c>
      <c r="Y641" s="51">
        <f t="shared" si="153"/>
        <v>45819</v>
      </c>
      <c r="Z641" s="4">
        <v>45824</v>
      </c>
      <c r="AA641" s="49">
        <f t="shared" si="154"/>
        <v>-5</v>
      </c>
      <c r="AB641" s="51">
        <f t="shared" si="155"/>
        <v>45824</v>
      </c>
      <c r="AC641" s="49">
        <f t="shared" si="156"/>
        <v>0</v>
      </c>
      <c r="AD641" s="43">
        <f t="shared" si="157"/>
        <v>45824</v>
      </c>
      <c r="AE641" s="4">
        <v>45868</v>
      </c>
      <c r="AF641" s="19">
        <f t="shared" si="158"/>
        <v>-44</v>
      </c>
      <c r="AG641" s="67"/>
      <c r="AH641" s="2"/>
      <c r="AI641" s="2"/>
      <c r="AJ641" s="2"/>
      <c r="AK641" s="2"/>
      <c r="AL641" s="2"/>
    </row>
    <row r="642" spans="1:38" ht="14.45">
      <c r="A642" s="156">
        <v>641</v>
      </c>
      <c r="B642" s="59">
        <v>45824</v>
      </c>
      <c r="C642" s="34" t="s">
        <v>1350</v>
      </c>
      <c r="D642" s="23" t="s">
        <v>77</v>
      </c>
      <c r="E642" s="23">
        <v>200225.57</v>
      </c>
      <c r="F642" s="23" t="s">
        <v>1351</v>
      </c>
      <c r="G642" s="14" t="s">
        <v>51</v>
      </c>
      <c r="H642" s="23" t="s">
        <v>40</v>
      </c>
      <c r="I642" s="23" t="s">
        <v>428</v>
      </c>
      <c r="J642" s="97">
        <f t="shared" ref="J642:J705" si="160">B642-100</f>
        <v>45724</v>
      </c>
      <c r="L642" s="19" t="str">
        <f t="shared" ref="L642:L674" si="161">IF(OR(J642="", K642=""), "", J642-K642)</f>
        <v/>
      </c>
      <c r="M642" s="5">
        <f t="shared" ref="M642:M705" si="162">B642-89</f>
        <v>45735</v>
      </c>
      <c r="N642" s="4">
        <v>45741</v>
      </c>
      <c r="O642" s="19">
        <f t="shared" ref="O642:O705" si="163">IF(OR(M642="", N642=""), "", M642-N642)</f>
        <v>-6</v>
      </c>
      <c r="P642" s="5">
        <f t="shared" ref="P642:P705" si="164">B642-74</f>
        <v>45750</v>
      </c>
      <c r="R642" s="19" t="str">
        <f t="shared" ref="R642:R705" si="165">IF(OR(P642="", Q642=""), "", P642-Q642)</f>
        <v/>
      </c>
      <c r="S642" s="5">
        <f t="shared" si="159"/>
        <v>45755</v>
      </c>
      <c r="T642" s="4">
        <v>45756</v>
      </c>
      <c r="U642" s="19">
        <f t="shared" ref="U642:U705" si="166">IF(OR(S642="", T642=""), "", S642-T642)</f>
        <v>-1</v>
      </c>
      <c r="V642" s="5">
        <f t="shared" ref="V642:V705" si="167">B642-30</f>
        <v>45794</v>
      </c>
      <c r="W642" s="4">
        <v>45803</v>
      </c>
      <c r="X642" s="19">
        <f t="shared" ref="X642:X705" si="168">IF(OR(V642="", W642=""), "", V642-W642)</f>
        <v>-9</v>
      </c>
      <c r="Y642" s="51">
        <f t="shared" ref="Y642:Y690" si="169">B642-5</f>
        <v>45819</v>
      </c>
      <c r="Z642" s="4">
        <v>45824</v>
      </c>
      <c r="AA642" s="49">
        <f t="shared" ref="AA642:AA705" si="170">IF(OR(Y642="", Z642=""), "", Y642-Z642)</f>
        <v>-5</v>
      </c>
      <c r="AB642" s="51">
        <f t="shared" ref="AB642:AB705" si="171">IF(B642&lt;&gt;"", B642, "")</f>
        <v>45824</v>
      </c>
      <c r="AC642" s="49">
        <f t="shared" ref="AC642:AC705" si="172">IF(OR(AB642="", Z642=""), "", AB642-Z642)</f>
        <v>0</v>
      </c>
      <c r="AD642" s="43">
        <f t="shared" ref="AD642:AD705" si="173">IF(B642&lt;&gt;"", B642, "")</f>
        <v>45824</v>
      </c>
      <c r="AE642" s="4">
        <v>45868</v>
      </c>
      <c r="AF642" s="19">
        <f t="shared" ref="AF642:AF705" si="174">IF(OR(AD642="", AE642=""), "", AD642-AE642)</f>
        <v>-44</v>
      </c>
      <c r="AG642" s="67"/>
      <c r="AH642" s="2"/>
      <c r="AI642" s="2"/>
      <c r="AJ642" s="2"/>
      <c r="AK642" s="2"/>
      <c r="AL642" s="2"/>
    </row>
    <row r="643" spans="1:38" ht="14.45">
      <c r="A643" s="156">
        <v>642</v>
      </c>
      <c r="B643" s="59">
        <v>45824</v>
      </c>
      <c r="C643" s="34" t="s">
        <v>1352</v>
      </c>
      <c r="D643" s="23" t="s">
        <v>77</v>
      </c>
      <c r="E643" s="23">
        <v>150169.18</v>
      </c>
      <c r="F643" s="23" t="s">
        <v>1353</v>
      </c>
      <c r="G643" s="14" t="s">
        <v>51</v>
      </c>
      <c r="H643" s="23" t="s">
        <v>40</v>
      </c>
      <c r="I643" s="23" t="s">
        <v>428</v>
      </c>
      <c r="J643" s="97">
        <f t="shared" si="160"/>
        <v>45724</v>
      </c>
      <c r="L643" s="19" t="str">
        <f t="shared" si="161"/>
        <v/>
      </c>
      <c r="M643" s="5">
        <f t="shared" si="162"/>
        <v>45735</v>
      </c>
      <c r="N643" s="4">
        <v>45741</v>
      </c>
      <c r="O643" s="19">
        <f t="shared" si="163"/>
        <v>-6</v>
      </c>
      <c r="P643" s="5">
        <f t="shared" si="164"/>
        <v>45750</v>
      </c>
      <c r="R643" s="19" t="str">
        <f t="shared" si="165"/>
        <v/>
      </c>
      <c r="S643" s="5">
        <f t="shared" si="159"/>
        <v>45755</v>
      </c>
      <c r="T643" s="4">
        <v>45756</v>
      </c>
      <c r="U643" s="19">
        <f t="shared" si="166"/>
        <v>-1</v>
      </c>
      <c r="V643" s="5">
        <f t="shared" si="167"/>
        <v>45794</v>
      </c>
      <c r="W643" s="4">
        <v>45803</v>
      </c>
      <c r="X643" s="19">
        <f t="shared" si="168"/>
        <v>-9</v>
      </c>
      <c r="Y643" s="51">
        <f t="shared" si="169"/>
        <v>45819</v>
      </c>
      <c r="Z643" s="4">
        <v>45824</v>
      </c>
      <c r="AA643" s="49">
        <f t="shared" si="170"/>
        <v>-5</v>
      </c>
      <c r="AB643" s="51">
        <f t="shared" si="171"/>
        <v>45824</v>
      </c>
      <c r="AC643" s="49">
        <f t="shared" si="172"/>
        <v>0</v>
      </c>
      <c r="AD643" s="43">
        <f t="shared" si="173"/>
        <v>45824</v>
      </c>
      <c r="AE643" s="4">
        <v>45868</v>
      </c>
      <c r="AF643" s="19">
        <f t="shared" si="174"/>
        <v>-44</v>
      </c>
      <c r="AG643" s="67"/>
      <c r="AH643" s="2"/>
      <c r="AI643" s="2"/>
      <c r="AJ643" s="2"/>
      <c r="AK643" s="2"/>
      <c r="AL643" s="2"/>
    </row>
    <row r="644" spans="1:38" ht="14.45">
      <c r="A644" s="156">
        <v>643</v>
      </c>
      <c r="B644" s="59">
        <v>45824</v>
      </c>
      <c r="C644" s="34" t="s">
        <v>1354</v>
      </c>
      <c r="D644" s="23" t="s">
        <v>77</v>
      </c>
      <c r="E644" s="23">
        <v>150169.18</v>
      </c>
      <c r="F644" s="23" t="s">
        <v>1353</v>
      </c>
      <c r="G644" s="14" t="s">
        <v>51</v>
      </c>
      <c r="H644" s="23" t="s">
        <v>40</v>
      </c>
      <c r="I644" s="23" t="s">
        <v>428</v>
      </c>
      <c r="J644" s="97">
        <f t="shared" si="160"/>
        <v>45724</v>
      </c>
      <c r="L644" s="19" t="str">
        <f t="shared" si="161"/>
        <v/>
      </c>
      <c r="M644" s="5">
        <f t="shared" si="162"/>
        <v>45735</v>
      </c>
      <c r="N644" s="4">
        <v>45741</v>
      </c>
      <c r="O644" s="19">
        <f t="shared" si="163"/>
        <v>-6</v>
      </c>
      <c r="P644" s="5">
        <f t="shared" si="164"/>
        <v>45750</v>
      </c>
      <c r="R644" s="19" t="str">
        <f t="shared" si="165"/>
        <v/>
      </c>
      <c r="S644" s="5">
        <f t="shared" si="159"/>
        <v>45755</v>
      </c>
      <c r="T644" s="4">
        <v>45756</v>
      </c>
      <c r="U644" s="19">
        <f t="shared" si="166"/>
        <v>-1</v>
      </c>
      <c r="V644" s="5">
        <f t="shared" si="167"/>
        <v>45794</v>
      </c>
      <c r="W644" s="4">
        <v>45803</v>
      </c>
      <c r="X644" s="19">
        <f t="shared" si="168"/>
        <v>-9</v>
      </c>
      <c r="Y644" s="51">
        <f t="shared" si="169"/>
        <v>45819</v>
      </c>
      <c r="Z644" s="4">
        <v>45824</v>
      </c>
      <c r="AA644" s="49">
        <f t="shared" si="170"/>
        <v>-5</v>
      </c>
      <c r="AB644" s="51">
        <f t="shared" si="171"/>
        <v>45824</v>
      </c>
      <c r="AC644" s="49">
        <f t="shared" si="172"/>
        <v>0</v>
      </c>
      <c r="AD644" s="43">
        <f t="shared" si="173"/>
        <v>45824</v>
      </c>
      <c r="AE644" s="4">
        <v>45868</v>
      </c>
      <c r="AF644" s="19">
        <f t="shared" si="174"/>
        <v>-44</v>
      </c>
      <c r="AG644" s="67"/>
      <c r="AH644" s="2"/>
      <c r="AI644" s="2"/>
      <c r="AJ644" s="2"/>
      <c r="AK644" s="2"/>
      <c r="AL644" s="2"/>
    </row>
    <row r="645" spans="1:38" ht="14.45">
      <c r="A645" s="156">
        <v>644</v>
      </c>
      <c r="B645" s="59">
        <v>45824</v>
      </c>
      <c r="C645" s="89" t="s">
        <v>1355</v>
      </c>
      <c r="D645" s="23" t="s">
        <v>77</v>
      </c>
      <c r="E645" s="23">
        <v>200225.57</v>
      </c>
      <c r="F645" s="23" t="s">
        <v>1353</v>
      </c>
      <c r="G645" s="14" t="s">
        <v>51</v>
      </c>
      <c r="H645" s="23" t="s">
        <v>40</v>
      </c>
      <c r="I645" s="23" t="s">
        <v>428</v>
      </c>
      <c r="J645" s="97">
        <f t="shared" si="160"/>
        <v>45724</v>
      </c>
      <c r="L645" s="19" t="str">
        <f t="shared" si="161"/>
        <v/>
      </c>
      <c r="M645" s="5">
        <f t="shared" si="162"/>
        <v>45735</v>
      </c>
      <c r="N645" s="4">
        <v>45741</v>
      </c>
      <c r="O645" s="19">
        <f t="shared" si="163"/>
        <v>-6</v>
      </c>
      <c r="P645" s="5">
        <f t="shared" si="164"/>
        <v>45750</v>
      </c>
      <c r="R645" s="19" t="str">
        <f t="shared" si="165"/>
        <v/>
      </c>
      <c r="S645" s="5">
        <f t="shared" ref="S645:S708" si="175">B645-69</f>
        <v>45755</v>
      </c>
      <c r="T645" s="4">
        <v>45756</v>
      </c>
      <c r="U645" s="19">
        <f t="shared" si="166"/>
        <v>-1</v>
      </c>
      <c r="V645" s="5">
        <f t="shared" si="167"/>
        <v>45794</v>
      </c>
      <c r="W645" s="4">
        <v>45803</v>
      </c>
      <c r="X645" s="19">
        <f t="shared" si="168"/>
        <v>-9</v>
      </c>
      <c r="Y645" s="51">
        <f t="shared" si="169"/>
        <v>45819</v>
      </c>
      <c r="Z645" s="4">
        <v>45824</v>
      </c>
      <c r="AA645" s="49">
        <f t="shared" si="170"/>
        <v>-5</v>
      </c>
      <c r="AB645" s="51">
        <f t="shared" si="171"/>
        <v>45824</v>
      </c>
      <c r="AC645" s="49">
        <f t="shared" si="172"/>
        <v>0</v>
      </c>
      <c r="AD645" s="43">
        <f t="shared" si="173"/>
        <v>45824</v>
      </c>
      <c r="AE645" s="4">
        <v>45868</v>
      </c>
      <c r="AF645" s="19">
        <f t="shared" si="174"/>
        <v>-44</v>
      </c>
      <c r="AG645" s="67"/>
      <c r="AH645" s="2"/>
      <c r="AI645" s="2"/>
      <c r="AJ645" s="2"/>
      <c r="AK645" s="2"/>
      <c r="AL645" s="2"/>
    </row>
    <row r="646" spans="1:38" ht="14.45">
      <c r="A646" s="156">
        <v>645</v>
      </c>
      <c r="B646" s="59">
        <v>45824</v>
      </c>
      <c r="C646" s="34" t="s">
        <v>1356</v>
      </c>
      <c r="D646" s="23" t="s">
        <v>38</v>
      </c>
      <c r="E646" s="23">
        <v>266.66000000000003</v>
      </c>
      <c r="F646" s="23" t="s">
        <v>1357</v>
      </c>
      <c r="G646" s="14" t="s">
        <v>190</v>
      </c>
      <c r="H646" s="23" t="s">
        <v>40</v>
      </c>
      <c r="I646" s="23" t="s">
        <v>41</v>
      </c>
      <c r="J646" s="97">
        <f t="shared" si="160"/>
        <v>45724</v>
      </c>
      <c r="L646" s="19" t="str">
        <f t="shared" si="161"/>
        <v/>
      </c>
      <c r="M646" s="5">
        <f t="shared" si="162"/>
        <v>45735</v>
      </c>
      <c r="N646" s="4">
        <v>45804</v>
      </c>
      <c r="O646" s="19">
        <f t="shared" si="163"/>
        <v>-69</v>
      </c>
      <c r="P646" s="5">
        <f t="shared" si="164"/>
        <v>45750</v>
      </c>
      <c r="Q646" s="4">
        <v>45806</v>
      </c>
      <c r="R646" s="19">
        <f t="shared" si="165"/>
        <v>-56</v>
      </c>
      <c r="S646" s="5">
        <f t="shared" si="175"/>
        <v>45755</v>
      </c>
      <c r="T646" s="4">
        <v>45809</v>
      </c>
      <c r="U646" s="19">
        <f t="shared" si="166"/>
        <v>-54</v>
      </c>
      <c r="V646" s="5">
        <f t="shared" si="167"/>
        <v>45794</v>
      </c>
      <c r="W646" s="4">
        <v>45809</v>
      </c>
      <c r="X646" s="19">
        <f t="shared" si="168"/>
        <v>-15</v>
      </c>
      <c r="Y646" s="51">
        <f t="shared" si="169"/>
        <v>45819</v>
      </c>
      <c r="Z646" s="4">
        <v>45811</v>
      </c>
      <c r="AA646" s="49">
        <f t="shared" si="170"/>
        <v>8</v>
      </c>
      <c r="AB646" s="51">
        <f t="shared" si="171"/>
        <v>45824</v>
      </c>
      <c r="AC646" s="49">
        <f t="shared" si="172"/>
        <v>13</v>
      </c>
      <c r="AD646" s="43">
        <f t="shared" si="173"/>
        <v>45824</v>
      </c>
      <c r="AE646" s="4">
        <v>45811</v>
      </c>
      <c r="AF646" s="19">
        <f t="shared" si="174"/>
        <v>13</v>
      </c>
      <c r="AG646" s="67"/>
      <c r="AH646" s="2"/>
      <c r="AI646" s="2"/>
      <c r="AJ646" s="2"/>
      <c r="AK646" s="2"/>
      <c r="AL646" s="2"/>
    </row>
    <row r="647" spans="1:38" s="9" customFormat="1" ht="14.45">
      <c r="A647" s="156">
        <v>646</v>
      </c>
      <c r="B647" s="60">
        <v>45825</v>
      </c>
      <c r="C647" s="41" t="s">
        <v>1358</v>
      </c>
      <c r="D647" s="24" t="s">
        <v>1359</v>
      </c>
      <c r="E647" s="24">
        <v>2529.29</v>
      </c>
      <c r="F647" s="24" t="s">
        <v>1360</v>
      </c>
      <c r="G647" s="14" t="s">
        <v>46</v>
      </c>
      <c r="H647" s="24" t="s">
        <v>40</v>
      </c>
      <c r="I647" s="24" t="s">
        <v>229</v>
      </c>
      <c r="J647" s="98">
        <f t="shared" si="160"/>
        <v>45725</v>
      </c>
      <c r="K647" s="7">
        <v>45715</v>
      </c>
      <c r="L647" s="99">
        <f t="shared" si="161"/>
        <v>10</v>
      </c>
      <c r="M647" s="20">
        <f t="shared" si="162"/>
        <v>45736</v>
      </c>
      <c r="N647" s="7">
        <v>45775</v>
      </c>
      <c r="O647" s="99">
        <f t="shared" si="163"/>
        <v>-39</v>
      </c>
      <c r="P647" s="5">
        <f t="shared" si="164"/>
        <v>45751</v>
      </c>
      <c r="Q647" s="7">
        <v>45775</v>
      </c>
      <c r="R647" s="19">
        <f t="shared" si="165"/>
        <v>-24</v>
      </c>
      <c r="S647" s="20">
        <f t="shared" si="175"/>
        <v>45756</v>
      </c>
      <c r="T647" s="7">
        <v>45775</v>
      </c>
      <c r="U647" s="99">
        <f t="shared" si="166"/>
        <v>-19</v>
      </c>
      <c r="V647" s="20">
        <f t="shared" si="167"/>
        <v>45795</v>
      </c>
      <c r="W647" s="7">
        <v>45803</v>
      </c>
      <c r="X647" s="99">
        <f t="shared" si="168"/>
        <v>-8</v>
      </c>
      <c r="Y647" s="51">
        <f t="shared" si="169"/>
        <v>45820</v>
      </c>
      <c r="Z647" s="7">
        <v>45824</v>
      </c>
      <c r="AA647" s="49">
        <f t="shared" si="170"/>
        <v>-4</v>
      </c>
      <c r="AB647" s="51">
        <f t="shared" si="171"/>
        <v>45825</v>
      </c>
      <c r="AC647" s="49">
        <f t="shared" si="172"/>
        <v>1</v>
      </c>
      <c r="AD647" s="100">
        <f t="shared" si="173"/>
        <v>45825</v>
      </c>
      <c r="AE647" s="7">
        <v>45824</v>
      </c>
      <c r="AF647" s="99">
        <f t="shared" si="174"/>
        <v>1</v>
      </c>
      <c r="AG647" s="68"/>
      <c r="AH647" s="8"/>
      <c r="AI647" s="8"/>
      <c r="AJ647" s="8"/>
      <c r="AK647" s="8"/>
      <c r="AL647" s="8"/>
    </row>
    <row r="648" spans="1:38" ht="14.45">
      <c r="A648" s="156">
        <v>647</v>
      </c>
      <c r="B648" s="59">
        <v>45826</v>
      </c>
      <c r="C648" s="40" t="s">
        <v>1361</v>
      </c>
      <c r="D648" s="23" t="s">
        <v>38</v>
      </c>
      <c r="E648" s="64">
        <v>74.62</v>
      </c>
      <c r="F648" s="63" t="s">
        <v>657</v>
      </c>
      <c r="G648" s="38" t="s">
        <v>190</v>
      </c>
      <c r="H648" s="23" t="s">
        <v>40</v>
      </c>
      <c r="I648" s="23" t="s">
        <v>41</v>
      </c>
      <c r="J648" s="97">
        <f t="shared" si="160"/>
        <v>45726</v>
      </c>
      <c r="L648" s="19" t="str">
        <f t="shared" si="161"/>
        <v/>
      </c>
      <c r="M648" s="5">
        <f t="shared" si="162"/>
        <v>45737</v>
      </c>
      <c r="N648" s="4">
        <v>45804</v>
      </c>
      <c r="O648" s="19">
        <f t="shared" si="163"/>
        <v>-67</v>
      </c>
      <c r="P648" s="5">
        <f t="shared" si="164"/>
        <v>45752</v>
      </c>
      <c r="Q648" s="4">
        <v>45806</v>
      </c>
      <c r="R648" s="19">
        <f t="shared" si="165"/>
        <v>-54</v>
      </c>
      <c r="S648" s="5">
        <f t="shared" si="175"/>
        <v>45757</v>
      </c>
      <c r="T648" s="4">
        <v>45809</v>
      </c>
      <c r="U648" s="19">
        <f t="shared" si="166"/>
        <v>-52</v>
      </c>
      <c r="V648" s="5">
        <f t="shared" si="167"/>
        <v>45796</v>
      </c>
      <c r="W648" s="4">
        <v>45809</v>
      </c>
      <c r="X648" s="19">
        <f t="shared" si="168"/>
        <v>-13</v>
      </c>
      <c r="Y648" s="51">
        <f t="shared" si="169"/>
        <v>45821</v>
      </c>
      <c r="Z648" s="4">
        <v>45831</v>
      </c>
      <c r="AA648" s="49">
        <f t="shared" si="170"/>
        <v>-10</v>
      </c>
      <c r="AB648" s="51">
        <f t="shared" si="171"/>
        <v>45826</v>
      </c>
      <c r="AC648" s="49">
        <f t="shared" si="172"/>
        <v>-5</v>
      </c>
      <c r="AD648" s="43">
        <f t="shared" si="173"/>
        <v>45826</v>
      </c>
      <c r="AE648" s="4">
        <v>45831</v>
      </c>
      <c r="AF648" s="19">
        <f t="shared" si="174"/>
        <v>-5</v>
      </c>
      <c r="AG648" s="67"/>
      <c r="AH648" s="2"/>
      <c r="AI648" s="2"/>
      <c r="AJ648" s="2"/>
      <c r="AK648" s="2"/>
      <c r="AL648" s="2"/>
    </row>
    <row r="649" spans="1:38" ht="14.45">
      <c r="A649" s="156">
        <v>648</v>
      </c>
      <c r="B649" s="59">
        <v>45827</v>
      </c>
      <c r="C649" s="89" t="s">
        <v>1362</v>
      </c>
      <c r="D649" s="23" t="s">
        <v>1363</v>
      </c>
      <c r="E649" s="38">
        <v>3281.36</v>
      </c>
      <c r="F649" s="38" t="s">
        <v>1364</v>
      </c>
      <c r="G649" s="62" t="s">
        <v>120</v>
      </c>
      <c r="H649" s="23" t="s">
        <v>36</v>
      </c>
      <c r="I649" s="23" t="s">
        <v>41</v>
      </c>
      <c r="J649" s="97">
        <f t="shared" si="160"/>
        <v>45727</v>
      </c>
      <c r="L649" s="19" t="str">
        <f t="shared" si="161"/>
        <v/>
      </c>
      <c r="M649" s="5">
        <f t="shared" si="162"/>
        <v>45738</v>
      </c>
      <c r="O649" s="19" t="str">
        <f t="shared" si="163"/>
        <v/>
      </c>
      <c r="P649" s="5">
        <f t="shared" si="164"/>
        <v>45753</v>
      </c>
      <c r="R649" s="19" t="str">
        <f t="shared" si="165"/>
        <v/>
      </c>
      <c r="S649" s="5">
        <f t="shared" si="175"/>
        <v>45758</v>
      </c>
      <c r="T649" s="4">
        <v>45799</v>
      </c>
      <c r="U649" s="19">
        <f t="shared" si="166"/>
        <v>-41</v>
      </c>
      <c r="V649" s="5">
        <f t="shared" si="167"/>
        <v>45797</v>
      </c>
      <c r="W649" s="4">
        <v>45818</v>
      </c>
      <c r="X649" s="19">
        <f t="shared" si="168"/>
        <v>-21</v>
      </c>
      <c r="Y649" s="51">
        <f t="shared" si="169"/>
        <v>45822</v>
      </c>
      <c r="Z649" s="4">
        <v>45818</v>
      </c>
      <c r="AA649" s="49">
        <f t="shared" si="170"/>
        <v>4</v>
      </c>
      <c r="AB649" s="51">
        <f t="shared" si="171"/>
        <v>45827</v>
      </c>
      <c r="AC649" s="49">
        <f t="shared" si="172"/>
        <v>9</v>
      </c>
      <c r="AD649" s="43">
        <f t="shared" si="173"/>
        <v>45827</v>
      </c>
      <c r="AE649" s="4">
        <v>45818</v>
      </c>
      <c r="AF649" s="19">
        <f t="shared" si="174"/>
        <v>9</v>
      </c>
      <c r="AG649" s="67"/>
      <c r="AH649" s="2"/>
      <c r="AI649" s="2"/>
      <c r="AJ649" s="2"/>
      <c r="AK649" s="2"/>
      <c r="AL649" s="2"/>
    </row>
    <row r="650" spans="1:38" ht="14.45">
      <c r="A650" s="156">
        <v>649</v>
      </c>
      <c r="B650" s="59">
        <v>45827</v>
      </c>
      <c r="C650" s="34" t="s">
        <v>1365</v>
      </c>
      <c r="D650" s="23" t="s">
        <v>38</v>
      </c>
      <c r="E650" s="23">
        <v>178.94</v>
      </c>
      <c r="F650" s="23" t="s">
        <v>1366</v>
      </c>
      <c r="G650" s="14" t="s">
        <v>190</v>
      </c>
      <c r="H650" s="23" t="s">
        <v>40</v>
      </c>
      <c r="I650" s="23" t="s">
        <v>41</v>
      </c>
      <c r="J650" s="97">
        <f t="shared" si="160"/>
        <v>45727</v>
      </c>
      <c r="L650" s="19" t="str">
        <f t="shared" si="161"/>
        <v/>
      </c>
      <c r="M650" s="5">
        <f t="shared" si="162"/>
        <v>45738</v>
      </c>
      <c r="N650" s="4">
        <v>45804</v>
      </c>
      <c r="O650" s="19">
        <f t="shared" si="163"/>
        <v>-66</v>
      </c>
      <c r="P650" s="5">
        <f t="shared" si="164"/>
        <v>45753</v>
      </c>
      <c r="Q650" s="4">
        <v>45806</v>
      </c>
      <c r="R650" s="19">
        <f t="shared" si="165"/>
        <v>-53</v>
      </c>
      <c r="S650" s="5">
        <f t="shared" si="175"/>
        <v>45758</v>
      </c>
      <c r="T650" s="4">
        <v>45809</v>
      </c>
      <c r="U650" s="19">
        <f t="shared" si="166"/>
        <v>-51</v>
      </c>
      <c r="V650" s="5">
        <f t="shared" si="167"/>
        <v>45797</v>
      </c>
      <c r="W650" s="4">
        <v>45809</v>
      </c>
      <c r="X650" s="19">
        <f t="shared" si="168"/>
        <v>-12</v>
      </c>
      <c r="Y650" s="51">
        <f t="shared" si="169"/>
        <v>45822</v>
      </c>
      <c r="Z650" s="4">
        <v>45831</v>
      </c>
      <c r="AA650" s="49">
        <f t="shared" si="170"/>
        <v>-9</v>
      </c>
      <c r="AB650" s="51">
        <f t="shared" si="171"/>
        <v>45827</v>
      </c>
      <c r="AC650" s="49">
        <f t="shared" si="172"/>
        <v>-4</v>
      </c>
      <c r="AD650" s="43">
        <f t="shared" si="173"/>
        <v>45827</v>
      </c>
      <c r="AE650" s="4">
        <v>45831</v>
      </c>
      <c r="AF650" s="19">
        <f t="shared" si="174"/>
        <v>-4</v>
      </c>
      <c r="AG650" s="67"/>
      <c r="AH650" s="2"/>
      <c r="AI650" s="2"/>
      <c r="AJ650" s="2"/>
      <c r="AK650" s="2"/>
      <c r="AL650" s="2"/>
    </row>
    <row r="651" spans="1:38" ht="14.45">
      <c r="A651" s="156">
        <v>650</v>
      </c>
      <c r="B651" s="59">
        <v>45827</v>
      </c>
      <c r="C651" s="34" t="s">
        <v>1367</v>
      </c>
      <c r="D651" s="23" t="s">
        <v>1368</v>
      </c>
      <c r="E651" s="23">
        <v>5150.83</v>
      </c>
      <c r="F651" s="23" t="s">
        <v>1369</v>
      </c>
      <c r="G651" s="23" t="s">
        <v>35</v>
      </c>
      <c r="H651" s="23" t="s">
        <v>40</v>
      </c>
      <c r="I651" s="23" t="s">
        <v>62</v>
      </c>
      <c r="J651" s="97">
        <f t="shared" si="160"/>
        <v>45727</v>
      </c>
      <c r="L651" s="19" t="str">
        <f t="shared" si="161"/>
        <v/>
      </c>
      <c r="M651" s="5">
        <f t="shared" si="162"/>
        <v>45738</v>
      </c>
      <c r="O651" s="19" t="str">
        <f t="shared" si="163"/>
        <v/>
      </c>
      <c r="P651" s="5">
        <f t="shared" si="164"/>
        <v>45753</v>
      </c>
      <c r="R651" s="19" t="str">
        <f t="shared" si="165"/>
        <v/>
      </c>
      <c r="S651" s="5">
        <f t="shared" si="175"/>
        <v>45758</v>
      </c>
      <c r="U651" s="19" t="str">
        <f t="shared" si="166"/>
        <v/>
      </c>
      <c r="V651" s="5">
        <f t="shared" si="167"/>
        <v>45797</v>
      </c>
      <c r="X651" s="19" t="str">
        <f t="shared" si="168"/>
        <v/>
      </c>
      <c r="Y651" s="51">
        <f t="shared" si="169"/>
        <v>45822</v>
      </c>
      <c r="AA651" s="49" t="str">
        <f t="shared" si="170"/>
        <v/>
      </c>
      <c r="AB651" s="51">
        <f t="shared" si="171"/>
        <v>45827</v>
      </c>
      <c r="AC651" s="49" t="str">
        <f t="shared" si="172"/>
        <v/>
      </c>
      <c r="AD651" s="43">
        <f t="shared" si="173"/>
        <v>45827</v>
      </c>
      <c r="AF651" s="19" t="str">
        <f t="shared" si="174"/>
        <v/>
      </c>
      <c r="AG651" s="67"/>
      <c r="AH651" s="2"/>
      <c r="AI651" s="2"/>
      <c r="AJ651" s="2"/>
      <c r="AK651" s="2"/>
      <c r="AL651" s="2"/>
    </row>
    <row r="652" spans="1:38" ht="14.45">
      <c r="A652" s="156">
        <v>651</v>
      </c>
      <c r="B652" s="59">
        <v>45827</v>
      </c>
      <c r="C652" s="34" t="s">
        <v>1370</v>
      </c>
      <c r="D652" s="23" t="s">
        <v>1368</v>
      </c>
      <c r="E652" s="23">
        <v>2494.77</v>
      </c>
      <c r="F652" s="23" t="s">
        <v>1371</v>
      </c>
      <c r="G652" s="14" t="s">
        <v>35</v>
      </c>
      <c r="H652" s="23" t="s">
        <v>40</v>
      </c>
      <c r="I652" s="23" t="s">
        <v>37</v>
      </c>
      <c r="J652" s="97">
        <f t="shared" si="160"/>
        <v>45727</v>
      </c>
      <c r="L652" s="19" t="str">
        <f t="shared" si="161"/>
        <v/>
      </c>
      <c r="M652" s="5">
        <f t="shared" si="162"/>
        <v>45738</v>
      </c>
      <c r="O652" s="19" t="str">
        <f t="shared" si="163"/>
        <v/>
      </c>
      <c r="P652" s="5">
        <f t="shared" si="164"/>
        <v>45753</v>
      </c>
      <c r="R652" s="19" t="str">
        <f t="shared" si="165"/>
        <v/>
      </c>
      <c r="S652" s="5">
        <f t="shared" si="175"/>
        <v>45758</v>
      </c>
      <c r="U652" s="19" t="str">
        <f t="shared" si="166"/>
        <v/>
      </c>
      <c r="V652" s="5">
        <f t="shared" si="167"/>
        <v>45797</v>
      </c>
      <c r="X652" s="19" t="str">
        <f t="shared" si="168"/>
        <v/>
      </c>
      <c r="Y652" s="51">
        <f t="shared" si="169"/>
        <v>45822</v>
      </c>
      <c r="AA652" s="49" t="str">
        <f t="shared" si="170"/>
        <v/>
      </c>
      <c r="AB652" s="51">
        <f t="shared" si="171"/>
        <v>45827</v>
      </c>
      <c r="AC652" s="49" t="str">
        <f t="shared" si="172"/>
        <v/>
      </c>
      <c r="AD652" s="43">
        <f t="shared" si="173"/>
        <v>45827</v>
      </c>
      <c r="AF652" s="19" t="str">
        <f t="shared" si="174"/>
        <v/>
      </c>
      <c r="AG652" s="67"/>
      <c r="AH652" s="2"/>
      <c r="AI652" s="2"/>
      <c r="AJ652" s="2"/>
      <c r="AK652" s="2"/>
      <c r="AL652" s="2"/>
    </row>
    <row r="653" spans="1:38" ht="14.45">
      <c r="A653" s="156">
        <v>652</v>
      </c>
      <c r="B653" s="59">
        <v>45828</v>
      </c>
      <c r="C653" s="90" t="s">
        <v>1372</v>
      </c>
      <c r="D653" s="23" t="s">
        <v>77</v>
      </c>
      <c r="E653" s="23">
        <v>19386.400000000001</v>
      </c>
      <c r="F653" s="23" t="s">
        <v>1373</v>
      </c>
      <c r="G653" s="14" t="s">
        <v>51</v>
      </c>
      <c r="H653" s="23" t="s">
        <v>40</v>
      </c>
      <c r="I653" s="23" t="s">
        <v>52</v>
      </c>
      <c r="J653" s="97">
        <f t="shared" si="160"/>
        <v>45728</v>
      </c>
      <c r="L653" s="19" t="str">
        <f t="shared" si="161"/>
        <v/>
      </c>
      <c r="M653" s="5">
        <f t="shared" si="162"/>
        <v>45739</v>
      </c>
      <c r="N653" s="4">
        <v>45770</v>
      </c>
      <c r="O653" s="19">
        <f t="shared" si="163"/>
        <v>-31</v>
      </c>
      <c r="P653" s="5">
        <f t="shared" si="164"/>
        <v>45754</v>
      </c>
      <c r="R653" s="19" t="str">
        <f t="shared" si="165"/>
        <v/>
      </c>
      <c r="S653" s="5">
        <f t="shared" si="175"/>
        <v>45759</v>
      </c>
      <c r="U653" s="19" t="str">
        <f t="shared" si="166"/>
        <v/>
      </c>
      <c r="V653" s="5">
        <f t="shared" si="167"/>
        <v>45798</v>
      </c>
      <c r="X653" s="19" t="str">
        <f t="shared" si="168"/>
        <v/>
      </c>
      <c r="Y653" s="51">
        <f t="shared" si="169"/>
        <v>45823</v>
      </c>
      <c r="Z653" s="4">
        <v>45828</v>
      </c>
      <c r="AA653" s="49">
        <f t="shared" si="170"/>
        <v>-5</v>
      </c>
      <c r="AB653" s="51">
        <f t="shared" si="171"/>
        <v>45828</v>
      </c>
      <c r="AC653" s="49">
        <f t="shared" si="172"/>
        <v>0</v>
      </c>
      <c r="AD653" s="43">
        <f t="shared" si="173"/>
        <v>45828</v>
      </c>
      <c r="AE653" s="4">
        <v>45828</v>
      </c>
      <c r="AF653" s="19">
        <f t="shared" si="174"/>
        <v>0</v>
      </c>
      <c r="AG653" s="67"/>
      <c r="AH653" s="2"/>
      <c r="AI653" s="2"/>
      <c r="AJ653" s="2"/>
      <c r="AK653" s="2"/>
      <c r="AL653" s="2"/>
    </row>
    <row r="654" spans="1:38" ht="14.45">
      <c r="A654" s="156">
        <v>653</v>
      </c>
      <c r="B654" s="59">
        <v>45828</v>
      </c>
      <c r="C654" s="34" t="s">
        <v>1374</v>
      </c>
      <c r="D654" s="23" t="s">
        <v>1375</v>
      </c>
      <c r="E654" s="23">
        <v>54407.03</v>
      </c>
      <c r="F654" s="23" t="s">
        <v>1376</v>
      </c>
      <c r="G654" s="14" t="s">
        <v>120</v>
      </c>
      <c r="H654" s="23" t="s">
        <v>40</v>
      </c>
      <c r="I654" s="23" t="s">
        <v>93</v>
      </c>
      <c r="J654" s="97">
        <f t="shared" si="160"/>
        <v>45728</v>
      </c>
      <c r="L654" s="19" t="str">
        <f t="shared" si="161"/>
        <v/>
      </c>
      <c r="M654" s="5">
        <f t="shared" si="162"/>
        <v>45739</v>
      </c>
      <c r="O654" s="19" t="str">
        <f t="shared" si="163"/>
        <v/>
      </c>
      <c r="P654" s="5">
        <f t="shared" si="164"/>
        <v>45754</v>
      </c>
      <c r="R654" s="19" t="str">
        <f t="shared" si="165"/>
        <v/>
      </c>
      <c r="S654" s="5">
        <f t="shared" si="175"/>
        <v>45759</v>
      </c>
      <c r="T654" s="4">
        <v>45763</v>
      </c>
      <c r="U654" s="19">
        <f t="shared" si="166"/>
        <v>-4</v>
      </c>
      <c r="V654" s="5">
        <f t="shared" si="167"/>
        <v>45798</v>
      </c>
      <c r="W654" s="4">
        <v>45800</v>
      </c>
      <c r="X654" s="19">
        <f t="shared" si="168"/>
        <v>-2</v>
      </c>
      <c r="Y654" s="51">
        <f t="shared" si="169"/>
        <v>45823</v>
      </c>
      <c r="Z654" s="4">
        <v>45831</v>
      </c>
      <c r="AA654" s="49">
        <f t="shared" si="170"/>
        <v>-8</v>
      </c>
      <c r="AB654" s="51">
        <f t="shared" si="171"/>
        <v>45828</v>
      </c>
      <c r="AC654" s="49">
        <f t="shared" si="172"/>
        <v>-3</v>
      </c>
      <c r="AD654" s="43">
        <f t="shared" si="173"/>
        <v>45828</v>
      </c>
      <c r="AE654" s="4">
        <v>45831</v>
      </c>
      <c r="AF654" s="19">
        <f t="shared" si="174"/>
        <v>-3</v>
      </c>
      <c r="AG654" s="67"/>
      <c r="AH654" s="2"/>
      <c r="AI654" s="2"/>
      <c r="AJ654" s="2"/>
      <c r="AK654" s="2"/>
      <c r="AL654" s="2"/>
    </row>
    <row r="655" spans="1:38" ht="14.45">
      <c r="A655" s="156">
        <v>654</v>
      </c>
      <c r="B655" s="59">
        <v>45828</v>
      </c>
      <c r="C655" s="34">
        <v>111657953</v>
      </c>
      <c r="D655" s="23" t="s">
        <v>1377</v>
      </c>
      <c r="E655" s="23">
        <v>46486.400000000001</v>
      </c>
      <c r="F655" s="23" t="s">
        <v>1378</v>
      </c>
      <c r="G655" s="14" t="s">
        <v>35</v>
      </c>
      <c r="H655" s="23" t="s">
        <v>36</v>
      </c>
      <c r="I655" s="23" t="s">
        <v>37</v>
      </c>
      <c r="J655" s="97">
        <f t="shared" si="160"/>
        <v>45728</v>
      </c>
      <c r="L655" s="19" t="str">
        <f t="shared" si="161"/>
        <v/>
      </c>
      <c r="M655" s="5">
        <f t="shared" si="162"/>
        <v>45739</v>
      </c>
      <c r="O655" s="19" t="str">
        <f t="shared" si="163"/>
        <v/>
      </c>
      <c r="P655" s="5">
        <f t="shared" si="164"/>
        <v>45754</v>
      </c>
      <c r="R655" s="19" t="str">
        <f t="shared" si="165"/>
        <v/>
      </c>
      <c r="S655" s="5">
        <f t="shared" si="175"/>
        <v>45759</v>
      </c>
      <c r="U655" s="19" t="str">
        <f t="shared" si="166"/>
        <v/>
      </c>
      <c r="V655" s="5">
        <f t="shared" si="167"/>
        <v>45798</v>
      </c>
      <c r="X655" s="19" t="str">
        <f t="shared" si="168"/>
        <v/>
      </c>
      <c r="Y655" s="51">
        <f t="shared" si="169"/>
        <v>45823</v>
      </c>
      <c r="AA655" s="49" t="str">
        <f t="shared" si="170"/>
        <v/>
      </c>
      <c r="AB655" s="51">
        <f t="shared" si="171"/>
        <v>45828</v>
      </c>
      <c r="AC655" s="49" t="str">
        <f t="shared" si="172"/>
        <v/>
      </c>
      <c r="AD655" s="43">
        <f t="shared" si="173"/>
        <v>45828</v>
      </c>
      <c r="AF655" s="19" t="str">
        <f t="shared" si="174"/>
        <v/>
      </c>
      <c r="AG655" s="67"/>
      <c r="AH655" s="2"/>
      <c r="AI655" s="2"/>
      <c r="AJ655" s="2"/>
      <c r="AK655" s="2"/>
      <c r="AL655" s="2"/>
    </row>
    <row r="656" spans="1:38" s="9" customFormat="1" ht="14.45">
      <c r="A656" s="156">
        <v>655</v>
      </c>
      <c r="B656" s="60">
        <v>45828</v>
      </c>
      <c r="C656" s="41" t="s">
        <v>1379</v>
      </c>
      <c r="D656" s="24" t="s">
        <v>1380</v>
      </c>
      <c r="E656" s="24">
        <v>7689.01</v>
      </c>
      <c r="F656" s="24" t="s">
        <v>1381</v>
      </c>
      <c r="G656" s="14" t="s">
        <v>46</v>
      </c>
      <c r="H656" s="24" t="s">
        <v>40</v>
      </c>
      <c r="I656" s="24" t="s">
        <v>323</v>
      </c>
      <c r="J656" s="98">
        <f t="shared" si="160"/>
        <v>45728</v>
      </c>
      <c r="K656" s="7">
        <v>45715</v>
      </c>
      <c r="L656" s="99">
        <f t="shared" si="161"/>
        <v>13</v>
      </c>
      <c r="M656" s="20">
        <f t="shared" si="162"/>
        <v>45739</v>
      </c>
      <c r="N656" s="7">
        <v>45672</v>
      </c>
      <c r="O656" s="99">
        <f t="shared" si="163"/>
        <v>67</v>
      </c>
      <c r="P656" s="20">
        <f t="shared" si="164"/>
        <v>45754</v>
      </c>
      <c r="Q656" s="7">
        <v>45672</v>
      </c>
      <c r="R656" s="19">
        <f t="shared" si="165"/>
        <v>82</v>
      </c>
      <c r="S656" s="20">
        <f t="shared" si="175"/>
        <v>45759</v>
      </c>
      <c r="T656" s="7">
        <v>45672</v>
      </c>
      <c r="U656" s="99">
        <f t="shared" si="166"/>
        <v>87</v>
      </c>
      <c r="V656" s="20">
        <f t="shared" si="167"/>
        <v>45798</v>
      </c>
      <c r="W656" s="7">
        <v>45672</v>
      </c>
      <c r="X656" s="99">
        <f t="shared" si="168"/>
        <v>126</v>
      </c>
      <c r="Y656" s="51">
        <f t="shared" si="169"/>
        <v>45823</v>
      </c>
      <c r="Z656" s="7">
        <v>45672</v>
      </c>
      <c r="AA656" s="49">
        <f t="shared" si="170"/>
        <v>151</v>
      </c>
      <c r="AB656" s="51">
        <f t="shared" si="171"/>
        <v>45828</v>
      </c>
      <c r="AC656" s="49">
        <f t="shared" si="172"/>
        <v>156</v>
      </c>
      <c r="AD656" s="100">
        <f t="shared" si="173"/>
        <v>45828</v>
      </c>
      <c r="AE656" s="7">
        <v>45672</v>
      </c>
      <c r="AF656" s="99">
        <f t="shared" si="174"/>
        <v>156</v>
      </c>
      <c r="AG656" s="68"/>
      <c r="AH656" s="8"/>
      <c r="AI656" s="8"/>
      <c r="AJ656" s="8"/>
      <c r="AK656" s="8"/>
      <c r="AL656" s="8"/>
    </row>
    <row r="657" spans="1:38" s="9" customFormat="1" ht="14.45">
      <c r="A657" s="156">
        <v>656</v>
      </c>
      <c r="B657" s="60">
        <v>45828</v>
      </c>
      <c r="C657" s="41" t="s">
        <v>1382</v>
      </c>
      <c r="D657" s="24" t="s">
        <v>1380</v>
      </c>
      <c r="E657" s="24">
        <v>4210.87</v>
      </c>
      <c r="F657" s="24" t="s">
        <v>1383</v>
      </c>
      <c r="G657" s="14" t="s">
        <v>46</v>
      </c>
      <c r="H657" s="24" t="s">
        <v>40</v>
      </c>
      <c r="I657" s="24" t="s">
        <v>62</v>
      </c>
      <c r="J657" s="98">
        <f t="shared" si="160"/>
        <v>45728</v>
      </c>
      <c r="K657" s="7">
        <v>45715</v>
      </c>
      <c r="L657" s="99">
        <f t="shared" si="161"/>
        <v>13</v>
      </c>
      <c r="M657" s="20">
        <f t="shared" si="162"/>
        <v>45739</v>
      </c>
      <c r="N657" s="7">
        <v>45672</v>
      </c>
      <c r="O657" s="99">
        <f t="shared" si="163"/>
        <v>67</v>
      </c>
      <c r="P657" s="20">
        <f t="shared" si="164"/>
        <v>45754</v>
      </c>
      <c r="Q657" s="7">
        <v>45672</v>
      </c>
      <c r="R657" s="19">
        <f t="shared" si="165"/>
        <v>82</v>
      </c>
      <c r="S657" s="20">
        <f t="shared" si="175"/>
        <v>45759</v>
      </c>
      <c r="T657" s="7">
        <v>45672</v>
      </c>
      <c r="U657" s="99">
        <f t="shared" si="166"/>
        <v>87</v>
      </c>
      <c r="V657" s="20">
        <f t="shared" si="167"/>
        <v>45798</v>
      </c>
      <c r="W657" s="7">
        <v>45672</v>
      </c>
      <c r="X657" s="99">
        <f t="shared" si="168"/>
        <v>126</v>
      </c>
      <c r="Y657" s="51">
        <f t="shared" si="169"/>
        <v>45823</v>
      </c>
      <c r="Z657" s="7">
        <v>45672</v>
      </c>
      <c r="AA657" s="49">
        <f t="shared" si="170"/>
        <v>151</v>
      </c>
      <c r="AB657" s="51">
        <f t="shared" si="171"/>
        <v>45828</v>
      </c>
      <c r="AC657" s="49">
        <f t="shared" si="172"/>
        <v>156</v>
      </c>
      <c r="AD657" s="100">
        <f t="shared" si="173"/>
        <v>45828</v>
      </c>
      <c r="AE657" s="7">
        <v>45672</v>
      </c>
      <c r="AF657" s="99">
        <f t="shared" si="174"/>
        <v>156</v>
      </c>
      <c r="AG657" s="68"/>
      <c r="AH657" s="8"/>
      <c r="AI657" s="8"/>
      <c r="AJ657" s="8"/>
      <c r="AK657" s="8"/>
      <c r="AL657" s="8"/>
    </row>
    <row r="658" spans="1:38" ht="14.45">
      <c r="A658" s="156">
        <v>657</v>
      </c>
      <c r="B658" s="59">
        <v>45829</v>
      </c>
      <c r="C658" s="34" t="s">
        <v>1384</v>
      </c>
      <c r="D658" s="23" t="s">
        <v>1385</v>
      </c>
      <c r="E658" s="23">
        <v>84695.92</v>
      </c>
      <c r="F658" s="23" t="s">
        <v>1386</v>
      </c>
      <c r="G658" s="14" t="s">
        <v>120</v>
      </c>
      <c r="H658" s="23" t="s">
        <v>40</v>
      </c>
      <c r="I658" s="23" t="s">
        <v>93</v>
      </c>
      <c r="J658" s="97">
        <f t="shared" si="160"/>
        <v>45729</v>
      </c>
      <c r="L658" s="19" t="str">
        <f t="shared" si="161"/>
        <v/>
      </c>
      <c r="M658" s="5">
        <f t="shared" si="162"/>
        <v>45740</v>
      </c>
      <c r="O658" s="19" t="str">
        <f t="shared" si="163"/>
        <v/>
      </c>
      <c r="P658" s="5">
        <f t="shared" si="164"/>
        <v>45755</v>
      </c>
      <c r="R658" s="19" t="str">
        <f t="shared" si="165"/>
        <v/>
      </c>
      <c r="S658" s="5">
        <f t="shared" si="175"/>
        <v>45760</v>
      </c>
      <c r="T658" s="4">
        <v>45763</v>
      </c>
      <c r="U658" s="19">
        <f t="shared" si="166"/>
        <v>-3</v>
      </c>
      <c r="V658" s="5">
        <f t="shared" si="167"/>
        <v>45799</v>
      </c>
      <c r="W658" s="4">
        <v>45820</v>
      </c>
      <c r="X658" s="19">
        <f t="shared" si="168"/>
        <v>-21</v>
      </c>
      <c r="Y658" s="51">
        <f t="shared" si="169"/>
        <v>45824</v>
      </c>
      <c r="Z658" s="49"/>
      <c r="AA658" s="49" t="str">
        <f t="shared" si="170"/>
        <v/>
      </c>
      <c r="AB658" s="51">
        <f t="shared" si="171"/>
        <v>45829</v>
      </c>
      <c r="AC658" s="49" t="str">
        <f t="shared" si="172"/>
        <v/>
      </c>
      <c r="AD658" s="43">
        <f t="shared" si="173"/>
        <v>45829</v>
      </c>
      <c r="AF658" s="19" t="str">
        <f t="shared" si="174"/>
        <v/>
      </c>
      <c r="AG658" s="67"/>
      <c r="AH658" s="2"/>
      <c r="AI658" s="2"/>
      <c r="AJ658" s="2"/>
      <c r="AK658" s="2"/>
      <c r="AL658" s="2"/>
    </row>
    <row r="659" spans="1:38" ht="14.45">
      <c r="A659" s="156">
        <v>658</v>
      </c>
      <c r="B659" s="59">
        <v>45830</v>
      </c>
      <c r="C659" s="34" t="s">
        <v>1387</v>
      </c>
      <c r="D659" s="23" t="s">
        <v>504</v>
      </c>
      <c r="E659" s="23">
        <v>7523.07</v>
      </c>
      <c r="F659" s="23" t="s">
        <v>1388</v>
      </c>
      <c r="G659" s="23" t="s">
        <v>35</v>
      </c>
      <c r="H659" s="23" t="s">
        <v>36</v>
      </c>
      <c r="I659" s="23" t="s">
        <v>52</v>
      </c>
      <c r="J659" s="97">
        <f t="shared" si="160"/>
        <v>45730</v>
      </c>
      <c r="L659" s="19" t="str">
        <f t="shared" si="161"/>
        <v/>
      </c>
      <c r="M659" s="5">
        <f t="shared" si="162"/>
        <v>45741</v>
      </c>
      <c r="O659" s="19" t="str">
        <f t="shared" si="163"/>
        <v/>
      </c>
      <c r="P659" s="5">
        <f t="shared" si="164"/>
        <v>45756</v>
      </c>
      <c r="R659" s="19" t="str">
        <f t="shared" si="165"/>
        <v/>
      </c>
      <c r="S659" s="5">
        <f t="shared" si="175"/>
        <v>45761</v>
      </c>
      <c r="U659" s="19" t="str">
        <f t="shared" si="166"/>
        <v/>
      </c>
      <c r="V659" s="5">
        <f t="shared" si="167"/>
        <v>45800</v>
      </c>
      <c r="X659" s="19" t="str">
        <f t="shared" si="168"/>
        <v/>
      </c>
      <c r="Y659" s="51">
        <f t="shared" si="169"/>
        <v>45825</v>
      </c>
      <c r="Z659" s="49"/>
      <c r="AA659" s="49" t="str">
        <f t="shared" si="170"/>
        <v/>
      </c>
      <c r="AB659" s="51">
        <f t="shared" si="171"/>
        <v>45830</v>
      </c>
      <c r="AC659" s="49" t="str">
        <f t="shared" si="172"/>
        <v/>
      </c>
      <c r="AD659" s="43">
        <f t="shared" si="173"/>
        <v>45830</v>
      </c>
      <c r="AF659" s="19" t="str">
        <f t="shared" si="174"/>
        <v/>
      </c>
      <c r="AG659" s="67"/>
      <c r="AH659" s="2"/>
      <c r="AI659" s="2"/>
      <c r="AJ659" s="2"/>
      <c r="AK659" s="2"/>
      <c r="AL659" s="2"/>
    </row>
    <row r="660" spans="1:38" ht="14.45">
      <c r="A660" s="156">
        <v>659</v>
      </c>
      <c r="B660" s="59">
        <v>45831</v>
      </c>
      <c r="C660" s="34" t="s">
        <v>1389</v>
      </c>
      <c r="D660" s="23" t="s">
        <v>38</v>
      </c>
      <c r="E660" s="23">
        <v>243.52</v>
      </c>
      <c r="F660" s="23" t="s">
        <v>1390</v>
      </c>
      <c r="G660" s="14" t="s">
        <v>190</v>
      </c>
      <c r="H660" s="23" t="s">
        <v>40</v>
      </c>
      <c r="I660" s="23" t="s">
        <v>41</v>
      </c>
      <c r="J660" s="97">
        <f t="shared" si="160"/>
        <v>45731</v>
      </c>
      <c r="L660" s="19" t="str">
        <f t="shared" si="161"/>
        <v/>
      </c>
      <c r="M660" s="5">
        <f t="shared" si="162"/>
        <v>45742</v>
      </c>
      <c r="N660" s="4">
        <v>45804</v>
      </c>
      <c r="O660" s="19">
        <f t="shared" si="163"/>
        <v>-62</v>
      </c>
      <c r="P660" s="5">
        <f t="shared" si="164"/>
        <v>45757</v>
      </c>
      <c r="Q660" s="4">
        <v>45806</v>
      </c>
      <c r="R660" s="19">
        <f t="shared" si="165"/>
        <v>-49</v>
      </c>
      <c r="S660" s="5">
        <f t="shared" si="175"/>
        <v>45762</v>
      </c>
      <c r="T660" s="4">
        <v>45809</v>
      </c>
      <c r="U660" s="19">
        <f t="shared" si="166"/>
        <v>-47</v>
      </c>
      <c r="V660" s="5">
        <f t="shared" si="167"/>
        <v>45801</v>
      </c>
      <c r="W660" s="4">
        <v>45809</v>
      </c>
      <c r="X660" s="19">
        <f t="shared" si="168"/>
        <v>-8</v>
      </c>
      <c r="Y660" s="51">
        <f t="shared" si="169"/>
        <v>45826</v>
      </c>
      <c r="Z660" s="4">
        <v>45811</v>
      </c>
      <c r="AA660" s="49">
        <f t="shared" si="170"/>
        <v>15</v>
      </c>
      <c r="AB660" s="51">
        <f t="shared" si="171"/>
        <v>45831</v>
      </c>
      <c r="AC660" s="49">
        <f t="shared" si="172"/>
        <v>20</v>
      </c>
      <c r="AD660" s="43">
        <f t="shared" si="173"/>
        <v>45831</v>
      </c>
      <c r="AE660" s="4">
        <v>45811</v>
      </c>
      <c r="AF660" s="19">
        <f t="shared" si="174"/>
        <v>20</v>
      </c>
      <c r="AG660" s="67"/>
      <c r="AH660" s="2"/>
      <c r="AI660" s="2"/>
      <c r="AJ660" s="2"/>
      <c r="AK660" s="2"/>
      <c r="AL660" s="2"/>
    </row>
    <row r="661" spans="1:38" ht="14.45">
      <c r="A661" s="156">
        <v>660</v>
      </c>
      <c r="B661" s="59">
        <v>45831</v>
      </c>
      <c r="C661" s="34" t="s">
        <v>1391</v>
      </c>
      <c r="D661" s="23" t="s">
        <v>1392</v>
      </c>
      <c r="E661" s="23">
        <v>36994.49</v>
      </c>
      <c r="F661" s="23" t="s">
        <v>1393</v>
      </c>
      <c r="G661" s="14" t="s">
        <v>46</v>
      </c>
      <c r="H661" s="23" t="s">
        <v>36</v>
      </c>
      <c r="I661" s="23" t="s">
        <v>37</v>
      </c>
      <c r="J661" s="97">
        <f t="shared" si="160"/>
        <v>45731</v>
      </c>
      <c r="K661" s="4">
        <v>45715</v>
      </c>
      <c r="L661" s="19">
        <f t="shared" si="161"/>
        <v>16</v>
      </c>
      <c r="M661" s="5">
        <f t="shared" si="162"/>
        <v>45742</v>
      </c>
      <c r="N661" s="4">
        <v>45793</v>
      </c>
      <c r="O661" s="19">
        <f t="shared" si="163"/>
        <v>-51</v>
      </c>
      <c r="P661" s="5">
        <f t="shared" si="164"/>
        <v>45757</v>
      </c>
      <c r="R661" s="19" t="str">
        <f t="shared" si="165"/>
        <v/>
      </c>
      <c r="S661" s="5">
        <f t="shared" si="175"/>
        <v>45762</v>
      </c>
      <c r="T661" s="4">
        <v>45779</v>
      </c>
      <c r="U661" s="19">
        <f t="shared" si="166"/>
        <v>-17</v>
      </c>
      <c r="V661" s="5">
        <f t="shared" si="167"/>
        <v>45801</v>
      </c>
      <c r="W661" s="4">
        <v>45811</v>
      </c>
      <c r="X661" s="19">
        <f t="shared" si="168"/>
        <v>-10</v>
      </c>
      <c r="Y661" s="51">
        <f t="shared" si="169"/>
        <v>45826</v>
      </c>
      <c r="Z661" s="4">
        <v>45824</v>
      </c>
      <c r="AA661" s="49">
        <f t="shared" si="170"/>
        <v>2</v>
      </c>
      <c r="AB661" s="51">
        <f t="shared" si="171"/>
        <v>45831</v>
      </c>
      <c r="AC661" s="49">
        <f t="shared" si="172"/>
        <v>7</v>
      </c>
      <c r="AD661" s="43">
        <f t="shared" si="173"/>
        <v>45831</v>
      </c>
      <c r="AE661" s="4">
        <v>45824</v>
      </c>
      <c r="AF661" s="19">
        <f t="shared" si="174"/>
        <v>7</v>
      </c>
      <c r="AG661" s="67"/>
      <c r="AH661" s="2"/>
      <c r="AI661" s="2"/>
      <c r="AJ661" s="2"/>
      <c r="AK661" s="2"/>
      <c r="AL661" s="2"/>
    </row>
    <row r="662" spans="1:38" ht="14.45">
      <c r="A662" s="156">
        <v>661</v>
      </c>
      <c r="B662" s="59">
        <v>45831</v>
      </c>
      <c r="C662" s="34" t="s">
        <v>1394</v>
      </c>
      <c r="D662" s="23" t="s">
        <v>1395</v>
      </c>
      <c r="E662" s="23">
        <v>249375</v>
      </c>
      <c r="F662" s="23" t="s">
        <v>1396</v>
      </c>
      <c r="G662" s="14" t="s">
        <v>46</v>
      </c>
      <c r="H662" s="23" t="s">
        <v>36</v>
      </c>
      <c r="I662" s="23" t="s">
        <v>47</v>
      </c>
      <c r="J662" s="97">
        <f t="shared" si="160"/>
        <v>45731</v>
      </c>
      <c r="K662" s="4">
        <v>45715</v>
      </c>
      <c r="L662" s="19">
        <f t="shared" si="161"/>
        <v>16</v>
      </c>
      <c r="M662" s="5">
        <f t="shared" si="162"/>
        <v>45742</v>
      </c>
      <c r="N662" s="4">
        <v>45793</v>
      </c>
      <c r="O662" s="19">
        <f t="shared" si="163"/>
        <v>-51</v>
      </c>
      <c r="P662" s="5">
        <f t="shared" si="164"/>
        <v>45757</v>
      </c>
      <c r="R662" s="19" t="str">
        <f t="shared" si="165"/>
        <v/>
      </c>
      <c r="S662" s="5">
        <f t="shared" si="175"/>
        <v>45762</v>
      </c>
      <c r="T662" s="4">
        <v>45779</v>
      </c>
      <c r="U662" s="19">
        <f t="shared" si="166"/>
        <v>-17</v>
      </c>
      <c r="V662" s="5">
        <f t="shared" si="167"/>
        <v>45801</v>
      </c>
      <c r="W662" s="4">
        <v>45812</v>
      </c>
      <c r="X662" s="19">
        <f t="shared" si="168"/>
        <v>-11</v>
      </c>
      <c r="Y662" s="51">
        <f t="shared" si="169"/>
        <v>45826</v>
      </c>
      <c r="Z662" s="124">
        <v>45831</v>
      </c>
      <c r="AA662" s="49">
        <f t="shared" si="170"/>
        <v>-5</v>
      </c>
      <c r="AB662" s="51">
        <f t="shared" si="171"/>
        <v>45831</v>
      </c>
      <c r="AC662" s="49">
        <f t="shared" si="172"/>
        <v>0</v>
      </c>
      <c r="AD662" s="43">
        <f t="shared" si="173"/>
        <v>45831</v>
      </c>
      <c r="AE662" s="4">
        <v>45884</v>
      </c>
      <c r="AF662" s="19">
        <f t="shared" si="174"/>
        <v>-53</v>
      </c>
      <c r="AG662" s="67"/>
      <c r="AH662" s="2"/>
      <c r="AI662" s="2"/>
      <c r="AJ662" s="2"/>
      <c r="AK662" s="2"/>
      <c r="AL662" s="2"/>
    </row>
    <row r="663" spans="1:38" ht="14.45">
      <c r="A663" s="156">
        <v>662</v>
      </c>
      <c r="B663" s="59">
        <v>45831</v>
      </c>
      <c r="C663" s="34" t="s">
        <v>1397</v>
      </c>
      <c r="D663" s="23" t="s">
        <v>1395</v>
      </c>
      <c r="E663" s="23">
        <v>371535</v>
      </c>
      <c r="F663" s="23" t="s">
        <v>1398</v>
      </c>
      <c r="G663" s="14" t="s">
        <v>46</v>
      </c>
      <c r="H663" s="23" t="s">
        <v>36</v>
      </c>
      <c r="I663" s="23" t="s">
        <v>37</v>
      </c>
      <c r="J663" s="97">
        <f t="shared" si="160"/>
        <v>45731</v>
      </c>
      <c r="K663" s="4">
        <v>45715</v>
      </c>
      <c r="L663" s="19">
        <f t="shared" si="161"/>
        <v>16</v>
      </c>
      <c r="M663" s="5">
        <f t="shared" si="162"/>
        <v>45742</v>
      </c>
      <c r="N663" s="4">
        <v>45793</v>
      </c>
      <c r="O663" s="19">
        <f t="shared" si="163"/>
        <v>-51</v>
      </c>
      <c r="P663" s="5">
        <f t="shared" si="164"/>
        <v>45757</v>
      </c>
      <c r="R663" s="19" t="str">
        <f t="shared" si="165"/>
        <v/>
      </c>
      <c r="S663" s="5">
        <f t="shared" si="175"/>
        <v>45762</v>
      </c>
      <c r="T663" s="4">
        <v>45779</v>
      </c>
      <c r="U663" s="19">
        <f t="shared" si="166"/>
        <v>-17</v>
      </c>
      <c r="V663" s="5">
        <f t="shared" si="167"/>
        <v>45801</v>
      </c>
      <c r="W663" s="4">
        <v>45812</v>
      </c>
      <c r="X663" s="19">
        <f t="shared" si="168"/>
        <v>-11</v>
      </c>
      <c r="Y663" s="51">
        <f t="shared" si="169"/>
        <v>45826</v>
      </c>
      <c r="Z663" s="124">
        <v>45831</v>
      </c>
      <c r="AA663" s="49">
        <f t="shared" si="170"/>
        <v>-5</v>
      </c>
      <c r="AB663" s="51">
        <f t="shared" si="171"/>
        <v>45831</v>
      </c>
      <c r="AC663" s="49">
        <f t="shared" si="172"/>
        <v>0</v>
      </c>
      <c r="AD663" s="43">
        <f t="shared" si="173"/>
        <v>45831</v>
      </c>
      <c r="AG663" s="67"/>
      <c r="AH663" s="2"/>
      <c r="AI663" s="2"/>
      <c r="AJ663" s="2"/>
      <c r="AK663" s="2"/>
      <c r="AL663" s="2"/>
    </row>
    <row r="664" spans="1:38" ht="14.45">
      <c r="A664" s="156">
        <v>663</v>
      </c>
      <c r="B664" s="59">
        <v>45832</v>
      </c>
      <c r="C664" s="34" t="s">
        <v>1399</v>
      </c>
      <c r="D664" s="23" t="s">
        <v>1400</v>
      </c>
      <c r="E664" s="23">
        <v>29604</v>
      </c>
      <c r="F664" s="23" t="s">
        <v>1401</v>
      </c>
      <c r="G664" s="14" t="s">
        <v>120</v>
      </c>
      <c r="H664" s="23" t="s">
        <v>40</v>
      </c>
      <c r="I664" s="23" t="s">
        <v>37</v>
      </c>
      <c r="J664" s="97">
        <f t="shared" si="160"/>
        <v>45732</v>
      </c>
      <c r="L664" s="19" t="str">
        <f t="shared" si="161"/>
        <v/>
      </c>
      <c r="M664" s="5">
        <f t="shared" si="162"/>
        <v>45743</v>
      </c>
      <c r="O664" s="19" t="str">
        <f t="shared" si="163"/>
        <v/>
      </c>
      <c r="P664" s="5">
        <f t="shared" si="164"/>
        <v>45758</v>
      </c>
      <c r="R664" s="19" t="str">
        <f t="shared" si="165"/>
        <v/>
      </c>
      <c r="S664" s="5">
        <f t="shared" si="175"/>
        <v>45763</v>
      </c>
      <c r="U664" s="19" t="str">
        <f t="shared" si="166"/>
        <v/>
      </c>
      <c r="V664" s="5">
        <f t="shared" si="167"/>
        <v>45802</v>
      </c>
      <c r="X664" s="19" t="str">
        <f t="shared" si="168"/>
        <v/>
      </c>
      <c r="Y664" s="51">
        <f t="shared" si="169"/>
        <v>45827</v>
      </c>
      <c r="Z664" s="49"/>
      <c r="AA664" s="49" t="str">
        <f t="shared" si="170"/>
        <v/>
      </c>
      <c r="AB664" s="51">
        <f t="shared" si="171"/>
        <v>45832</v>
      </c>
      <c r="AC664" s="49" t="str">
        <f t="shared" si="172"/>
        <v/>
      </c>
      <c r="AD664" s="43">
        <f t="shared" si="173"/>
        <v>45832</v>
      </c>
      <c r="AF664" s="19" t="str">
        <f t="shared" si="174"/>
        <v/>
      </c>
      <c r="AG664" s="67"/>
      <c r="AH664" s="2"/>
      <c r="AI664" s="2"/>
      <c r="AJ664" s="2"/>
      <c r="AK664" s="2"/>
      <c r="AL664" s="2"/>
    </row>
    <row r="665" spans="1:38" ht="28.9">
      <c r="A665" s="156">
        <v>664</v>
      </c>
      <c r="B665" s="59">
        <v>45832</v>
      </c>
      <c r="C665" s="34" t="s">
        <v>1402</v>
      </c>
      <c r="D665" s="23" t="s">
        <v>1403</v>
      </c>
      <c r="E665" s="23">
        <v>7422.14</v>
      </c>
      <c r="F665" s="42" t="s">
        <v>1404</v>
      </c>
      <c r="G665" s="14" t="s">
        <v>51</v>
      </c>
      <c r="H665" s="23" t="s">
        <v>40</v>
      </c>
      <c r="I665" s="23" t="s">
        <v>93</v>
      </c>
      <c r="J665" s="97">
        <f t="shared" si="160"/>
        <v>45732</v>
      </c>
      <c r="L665" s="19" t="str">
        <f t="shared" si="161"/>
        <v/>
      </c>
      <c r="M665" s="5">
        <f t="shared" si="162"/>
        <v>45743</v>
      </c>
      <c r="N665" s="4">
        <v>45741</v>
      </c>
      <c r="O665" s="19">
        <f t="shared" si="163"/>
        <v>2</v>
      </c>
      <c r="P665" s="5">
        <f t="shared" si="164"/>
        <v>45758</v>
      </c>
      <c r="R665" s="19" t="str">
        <f t="shared" si="165"/>
        <v/>
      </c>
      <c r="S665" s="5">
        <f t="shared" si="175"/>
        <v>45763</v>
      </c>
      <c r="T665" s="4">
        <v>45796</v>
      </c>
      <c r="U665" s="19">
        <f t="shared" si="166"/>
        <v>-33</v>
      </c>
      <c r="V665" s="5">
        <f t="shared" si="167"/>
        <v>45802</v>
      </c>
      <c r="W665" s="4">
        <v>45814</v>
      </c>
      <c r="X665" s="19">
        <f t="shared" si="168"/>
        <v>-12</v>
      </c>
      <c r="Y665" s="51">
        <f t="shared" si="169"/>
        <v>45827</v>
      </c>
      <c r="Z665" s="4">
        <v>45832</v>
      </c>
      <c r="AA665" s="49">
        <f t="shared" si="170"/>
        <v>-5</v>
      </c>
      <c r="AB665" s="51">
        <f t="shared" si="171"/>
        <v>45832</v>
      </c>
      <c r="AC665" s="49">
        <f t="shared" si="172"/>
        <v>0</v>
      </c>
      <c r="AD665" s="43">
        <f t="shared" si="173"/>
        <v>45832</v>
      </c>
      <c r="AE665" s="4">
        <v>45832</v>
      </c>
      <c r="AF665" s="19">
        <f t="shared" si="174"/>
        <v>0</v>
      </c>
      <c r="AG665" s="67"/>
      <c r="AH665" s="2"/>
      <c r="AI665" s="2"/>
      <c r="AJ665" s="2"/>
      <c r="AK665" s="2"/>
      <c r="AL665" s="2"/>
    </row>
    <row r="666" spans="1:38" ht="14.45">
      <c r="A666" s="156">
        <v>665</v>
      </c>
      <c r="B666" s="59">
        <v>45832</v>
      </c>
      <c r="C666" s="34" t="s">
        <v>1405</v>
      </c>
      <c r="D666" s="23" t="s">
        <v>1406</v>
      </c>
      <c r="E666" s="23">
        <v>23492</v>
      </c>
      <c r="F666" s="23" t="s">
        <v>1407</v>
      </c>
      <c r="G666" s="14" t="s">
        <v>46</v>
      </c>
      <c r="H666" s="23" t="s">
        <v>40</v>
      </c>
      <c r="I666" s="23" t="s">
        <v>93</v>
      </c>
      <c r="J666" s="97">
        <f t="shared" si="160"/>
        <v>45732</v>
      </c>
      <c r="K666" s="4">
        <v>45715</v>
      </c>
      <c r="L666" s="19">
        <f t="shared" si="161"/>
        <v>17</v>
      </c>
      <c r="M666" s="5">
        <f t="shared" si="162"/>
        <v>45743</v>
      </c>
      <c r="O666" s="19" t="str">
        <f t="shared" si="163"/>
        <v/>
      </c>
      <c r="P666" s="5">
        <f t="shared" si="164"/>
        <v>45758</v>
      </c>
      <c r="R666" s="19" t="str">
        <f t="shared" si="165"/>
        <v/>
      </c>
      <c r="S666" s="5">
        <f t="shared" si="175"/>
        <v>45763</v>
      </c>
      <c r="T666" s="4">
        <v>45807</v>
      </c>
      <c r="U666" s="19">
        <f t="shared" si="166"/>
        <v>-44</v>
      </c>
      <c r="V666" s="5">
        <f t="shared" si="167"/>
        <v>45802</v>
      </c>
      <c r="W666" s="4">
        <v>45814</v>
      </c>
      <c r="X666" s="19">
        <f t="shared" si="168"/>
        <v>-12</v>
      </c>
      <c r="Y666" s="51">
        <f t="shared" si="169"/>
        <v>45827</v>
      </c>
      <c r="Z666" s="125"/>
      <c r="AA666" s="49" t="str">
        <f t="shared" si="170"/>
        <v/>
      </c>
      <c r="AB666" s="51">
        <f t="shared" si="171"/>
        <v>45832</v>
      </c>
      <c r="AC666" s="49" t="str">
        <f t="shared" si="172"/>
        <v/>
      </c>
      <c r="AD666" s="43">
        <f t="shared" si="173"/>
        <v>45832</v>
      </c>
      <c r="AE666" s="4">
        <v>45834</v>
      </c>
      <c r="AF666" s="19">
        <f t="shared" si="174"/>
        <v>-2</v>
      </c>
      <c r="AG666" s="67"/>
      <c r="AH666" s="2"/>
      <c r="AI666" s="2"/>
      <c r="AJ666" s="2"/>
      <c r="AK666" s="2"/>
      <c r="AL666" s="2"/>
    </row>
    <row r="667" spans="1:38" ht="14.45">
      <c r="A667" s="156">
        <v>666</v>
      </c>
      <c r="B667" s="59">
        <v>45835</v>
      </c>
      <c r="C667" s="34">
        <v>614083061</v>
      </c>
      <c r="D667" s="23" t="s">
        <v>847</v>
      </c>
      <c r="E667" s="23">
        <v>12488.74</v>
      </c>
      <c r="F667" s="23" t="s">
        <v>1408</v>
      </c>
      <c r="G667" s="14" t="s">
        <v>190</v>
      </c>
      <c r="H667" s="23" t="s">
        <v>36</v>
      </c>
      <c r="I667" s="23" t="s">
        <v>41</v>
      </c>
      <c r="J667" s="97">
        <f t="shared" si="160"/>
        <v>45735</v>
      </c>
      <c r="L667" s="19" t="str">
        <f t="shared" si="161"/>
        <v/>
      </c>
      <c r="M667" s="5">
        <f t="shared" si="162"/>
        <v>45746</v>
      </c>
      <c r="N667" s="4">
        <v>45831</v>
      </c>
      <c r="O667" s="19">
        <f t="shared" si="163"/>
        <v>-85</v>
      </c>
      <c r="P667" s="5">
        <f t="shared" si="164"/>
        <v>45761</v>
      </c>
      <c r="R667" s="19" t="str">
        <f t="shared" si="165"/>
        <v/>
      </c>
      <c r="S667" s="5">
        <f t="shared" si="175"/>
        <v>45766</v>
      </c>
      <c r="T667" s="4">
        <v>45834</v>
      </c>
      <c r="U667" s="19">
        <f t="shared" si="166"/>
        <v>-68</v>
      </c>
      <c r="V667" s="5">
        <f t="shared" si="167"/>
        <v>45805</v>
      </c>
      <c r="W667" s="4">
        <v>45845</v>
      </c>
      <c r="X667" s="19">
        <f t="shared" si="168"/>
        <v>-40</v>
      </c>
      <c r="Y667" s="51">
        <f t="shared" si="169"/>
        <v>45830</v>
      </c>
      <c r="Z667" s="51">
        <v>45835</v>
      </c>
      <c r="AA667" s="49">
        <f t="shared" si="170"/>
        <v>-5</v>
      </c>
      <c r="AB667" s="51">
        <f t="shared" si="171"/>
        <v>45835</v>
      </c>
      <c r="AC667" s="49">
        <f t="shared" si="172"/>
        <v>0</v>
      </c>
      <c r="AD667" s="43">
        <f t="shared" si="173"/>
        <v>45835</v>
      </c>
      <c r="AE667" s="4">
        <v>45848</v>
      </c>
      <c r="AF667" s="19">
        <f t="shared" si="174"/>
        <v>-13</v>
      </c>
      <c r="AG667" s="67"/>
      <c r="AH667" s="2"/>
      <c r="AI667" s="2"/>
      <c r="AJ667" s="2"/>
      <c r="AK667" s="2"/>
      <c r="AL667" s="2"/>
    </row>
    <row r="668" spans="1:38" ht="14.45">
      <c r="A668" s="156">
        <v>667</v>
      </c>
      <c r="B668" s="59">
        <v>45835</v>
      </c>
      <c r="C668" s="34" t="s">
        <v>1409</v>
      </c>
      <c r="D668" s="23" t="s">
        <v>213</v>
      </c>
      <c r="E668" s="23">
        <v>897.48</v>
      </c>
      <c r="F668" s="23" t="s">
        <v>1410</v>
      </c>
      <c r="G668" s="23" t="s">
        <v>51</v>
      </c>
      <c r="H668" s="23" t="s">
        <v>40</v>
      </c>
      <c r="I668" s="23" t="s">
        <v>62</v>
      </c>
      <c r="J668" s="97">
        <f t="shared" si="160"/>
        <v>45735</v>
      </c>
      <c r="L668" s="19" t="str">
        <f t="shared" si="161"/>
        <v/>
      </c>
      <c r="M668" s="5">
        <f t="shared" si="162"/>
        <v>45746</v>
      </c>
      <c r="N668" s="4">
        <v>45770</v>
      </c>
      <c r="O668" s="19">
        <f t="shared" si="163"/>
        <v>-24</v>
      </c>
      <c r="P668" s="5">
        <f t="shared" si="164"/>
        <v>45761</v>
      </c>
      <c r="R668" s="19" t="str">
        <f t="shared" si="165"/>
        <v/>
      </c>
      <c r="S668" s="5">
        <f t="shared" si="175"/>
        <v>45766</v>
      </c>
      <c r="U668" s="19" t="str">
        <f t="shared" si="166"/>
        <v/>
      </c>
      <c r="V668" s="5">
        <f t="shared" si="167"/>
        <v>45805</v>
      </c>
      <c r="X668" s="19" t="str">
        <f t="shared" si="168"/>
        <v/>
      </c>
      <c r="Y668" s="51">
        <f t="shared" si="169"/>
        <v>45830</v>
      </c>
      <c r="Z668" s="4">
        <v>45803</v>
      </c>
      <c r="AA668" s="49">
        <f t="shared" si="170"/>
        <v>27</v>
      </c>
      <c r="AB668" s="51">
        <f t="shared" si="171"/>
        <v>45835</v>
      </c>
      <c r="AC668" s="49">
        <f t="shared" si="172"/>
        <v>32</v>
      </c>
      <c r="AD668" s="43">
        <f t="shared" si="173"/>
        <v>45835</v>
      </c>
      <c r="AE668" s="4">
        <v>45803</v>
      </c>
      <c r="AF668" s="19">
        <f t="shared" si="174"/>
        <v>32</v>
      </c>
      <c r="AG668" s="67" t="s">
        <v>367</v>
      </c>
      <c r="AH668" s="2"/>
      <c r="AI668" s="2"/>
      <c r="AJ668" s="2"/>
      <c r="AK668" s="2"/>
      <c r="AL668" s="2"/>
    </row>
    <row r="669" spans="1:38" ht="14.45">
      <c r="A669" s="156">
        <v>668</v>
      </c>
      <c r="B669" s="59">
        <v>45836</v>
      </c>
      <c r="C669" s="34" t="s">
        <v>1411</v>
      </c>
      <c r="D669" s="23" t="s">
        <v>38</v>
      </c>
      <c r="E669" s="23">
        <v>1326</v>
      </c>
      <c r="F669" s="23" t="s">
        <v>1412</v>
      </c>
      <c r="G669" s="14" t="s">
        <v>190</v>
      </c>
      <c r="H669" s="23" t="s">
        <v>40</v>
      </c>
      <c r="I669" s="23" t="s">
        <v>41</v>
      </c>
      <c r="J669" s="97">
        <f t="shared" si="160"/>
        <v>45736</v>
      </c>
      <c r="L669" s="19" t="str">
        <f t="shared" si="161"/>
        <v/>
      </c>
      <c r="M669" s="5">
        <f t="shared" si="162"/>
        <v>45747</v>
      </c>
      <c r="N669" s="4">
        <v>45804</v>
      </c>
      <c r="O669" s="19">
        <f t="shared" si="163"/>
        <v>-57</v>
      </c>
      <c r="P669" s="5">
        <f t="shared" si="164"/>
        <v>45762</v>
      </c>
      <c r="Q669" s="4">
        <v>45806</v>
      </c>
      <c r="R669" s="19">
        <f t="shared" si="165"/>
        <v>-44</v>
      </c>
      <c r="S669" s="5">
        <f t="shared" si="175"/>
        <v>45767</v>
      </c>
      <c r="T669" s="4">
        <v>45809</v>
      </c>
      <c r="U669" s="19">
        <f t="shared" si="166"/>
        <v>-42</v>
      </c>
      <c r="V669" s="5">
        <f t="shared" si="167"/>
        <v>45806</v>
      </c>
      <c r="W669" s="4">
        <v>45809</v>
      </c>
      <c r="X669" s="19">
        <f t="shared" si="168"/>
        <v>-3</v>
      </c>
      <c r="Y669" s="51">
        <f t="shared" si="169"/>
        <v>45831</v>
      </c>
      <c r="Z669" s="4">
        <v>45811</v>
      </c>
      <c r="AA669" s="49">
        <f t="shared" si="170"/>
        <v>20</v>
      </c>
      <c r="AB669" s="51">
        <f t="shared" si="171"/>
        <v>45836</v>
      </c>
      <c r="AC669" s="49">
        <f t="shared" si="172"/>
        <v>25</v>
      </c>
      <c r="AD669" s="43">
        <f t="shared" si="173"/>
        <v>45836</v>
      </c>
      <c r="AE669" s="4">
        <v>45811</v>
      </c>
      <c r="AF669" s="19">
        <f t="shared" si="174"/>
        <v>25</v>
      </c>
      <c r="AG669" s="67"/>
      <c r="AH669" s="2"/>
      <c r="AI669" s="2"/>
      <c r="AJ669" s="2"/>
      <c r="AK669" s="2"/>
      <c r="AL669" s="2"/>
    </row>
    <row r="670" spans="1:38" ht="14.45">
      <c r="A670" s="156">
        <v>669</v>
      </c>
      <c r="B670" s="59">
        <v>45836</v>
      </c>
      <c r="C670" s="34" t="s">
        <v>1413</v>
      </c>
      <c r="D670" s="23" t="s">
        <v>1414</v>
      </c>
      <c r="E670" s="23">
        <v>12800</v>
      </c>
      <c r="F670" s="23" t="s">
        <v>1415</v>
      </c>
      <c r="G670" s="14" t="s">
        <v>46</v>
      </c>
      <c r="H670" s="23" t="s">
        <v>40</v>
      </c>
      <c r="I670" s="23" t="s">
        <v>62</v>
      </c>
      <c r="J670" s="97">
        <f t="shared" si="160"/>
        <v>45736</v>
      </c>
      <c r="K670" s="4">
        <v>45715</v>
      </c>
      <c r="L670" s="19">
        <f t="shared" si="161"/>
        <v>21</v>
      </c>
      <c r="M670" s="5">
        <f t="shared" si="162"/>
        <v>45747</v>
      </c>
      <c r="N670" s="4">
        <v>45783</v>
      </c>
      <c r="O670" s="19">
        <f t="shared" si="163"/>
        <v>-36</v>
      </c>
      <c r="P670" s="5">
        <f t="shared" si="164"/>
        <v>45762</v>
      </c>
      <c r="R670" s="19" t="str">
        <f t="shared" si="165"/>
        <v/>
      </c>
      <c r="S670" s="5">
        <f t="shared" si="175"/>
        <v>45767</v>
      </c>
      <c r="T670" s="4">
        <v>45779</v>
      </c>
      <c r="U670" s="19">
        <f t="shared" si="166"/>
        <v>-12</v>
      </c>
      <c r="V670" s="5">
        <f t="shared" si="167"/>
        <v>45806</v>
      </c>
      <c r="W670" s="4">
        <v>45807</v>
      </c>
      <c r="X670" s="19">
        <f t="shared" si="168"/>
        <v>-1</v>
      </c>
      <c r="Y670" s="51">
        <f t="shared" si="169"/>
        <v>45831</v>
      </c>
      <c r="Z670" s="4">
        <v>45817</v>
      </c>
      <c r="AA670" s="49">
        <f t="shared" si="170"/>
        <v>14</v>
      </c>
      <c r="AB670" s="51">
        <f t="shared" si="171"/>
        <v>45836</v>
      </c>
      <c r="AC670" s="49">
        <f t="shared" si="172"/>
        <v>19</v>
      </c>
      <c r="AD670" s="43">
        <f t="shared" si="173"/>
        <v>45836</v>
      </c>
      <c r="AE670" s="4">
        <v>45817</v>
      </c>
      <c r="AF670" s="19">
        <f t="shared" si="174"/>
        <v>19</v>
      </c>
      <c r="AG670" s="67"/>
      <c r="AH670" s="2"/>
      <c r="AI670" s="2"/>
      <c r="AJ670" s="2"/>
      <c r="AK670" s="2"/>
      <c r="AL670" s="2"/>
    </row>
    <row r="671" spans="1:38" ht="14.45">
      <c r="A671" s="156">
        <v>670</v>
      </c>
      <c r="B671" s="59">
        <v>45836</v>
      </c>
      <c r="C671" s="34" t="s">
        <v>1416</v>
      </c>
      <c r="D671" s="23" t="s">
        <v>1417</v>
      </c>
      <c r="E671" s="23">
        <v>5733</v>
      </c>
      <c r="F671" s="23" t="s">
        <v>1418</v>
      </c>
      <c r="G671" s="14" t="s">
        <v>46</v>
      </c>
      <c r="H671" s="23" t="s">
        <v>40</v>
      </c>
      <c r="I671" s="23" t="s">
        <v>62</v>
      </c>
      <c r="J671" s="97">
        <f t="shared" si="160"/>
        <v>45736</v>
      </c>
      <c r="K671" s="4">
        <v>45715</v>
      </c>
      <c r="L671" s="19">
        <f t="shared" si="161"/>
        <v>21</v>
      </c>
      <c r="M671" s="5">
        <f t="shared" si="162"/>
        <v>45747</v>
      </c>
      <c r="N671" s="4">
        <v>45799</v>
      </c>
      <c r="O671" s="19">
        <f t="shared" si="163"/>
        <v>-52</v>
      </c>
      <c r="P671" s="5">
        <f t="shared" si="164"/>
        <v>45762</v>
      </c>
      <c r="R671" s="19" t="str">
        <f t="shared" si="165"/>
        <v/>
      </c>
      <c r="S671" s="5">
        <f t="shared" si="175"/>
        <v>45767</v>
      </c>
      <c r="T671" s="4">
        <v>45779</v>
      </c>
      <c r="U671" s="19">
        <f t="shared" si="166"/>
        <v>-12</v>
      </c>
      <c r="V671" s="5">
        <f t="shared" si="167"/>
        <v>45806</v>
      </c>
      <c r="W671" s="4">
        <v>45814</v>
      </c>
      <c r="X671" s="19">
        <f t="shared" si="168"/>
        <v>-8</v>
      </c>
      <c r="Y671" s="51">
        <f t="shared" si="169"/>
        <v>45831</v>
      </c>
      <c r="Z671" s="4">
        <v>45826</v>
      </c>
      <c r="AA671" s="49">
        <f t="shared" si="170"/>
        <v>5</v>
      </c>
      <c r="AB671" s="51">
        <f t="shared" si="171"/>
        <v>45836</v>
      </c>
      <c r="AC671" s="49">
        <f t="shared" si="172"/>
        <v>10</v>
      </c>
      <c r="AD671" s="43">
        <f t="shared" si="173"/>
        <v>45836</v>
      </c>
      <c r="AE671" s="4">
        <v>45826</v>
      </c>
      <c r="AF671" s="19">
        <f t="shared" si="174"/>
        <v>10</v>
      </c>
      <c r="AG671" s="67"/>
      <c r="AH671" s="2"/>
      <c r="AI671" s="2"/>
      <c r="AJ671" s="2"/>
      <c r="AK671" s="2"/>
      <c r="AL671" s="2"/>
    </row>
    <row r="672" spans="1:38" ht="14.45">
      <c r="A672" s="156">
        <v>671</v>
      </c>
      <c r="B672" s="59">
        <v>45837</v>
      </c>
      <c r="C672" s="34" t="s">
        <v>1419</v>
      </c>
      <c r="D672" s="23" t="s">
        <v>38</v>
      </c>
      <c r="E672" s="23">
        <v>177.01</v>
      </c>
      <c r="F672" s="23" t="s">
        <v>1420</v>
      </c>
      <c r="G672" s="14" t="s">
        <v>190</v>
      </c>
      <c r="H672" s="23" t="s">
        <v>40</v>
      </c>
      <c r="I672" s="23" t="s">
        <v>41</v>
      </c>
      <c r="J672" s="97">
        <f t="shared" si="160"/>
        <v>45737</v>
      </c>
      <c r="L672" s="19" t="str">
        <f t="shared" si="161"/>
        <v/>
      </c>
      <c r="M672" s="5">
        <f t="shared" si="162"/>
        <v>45748</v>
      </c>
      <c r="N672" s="4">
        <v>45804</v>
      </c>
      <c r="O672" s="19">
        <f t="shared" si="163"/>
        <v>-56</v>
      </c>
      <c r="P672" s="5">
        <f t="shared" si="164"/>
        <v>45763</v>
      </c>
      <c r="Q672" s="4">
        <v>45806</v>
      </c>
      <c r="R672" s="19">
        <f t="shared" si="165"/>
        <v>-43</v>
      </c>
      <c r="S672" s="5">
        <f t="shared" si="175"/>
        <v>45768</v>
      </c>
      <c r="T672" s="4">
        <v>45809</v>
      </c>
      <c r="U672" s="19">
        <f t="shared" si="166"/>
        <v>-41</v>
      </c>
      <c r="V672" s="5">
        <f t="shared" si="167"/>
        <v>45807</v>
      </c>
      <c r="W672" s="4">
        <v>45809</v>
      </c>
      <c r="X672" s="19">
        <f t="shared" si="168"/>
        <v>-2</v>
      </c>
      <c r="Y672" s="51">
        <f t="shared" si="169"/>
        <v>45832</v>
      </c>
      <c r="Z672" s="4">
        <v>45811</v>
      </c>
      <c r="AA672" s="49">
        <f t="shared" si="170"/>
        <v>21</v>
      </c>
      <c r="AB672" s="51">
        <f t="shared" si="171"/>
        <v>45837</v>
      </c>
      <c r="AC672" s="49">
        <f t="shared" si="172"/>
        <v>26</v>
      </c>
      <c r="AD672" s="43">
        <f t="shared" si="173"/>
        <v>45837</v>
      </c>
      <c r="AE672" s="4">
        <v>45811</v>
      </c>
      <c r="AF672" s="19">
        <f t="shared" si="174"/>
        <v>26</v>
      </c>
      <c r="AG672" s="67"/>
      <c r="AH672" s="2"/>
      <c r="AI672" s="2"/>
      <c r="AJ672" s="2"/>
      <c r="AK672" s="2"/>
      <c r="AL672" s="2"/>
    </row>
    <row r="673" spans="1:38" ht="14.45">
      <c r="A673" s="156">
        <v>672</v>
      </c>
      <c r="B673" s="59">
        <v>45837</v>
      </c>
      <c r="C673" s="34" t="s">
        <v>1421</v>
      </c>
      <c r="D673" s="23" t="s">
        <v>1422</v>
      </c>
      <c r="E673" s="23">
        <v>1157.57</v>
      </c>
      <c r="F673" s="23" t="s">
        <v>1423</v>
      </c>
      <c r="G673" s="14" t="s">
        <v>35</v>
      </c>
      <c r="H673" s="23" t="s">
        <v>40</v>
      </c>
      <c r="I673" s="23" t="s">
        <v>37</v>
      </c>
      <c r="J673" s="97">
        <f t="shared" si="160"/>
        <v>45737</v>
      </c>
      <c r="L673" s="19" t="str">
        <f t="shared" si="161"/>
        <v/>
      </c>
      <c r="M673" s="5">
        <f t="shared" si="162"/>
        <v>45748</v>
      </c>
      <c r="O673" s="19" t="str">
        <f t="shared" si="163"/>
        <v/>
      </c>
      <c r="P673" s="5">
        <f t="shared" si="164"/>
        <v>45763</v>
      </c>
      <c r="R673" s="19" t="str">
        <f t="shared" si="165"/>
        <v/>
      </c>
      <c r="S673" s="5">
        <f t="shared" si="175"/>
        <v>45768</v>
      </c>
      <c r="U673" s="19" t="str">
        <f t="shared" si="166"/>
        <v/>
      </c>
      <c r="V673" s="5">
        <f t="shared" si="167"/>
        <v>45807</v>
      </c>
      <c r="X673" s="19" t="str">
        <f t="shared" si="168"/>
        <v/>
      </c>
      <c r="Y673" s="51">
        <f t="shared" si="169"/>
        <v>45832</v>
      </c>
      <c r="Z673" s="49"/>
      <c r="AA673" s="49" t="str">
        <f t="shared" si="170"/>
        <v/>
      </c>
      <c r="AB673" s="51">
        <f t="shared" si="171"/>
        <v>45837</v>
      </c>
      <c r="AC673" s="49" t="str">
        <f t="shared" si="172"/>
        <v/>
      </c>
      <c r="AD673" s="43">
        <f t="shared" si="173"/>
        <v>45837</v>
      </c>
      <c r="AF673" s="19" t="str">
        <f t="shared" si="174"/>
        <v/>
      </c>
      <c r="AG673" s="67"/>
      <c r="AH673" s="2"/>
      <c r="AI673" s="2"/>
      <c r="AJ673" s="2"/>
      <c r="AK673" s="2"/>
      <c r="AL673" s="2"/>
    </row>
    <row r="674" spans="1:38" ht="14.45">
      <c r="A674" s="156">
        <v>673</v>
      </c>
      <c r="B674" s="59">
        <v>45837</v>
      </c>
      <c r="C674" s="34" t="s">
        <v>1424</v>
      </c>
      <c r="D674" s="23" t="s">
        <v>66</v>
      </c>
      <c r="E674" s="23">
        <v>145.58000000000001</v>
      </c>
      <c r="F674" s="23" t="s">
        <v>1425</v>
      </c>
      <c r="G674" s="23" t="s">
        <v>110</v>
      </c>
      <c r="H674" s="23" t="s">
        <v>40</v>
      </c>
      <c r="I674" s="23" t="s">
        <v>1426</v>
      </c>
      <c r="J674" s="97">
        <f t="shared" si="160"/>
        <v>45737</v>
      </c>
      <c r="K674" s="4">
        <v>45749</v>
      </c>
      <c r="L674" s="19">
        <f t="shared" si="161"/>
        <v>-12</v>
      </c>
      <c r="M674" s="5">
        <f t="shared" si="162"/>
        <v>45748</v>
      </c>
      <c r="N674" s="4">
        <v>45694</v>
      </c>
      <c r="O674" s="19">
        <f t="shared" si="163"/>
        <v>54</v>
      </c>
      <c r="P674" s="5">
        <f t="shared" si="164"/>
        <v>45763</v>
      </c>
      <c r="R674" s="19" t="str">
        <f t="shared" si="165"/>
        <v/>
      </c>
      <c r="S674" s="5">
        <f t="shared" si="175"/>
        <v>45768</v>
      </c>
      <c r="T674" s="4">
        <v>45749</v>
      </c>
      <c r="U674" s="19">
        <f t="shared" si="166"/>
        <v>19</v>
      </c>
      <c r="V674" s="5">
        <f t="shared" si="167"/>
        <v>45807</v>
      </c>
      <c r="W674" s="4">
        <v>45749</v>
      </c>
      <c r="X674" s="19">
        <f t="shared" si="168"/>
        <v>58</v>
      </c>
      <c r="Y674" s="51">
        <f t="shared" si="169"/>
        <v>45832</v>
      </c>
      <c r="Z674" s="4">
        <v>45749</v>
      </c>
      <c r="AA674" s="49">
        <f t="shared" si="170"/>
        <v>83</v>
      </c>
      <c r="AB674" s="51">
        <f t="shared" si="171"/>
        <v>45837</v>
      </c>
      <c r="AC674" s="49">
        <f t="shared" si="172"/>
        <v>88</v>
      </c>
      <c r="AD674" s="43">
        <f t="shared" si="173"/>
        <v>45837</v>
      </c>
      <c r="AE674" s="4">
        <v>45749</v>
      </c>
      <c r="AF674" s="19">
        <f t="shared" si="174"/>
        <v>88</v>
      </c>
      <c r="AG674" s="67"/>
      <c r="AH674" s="2"/>
      <c r="AI674" s="2"/>
      <c r="AJ674" s="2"/>
      <c r="AK674" s="2"/>
      <c r="AL674" s="2"/>
    </row>
    <row r="675" spans="1:38" ht="14.45">
      <c r="A675" s="156">
        <v>674</v>
      </c>
      <c r="B675" s="59">
        <v>45837</v>
      </c>
      <c r="C675" s="39" t="s">
        <v>1427</v>
      </c>
      <c r="D675" s="23" t="s">
        <v>38</v>
      </c>
      <c r="E675" s="44">
        <v>149.46</v>
      </c>
      <c r="F675" s="35" t="s">
        <v>158</v>
      </c>
      <c r="G675" s="23" t="s">
        <v>190</v>
      </c>
      <c r="H675" s="23" t="s">
        <v>40</v>
      </c>
      <c r="I675" s="23" t="s">
        <v>41</v>
      </c>
      <c r="J675" s="97">
        <f t="shared" si="160"/>
        <v>45737</v>
      </c>
      <c r="M675" s="5">
        <f t="shared" si="162"/>
        <v>45748</v>
      </c>
      <c r="N675" s="4">
        <v>45804</v>
      </c>
      <c r="O675" s="19">
        <f t="shared" si="163"/>
        <v>-56</v>
      </c>
      <c r="P675" s="5">
        <f t="shared" si="164"/>
        <v>45763</v>
      </c>
      <c r="Q675" s="4">
        <v>45806</v>
      </c>
      <c r="R675" s="19">
        <f t="shared" si="165"/>
        <v>-43</v>
      </c>
      <c r="S675" s="5">
        <f t="shared" si="175"/>
        <v>45768</v>
      </c>
      <c r="T675" s="4">
        <v>45809</v>
      </c>
      <c r="U675" s="19">
        <f t="shared" si="166"/>
        <v>-41</v>
      </c>
      <c r="V675" s="5">
        <f t="shared" si="167"/>
        <v>45807</v>
      </c>
      <c r="W675" s="4">
        <v>45809</v>
      </c>
      <c r="X675" s="19">
        <f t="shared" si="168"/>
        <v>-2</v>
      </c>
      <c r="Y675" s="51">
        <f t="shared" si="169"/>
        <v>45832</v>
      </c>
      <c r="Z675" s="4">
        <v>45811</v>
      </c>
      <c r="AA675" s="49">
        <f t="shared" si="170"/>
        <v>21</v>
      </c>
      <c r="AB675" s="51">
        <f t="shared" si="171"/>
        <v>45837</v>
      </c>
      <c r="AC675" s="49">
        <f t="shared" si="172"/>
        <v>26</v>
      </c>
      <c r="AD675" s="43">
        <f t="shared" si="173"/>
        <v>45837</v>
      </c>
      <c r="AE675" s="4">
        <v>45811</v>
      </c>
      <c r="AF675" s="19">
        <f t="shared" si="174"/>
        <v>26</v>
      </c>
      <c r="AG675" s="67"/>
      <c r="AH675" s="2"/>
      <c r="AI675" s="2"/>
      <c r="AJ675" s="2"/>
      <c r="AK675" s="2"/>
      <c r="AL675" s="2"/>
    </row>
    <row r="676" spans="1:38" ht="14.45">
      <c r="A676" s="156">
        <v>675</v>
      </c>
      <c r="B676" s="59">
        <v>45838</v>
      </c>
      <c r="C676" s="34" t="s">
        <v>1428</v>
      </c>
      <c r="D676" s="23" t="s">
        <v>38</v>
      </c>
      <c r="E676" s="23">
        <v>161.38999999999999</v>
      </c>
      <c r="F676" s="23" t="s">
        <v>493</v>
      </c>
      <c r="G676" s="23" t="s">
        <v>190</v>
      </c>
      <c r="H676" s="23" t="s">
        <v>40</v>
      </c>
      <c r="I676" s="23" t="s">
        <v>41</v>
      </c>
      <c r="J676" s="97">
        <f t="shared" si="160"/>
        <v>45738</v>
      </c>
      <c r="L676" s="19" t="str">
        <f t="shared" ref="L676:L707" si="176">IF(OR(J676="", K676=""), "", J676-K676)</f>
        <v/>
      </c>
      <c r="M676" s="5">
        <f t="shared" si="162"/>
        <v>45749</v>
      </c>
      <c r="N676" s="4">
        <v>45804</v>
      </c>
      <c r="O676" s="19">
        <f t="shared" si="163"/>
        <v>-55</v>
      </c>
      <c r="P676" s="5">
        <f t="shared" si="164"/>
        <v>45764</v>
      </c>
      <c r="Q676" s="4">
        <v>45806</v>
      </c>
      <c r="R676" s="19">
        <f t="shared" si="165"/>
        <v>-42</v>
      </c>
      <c r="S676" s="5">
        <f t="shared" si="175"/>
        <v>45769</v>
      </c>
      <c r="T676" s="4">
        <v>45809</v>
      </c>
      <c r="U676" s="19">
        <f t="shared" si="166"/>
        <v>-40</v>
      </c>
      <c r="V676" s="5">
        <f t="shared" si="167"/>
        <v>45808</v>
      </c>
      <c r="W676" s="4">
        <v>45809</v>
      </c>
      <c r="X676" s="19">
        <f t="shared" si="168"/>
        <v>-1</v>
      </c>
      <c r="Y676" s="51">
        <f t="shared" si="169"/>
        <v>45833</v>
      </c>
      <c r="Z676" s="4">
        <v>45831</v>
      </c>
      <c r="AA676" s="49">
        <f t="shared" si="170"/>
        <v>2</v>
      </c>
      <c r="AB676" s="51">
        <f t="shared" si="171"/>
        <v>45838</v>
      </c>
      <c r="AC676" s="49">
        <f t="shared" si="172"/>
        <v>7</v>
      </c>
      <c r="AD676" s="43">
        <f t="shared" si="173"/>
        <v>45838</v>
      </c>
      <c r="AE676" s="4">
        <v>45831</v>
      </c>
      <c r="AF676" s="19">
        <f t="shared" si="174"/>
        <v>7</v>
      </c>
      <c r="AG676" s="67"/>
      <c r="AH676" s="2"/>
      <c r="AI676" s="2"/>
      <c r="AJ676" s="2"/>
      <c r="AK676" s="2"/>
      <c r="AL676" s="2"/>
    </row>
    <row r="677" spans="1:38" ht="14.45">
      <c r="A677" s="156">
        <v>676</v>
      </c>
      <c r="B677" s="59">
        <v>45838</v>
      </c>
      <c r="C677" s="34" t="s">
        <v>1429</v>
      </c>
      <c r="D677" s="23" t="s">
        <v>38</v>
      </c>
      <c r="E677" s="23">
        <v>81.010000000000005</v>
      </c>
      <c r="F677" s="23" t="s">
        <v>1430</v>
      </c>
      <c r="G677" s="14" t="s">
        <v>190</v>
      </c>
      <c r="H677" s="23" t="s">
        <v>40</v>
      </c>
      <c r="I677" s="23" t="s">
        <v>41</v>
      </c>
      <c r="J677" s="97">
        <f t="shared" si="160"/>
        <v>45738</v>
      </c>
      <c r="L677" s="19" t="str">
        <f t="shared" si="176"/>
        <v/>
      </c>
      <c r="M677" s="5">
        <f t="shared" si="162"/>
        <v>45749</v>
      </c>
      <c r="N677" s="4">
        <v>45804</v>
      </c>
      <c r="O677" s="19">
        <f t="shared" si="163"/>
        <v>-55</v>
      </c>
      <c r="P677" s="5">
        <f t="shared" si="164"/>
        <v>45764</v>
      </c>
      <c r="Q677" s="4">
        <v>45806</v>
      </c>
      <c r="R677" s="19">
        <f t="shared" si="165"/>
        <v>-42</v>
      </c>
      <c r="S677" s="5">
        <f t="shared" si="175"/>
        <v>45769</v>
      </c>
      <c r="T677" s="4">
        <v>45809</v>
      </c>
      <c r="U677" s="19">
        <f t="shared" si="166"/>
        <v>-40</v>
      </c>
      <c r="V677" s="5">
        <f t="shared" si="167"/>
        <v>45808</v>
      </c>
      <c r="W677" s="4">
        <v>45809</v>
      </c>
      <c r="X677" s="19">
        <f t="shared" si="168"/>
        <v>-1</v>
      </c>
      <c r="Y677" s="51">
        <f t="shared" si="169"/>
        <v>45833</v>
      </c>
      <c r="Z677" s="4">
        <v>45811</v>
      </c>
      <c r="AA677" s="49">
        <f t="shared" si="170"/>
        <v>22</v>
      </c>
      <c r="AB677" s="51">
        <f t="shared" si="171"/>
        <v>45838</v>
      </c>
      <c r="AC677" s="49">
        <f t="shared" si="172"/>
        <v>27</v>
      </c>
      <c r="AD677" s="43">
        <f t="shared" si="173"/>
        <v>45838</v>
      </c>
      <c r="AE677" s="4">
        <v>45811</v>
      </c>
      <c r="AF677" s="19">
        <f t="shared" si="174"/>
        <v>27</v>
      </c>
      <c r="AG677" s="67"/>
      <c r="AH677" s="2"/>
      <c r="AI677" s="2"/>
      <c r="AJ677" s="2"/>
      <c r="AK677" s="2"/>
      <c r="AL677" s="2"/>
    </row>
    <row r="678" spans="1:38" ht="14.45">
      <c r="A678" s="156">
        <v>677</v>
      </c>
      <c r="B678" s="59">
        <v>45838</v>
      </c>
      <c r="C678" s="34" t="s">
        <v>1431</v>
      </c>
      <c r="D678" s="23" t="s">
        <v>38</v>
      </c>
      <c r="E678" s="23">
        <v>294.11</v>
      </c>
      <c r="F678" s="23" t="s">
        <v>1432</v>
      </c>
      <c r="G678" s="14" t="s">
        <v>190</v>
      </c>
      <c r="H678" s="23" t="s">
        <v>40</v>
      </c>
      <c r="I678" s="23" t="s">
        <v>41</v>
      </c>
      <c r="J678" s="97">
        <f t="shared" si="160"/>
        <v>45738</v>
      </c>
      <c r="L678" s="19" t="str">
        <f t="shared" si="176"/>
        <v/>
      </c>
      <c r="M678" s="5">
        <f t="shared" si="162"/>
        <v>45749</v>
      </c>
      <c r="N678" s="4">
        <v>45804</v>
      </c>
      <c r="O678" s="19">
        <f t="shared" si="163"/>
        <v>-55</v>
      </c>
      <c r="P678" s="5">
        <f t="shared" si="164"/>
        <v>45764</v>
      </c>
      <c r="Q678" s="4">
        <v>45806</v>
      </c>
      <c r="R678" s="19">
        <f t="shared" si="165"/>
        <v>-42</v>
      </c>
      <c r="S678" s="5">
        <f t="shared" si="175"/>
        <v>45769</v>
      </c>
      <c r="T678" s="4">
        <v>45809</v>
      </c>
      <c r="U678" s="19">
        <f t="shared" si="166"/>
        <v>-40</v>
      </c>
      <c r="V678" s="5">
        <f t="shared" si="167"/>
        <v>45808</v>
      </c>
      <c r="W678" s="4">
        <v>45809</v>
      </c>
      <c r="X678" s="19">
        <f t="shared" si="168"/>
        <v>-1</v>
      </c>
      <c r="Y678" s="51">
        <f t="shared" si="169"/>
        <v>45833</v>
      </c>
      <c r="Z678" s="4">
        <v>45831</v>
      </c>
      <c r="AA678" s="49">
        <f t="shared" si="170"/>
        <v>2</v>
      </c>
      <c r="AB678" s="51">
        <f t="shared" si="171"/>
        <v>45838</v>
      </c>
      <c r="AC678" s="49">
        <f t="shared" si="172"/>
        <v>7</v>
      </c>
      <c r="AD678" s="43">
        <f t="shared" si="173"/>
        <v>45838</v>
      </c>
      <c r="AE678" s="4">
        <v>45831</v>
      </c>
      <c r="AF678" s="19">
        <f t="shared" si="174"/>
        <v>7</v>
      </c>
      <c r="AG678" s="67"/>
      <c r="AH678" s="2"/>
      <c r="AI678" s="2"/>
      <c r="AJ678" s="2"/>
      <c r="AK678" s="2"/>
      <c r="AL678" s="2"/>
    </row>
    <row r="679" spans="1:38" ht="14.45">
      <c r="A679" s="156">
        <v>678</v>
      </c>
      <c r="B679" s="59">
        <v>45838</v>
      </c>
      <c r="C679" s="34" t="s">
        <v>1433</v>
      </c>
      <c r="D679" s="23" t="s">
        <v>38</v>
      </c>
      <c r="E679" s="23">
        <v>2820</v>
      </c>
      <c r="F679" s="23" t="s">
        <v>1434</v>
      </c>
      <c r="G679" s="14" t="s">
        <v>190</v>
      </c>
      <c r="H679" s="23" t="s">
        <v>36</v>
      </c>
      <c r="I679" s="23" t="s">
        <v>41</v>
      </c>
      <c r="J679" s="97">
        <f t="shared" si="160"/>
        <v>45738</v>
      </c>
      <c r="L679" s="19" t="str">
        <f t="shared" si="176"/>
        <v/>
      </c>
      <c r="M679" s="5">
        <f t="shared" si="162"/>
        <v>45749</v>
      </c>
      <c r="N679" s="4">
        <v>45804</v>
      </c>
      <c r="O679" s="19">
        <f t="shared" si="163"/>
        <v>-55</v>
      </c>
      <c r="P679" s="5">
        <f t="shared" si="164"/>
        <v>45764</v>
      </c>
      <c r="Q679" s="4">
        <v>45806</v>
      </c>
      <c r="R679" s="19">
        <f t="shared" si="165"/>
        <v>-42</v>
      </c>
      <c r="S679" s="5">
        <f t="shared" si="175"/>
        <v>45769</v>
      </c>
      <c r="T679" s="4">
        <v>45809</v>
      </c>
      <c r="U679" s="19">
        <f t="shared" si="166"/>
        <v>-40</v>
      </c>
      <c r="V679" s="5">
        <f t="shared" si="167"/>
        <v>45808</v>
      </c>
      <c r="W679" s="4">
        <v>45809</v>
      </c>
      <c r="X679" s="19">
        <f t="shared" si="168"/>
        <v>-1</v>
      </c>
      <c r="Y679" s="51">
        <f t="shared" si="169"/>
        <v>45833</v>
      </c>
      <c r="Z679" s="4">
        <v>45811</v>
      </c>
      <c r="AA679" s="49">
        <f t="shared" si="170"/>
        <v>22</v>
      </c>
      <c r="AB679" s="51">
        <f t="shared" si="171"/>
        <v>45838</v>
      </c>
      <c r="AC679" s="49">
        <f t="shared" si="172"/>
        <v>27</v>
      </c>
      <c r="AD679" s="43">
        <f t="shared" si="173"/>
        <v>45838</v>
      </c>
      <c r="AE679" s="4">
        <v>45811</v>
      </c>
      <c r="AF679" s="19">
        <f t="shared" si="174"/>
        <v>27</v>
      </c>
      <c r="AG679" s="67"/>
      <c r="AH679" s="2"/>
      <c r="AI679" s="2"/>
      <c r="AJ679" s="2"/>
      <c r="AK679" s="2"/>
      <c r="AL679" s="2"/>
    </row>
    <row r="680" spans="1:38" ht="14.45">
      <c r="A680" s="156">
        <v>679</v>
      </c>
      <c r="B680" s="59">
        <v>45838</v>
      </c>
      <c r="C680" s="34" t="s">
        <v>1435</v>
      </c>
      <c r="D680" s="23" t="s">
        <v>620</v>
      </c>
      <c r="E680" s="23">
        <v>1076.92</v>
      </c>
      <c r="F680" s="23" t="s">
        <v>1436</v>
      </c>
      <c r="G680" s="10" t="s">
        <v>120</v>
      </c>
      <c r="H680" s="23" t="s">
        <v>40</v>
      </c>
      <c r="I680" s="23" t="s">
        <v>41</v>
      </c>
      <c r="J680" s="97">
        <f t="shared" si="160"/>
        <v>45738</v>
      </c>
      <c r="L680" s="19" t="str">
        <f t="shared" si="176"/>
        <v/>
      </c>
      <c r="M680" s="5">
        <f t="shared" si="162"/>
        <v>45749</v>
      </c>
      <c r="O680" s="19" t="str">
        <f t="shared" si="163"/>
        <v/>
      </c>
      <c r="P680" s="5">
        <f t="shared" si="164"/>
        <v>45764</v>
      </c>
      <c r="R680" s="19" t="str">
        <f t="shared" si="165"/>
        <v/>
      </c>
      <c r="S680" s="5">
        <f t="shared" si="175"/>
        <v>45769</v>
      </c>
      <c r="T680" s="4">
        <v>45810</v>
      </c>
      <c r="U680" s="19">
        <f t="shared" si="166"/>
        <v>-41</v>
      </c>
      <c r="V680" s="5">
        <f t="shared" si="167"/>
        <v>45808</v>
      </c>
      <c r="W680" s="4">
        <v>45811</v>
      </c>
      <c r="X680" s="19">
        <f t="shared" si="168"/>
        <v>-3</v>
      </c>
      <c r="Y680" s="51">
        <f t="shared" si="169"/>
        <v>45833</v>
      </c>
      <c r="Z680" s="4">
        <v>45811</v>
      </c>
      <c r="AA680" s="49">
        <f t="shared" si="170"/>
        <v>22</v>
      </c>
      <c r="AB680" s="51">
        <f t="shared" si="171"/>
        <v>45838</v>
      </c>
      <c r="AC680" s="49">
        <f t="shared" si="172"/>
        <v>27</v>
      </c>
      <c r="AD680" s="43">
        <f t="shared" si="173"/>
        <v>45838</v>
      </c>
      <c r="AE680" s="4">
        <v>45811</v>
      </c>
      <c r="AF680" s="19">
        <f t="shared" si="174"/>
        <v>27</v>
      </c>
      <c r="AG680" s="67"/>
      <c r="AH680" s="2"/>
      <c r="AI680" s="2"/>
      <c r="AJ680" s="2"/>
      <c r="AK680" s="2"/>
      <c r="AL680" s="2"/>
    </row>
    <row r="681" spans="1:38" ht="14.45">
      <c r="A681" s="156">
        <v>680</v>
      </c>
      <c r="B681" s="59">
        <v>45838</v>
      </c>
      <c r="C681" s="34">
        <v>66820</v>
      </c>
      <c r="D681" s="23" t="s">
        <v>1437</v>
      </c>
      <c r="E681" s="23">
        <v>18784</v>
      </c>
      <c r="F681" s="23" t="s">
        <v>1438</v>
      </c>
      <c r="G681" s="14" t="s">
        <v>35</v>
      </c>
      <c r="H681" s="23" t="s">
        <v>40</v>
      </c>
      <c r="I681" s="23" t="s">
        <v>62</v>
      </c>
      <c r="J681" s="97">
        <f t="shared" si="160"/>
        <v>45738</v>
      </c>
      <c r="L681" s="19" t="str">
        <f t="shared" si="176"/>
        <v/>
      </c>
      <c r="M681" s="5">
        <f t="shared" si="162"/>
        <v>45749</v>
      </c>
      <c r="O681" s="19" t="str">
        <f t="shared" si="163"/>
        <v/>
      </c>
      <c r="P681" s="5">
        <f t="shared" si="164"/>
        <v>45764</v>
      </c>
      <c r="R681" s="19" t="str">
        <f t="shared" si="165"/>
        <v/>
      </c>
      <c r="S681" s="5">
        <f t="shared" si="175"/>
        <v>45769</v>
      </c>
      <c r="U681" s="19" t="str">
        <f t="shared" si="166"/>
        <v/>
      </c>
      <c r="V681" s="5">
        <f t="shared" si="167"/>
        <v>45808</v>
      </c>
      <c r="X681" s="19" t="str">
        <f t="shared" si="168"/>
        <v/>
      </c>
      <c r="Y681" s="51">
        <f t="shared" si="169"/>
        <v>45833</v>
      </c>
      <c r="Z681" s="49"/>
      <c r="AA681" s="49" t="str">
        <f t="shared" si="170"/>
        <v/>
      </c>
      <c r="AB681" s="51">
        <f t="shared" si="171"/>
        <v>45838</v>
      </c>
      <c r="AC681" s="49" t="str">
        <f t="shared" si="172"/>
        <v/>
      </c>
      <c r="AD681" s="43">
        <f t="shared" si="173"/>
        <v>45838</v>
      </c>
      <c r="AF681" s="19" t="str">
        <f t="shared" si="174"/>
        <v/>
      </c>
      <c r="AG681" s="67"/>
      <c r="AH681" s="2"/>
      <c r="AI681" s="2"/>
      <c r="AJ681" s="2"/>
      <c r="AK681" s="2"/>
      <c r="AL681" s="2"/>
    </row>
    <row r="682" spans="1:38" ht="14.45">
      <c r="A682" s="156">
        <v>681</v>
      </c>
      <c r="B682" s="59">
        <v>45839</v>
      </c>
      <c r="C682" s="34" t="s">
        <v>1439</v>
      </c>
      <c r="D682" s="23" t="s">
        <v>1440</v>
      </c>
      <c r="E682" s="23">
        <v>8206.2199999999993</v>
      </c>
      <c r="F682" s="23" t="s">
        <v>1441</v>
      </c>
      <c r="G682" s="14" t="s">
        <v>190</v>
      </c>
      <c r="H682" s="23" t="s">
        <v>40</v>
      </c>
      <c r="I682" s="23" t="s">
        <v>93</v>
      </c>
      <c r="J682" s="97">
        <f t="shared" si="160"/>
        <v>45739</v>
      </c>
      <c r="L682" s="19" t="str">
        <f t="shared" si="176"/>
        <v/>
      </c>
      <c r="M682" s="5">
        <f t="shared" si="162"/>
        <v>45750</v>
      </c>
      <c r="O682" s="19" t="str">
        <f t="shared" si="163"/>
        <v/>
      </c>
      <c r="P682" s="5">
        <f t="shared" si="164"/>
        <v>45765</v>
      </c>
      <c r="R682" s="19" t="str">
        <f t="shared" si="165"/>
        <v/>
      </c>
      <c r="S682" s="5">
        <f t="shared" si="175"/>
        <v>45770</v>
      </c>
      <c r="T682" s="4">
        <v>45812</v>
      </c>
      <c r="U682" s="19">
        <f t="shared" si="166"/>
        <v>-42</v>
      </c>
      <c r="V682" s="5">
        <f t="shared" si="167"/>
        <v>45809</v>
      </c>
      <c r="W682" s="4">
        <v>45828</v>
      </c>
      <c r="X682" s="19">
        <f t="shared" si="168"/>
        <v>-19</v>
      </c>
      <c r="Y682" s="51">
        <f t="shared" si="169"/>
        <v>45834</v>
      </c>
      <c r="Z682" s="51">
        <v>45839</v>
      </c>
      <c r="AA682" s="49">
        <f t="shared" si="170"/>
        <v>-5</v>
      </c>
      <c r="AB682" s="51">
        <f t="shared" si="171"/>
        <v>45839</v>
      </c>
      <c r="AC682" s="49">
        <f t="shared" si="172"/>
        <v>0</v>
      </c>
      <c r="AD682" s="43">
        <f t="shared" si="173"/>
        <v>45839</v>
      </c>
      <c r="AF682" s="19" t="str">
        <f t="shared" si="174"/>
        <v/>
      </c>
      <c r="AG682" s="67"/>
      <c r="AH682" s="2"/>
      <c r="AI682" s="2"/>
      <c r="AJ682" s="2"/>
      <c r="AK682" s="2"/>
      <c r="AL682" s="2"/>
    </row>
    <row r="683" spans="1:38" ht="14.45">
      <c r="A683" s="156">
        <v>682</v>
      </c>
      <c r="B683" s="59">
        <v>45839</v>
      </c>
      <c r="C683" s="34" t="s">
        <v>1442</v>
      </c>
      <c r="D683" s="23" t="s">
        <v>1214</v>
      </c>
      <c r="E683" s="23">
        <v>1017.36</v>
      </c>
      <c r="F683" s="23" t="s">
        <v>1443</v>
      </c>
      <c r="G683" s="23" t="s">
        <v>120</v>
      </c>
      <c r="H683" s="23" t="s">
        <v>40</v>
      </c>
      <c r="I683" s="23" t="s">
        <v>41</v>
      </c>
      <c r="J683" s="97">
        <f t="shared" si="160"/>
        <v>45739</v>
      </c>
      <c r="L683" s="19" t="str">
        <f t="shared" si="176"/>
        <v/>
      </c>
      <c r="M683" s="5">
        <f t="shared" si="162"/>
        <v>45750</v>
      </c>
      <c r="O683" s="19" t="str">
        <f t="shared" si="163"/>
        <v/>
      </c>
      <c r="P683" s="5">
        <f t="shared" si="164"/>
        <v>45765</v>
      </c>
      <c r="R683" s="19" t="str">
        <f t="shared" si="165"/>
        <v/>
      </c>
      <c r="S683" s="5">
        <f t="shared" si="175"/>
        <v>45770</v>
      </c>
      <c r="T683" s="4">
        <v>45810</v>
      </c>
      <c r="U683" s="19">
        <f t="shared" si="166"/>
        <v>-40</v>
      </c>
      <c r="V683" s="20">
        <f t="shared" si="167"/>
        <v>45809</v>
      </c>
      <c r="W683" s="4">
        <v>45817</v>
      </c>
      <c r="X683" s="19">
        <f t="shared" si="168"/>
        <v>-8</v>
      </c>
      <c r="Y683" s="51">
        <f t="shared" si="169"/>
        <v>45834</v>
      </c>
      <c r="Z683" s="4">
        <v>45817</v>
      </c>
      <c r="AA683" s="49">
        <f t="shared" si="170"/>
        <v>17</v>
      </c>
      <c r="AB683" s="51">
        <f t="shared" si="171"/>
        <v>45839</v>
      </c>
      <c r="AC683" s="49">
        <f t="shared" si="172"/>
        <v>22</v>
      </c>
      <c r="AD683" s="43">
        <f t="shared" si="173"/>
        <v>45839</v>
      </c>
      <c r="AE683" s="4">
        <v>45817</v>
      </c>
      <c r="AF683" s="19">
        <f t="shared" si="174"/>
        <v>22</v>
      </c>
      <c r="AG683" s="67"/>
      <c r="AH683" s="2"/>
      <c r="AI683" s="2"/>
      <c r="AJ683" s="2"/>
      <c r="AK683" s="2"/>
      <c r="AL683" s="2"/>
    </row>
    <row r="684" spans="1:38" ht="14.45">
      <c r="A684" s="156">
        <v>683</v>
      </c>
      <c r="B684" s="59">
        <v>45839</v>
      </c>
      <c r="C684" s="34" t="s">
        <v>1444</v>
      </c>
      <c r="D684" s="24" t="s">
        <v>1239</v>
      </c>
      <c r="E684" s="23">
        <v>37500</v>
      </c>
      <c r="F684" s="23" t="s">
        <v>1445</v>
      </c>
      <c r="G684" s="14" t="s">
        <v>128</v>
      </c>
      <c r="H684" s="23" t="s">
        <v>36</v>
      </c>
      <c r="I684" s="23" t="s">
        <v>62</v>
      </c>
      <c r="J684" s="97">
        <f t="shared" si="160"/>
        <v>45739</v>
      </c>
      <c r="L684" s="19" t="str">
        <f t="shared" si="176"/>
        <v/>
      </c>
      <c r="M684" s="5">
        <f t="shared" si="162"/>
        <v>45750</v>
      </c>
      <c r="O684" s="19" t="str">
        <f t="shared" si="163"/>
        <v/>
      </c>
      <c r="P684" s="5">
        <f t="shared" si="164"/>
        <v>45765</v>
      </c>
      <c r="R684" s="19" t="str">
        <f t="shared" si="165"/>
        <v/>
      </c>
      <c r="S684" s="5">
        <f t="shared" si="175"/>
        <v>45770</v>
      </c>
      <c r="U684" s="19" t="str">
        <f t="shared" si="166"/>
        <v/>
      </c>
      <c r="V684" s="5">
        <f t="shared" si="167"/>
        <v>45809</v>
      </c>
      <c r="X684" s="19" t="str">
        <f t="shared" si="168"/>
        <v/>
      </c>
      <c r="Y684" s="51">
        <f t="shared" si="169"/>
        <v>45834</v>
      </c>
      <c r="Z684" s="49"/>
      <c r="AA684" s="49" t="str">
        <f t="shared" si="170"/>
        <v/>
      </c>
      <c r="AB684" s="51">
        <f t="shared" si="171"/>
        <v>45839</v>
      </c>
      <c r="AC684" s="49" t="str">
        <f t="shared" si="172"/>
        <v/>
      </c>
      <c r="AD684" s="43">
        <f t="shared" si="173"/>
        <v>45839</v>
      </c>
      <c r="AF684" s="19" t="str">
        <f t="shared" si="174"/>
        <v/>
      </c>
      <c r="AG684" s="67"/>
      <c r="AH684" s="2"/>
      <c r="AI684" s="2"/>
      <c r="AJ684" s="2"/>
      <c r="AK684" s="2"/>
      <c r="AL684" s="2"/>
    </row>
    <row r="685" spans="1:38" ht="14.45">
      <c r="A685" s="156">
        <v>684</v>
      </c>
      <c r="B685" s="59">
        <v>45839</v>
      </c>
      <c r="C685" s="34" t="s">
        <v>1446</v>
      </c>
      <c r="D685" s="24" t="s">
        <v>1447</v>
      </c>
      <c r="E685" s="23">
        <v>159550.43</v>
      </c>
      <c r="F685" s="23" t="s">
        <v>1448</v>
      </c>
      <c r="G685" s="14" t="s">
        <v>35</v>
      </c>
      <c r="H685" s="23" t="s">
        <v>36</v>
      </c>
      <c r="I685" s="23" t="s">
        <v>52</v>
      </c>
      <c r="J685" s="97">
        <f t="shared" si="160"/>
        <v>45739</v>
      </c>
      <c r="L685" s="19" t="str">
        <f t="shared" si="176"/>
        <v/>
      </c>
      <c r="M685" s="5">
        <f t="shared" si="162"/>
        <v>45750</v>
      </c>
      <c r="O685" s="19" t="str">
        <f t="shared" si="163"/>
        <v/>
      </c>
      <c r="P685" s="5">
        <f t="shared" si="164"/>
        <v>45765</v>
      </c>
      <c r="R685" s="19" t="str">
        <f t="shared" si="165"/>
        <v/>
      </c>
      <c r="S685" s="5">
        <f t="shared" si="175"/>
        <v>45770</v>
      </c>
      <c r="U685" s="19" t="str">
        <f t="shared" si="166"/>
        <v/>
      </c>
      <c r="V685" s="5">
        <f t="shared" si="167"/>
        <v>45809</v>
      </c>
      <c r="X685" s="19" t="str">
        <f t="shared" si="168"/>
        <v/>
      </c>
      <c r="Y685" s="51">
        <f t="shared" si="169"/>
        <v>45834</v>
      </c>
      <c r="Z685" s="49"/>
      <c r="AA685" s="49" t="str">
        <f t="shared" si="170"/>
        <v/>
      </c>
      <c r="AB685" s="51">
        <f t="shared" si="171"/>
        <v>45839</v>
      </c>
      <c r="AC685" s="49" t="str">
        <f t="shared" si="172"/>
        <v/>
      </c>
      <c r="AD685" s="43">
        <f t="shared" si="173"/>
        <v>45839</v>
      </c>
      <c r="AF685" s="19" t="str">
        <f t="shared" si="174"/>
        <v/>
      </c>
      <c r="AG685" s="67" t="s">
        <v>367</v>
      </c>
      <c r="AH685" s="2"/>
      <c r="AI685" s="2"/>
      <c r="AJ685" s="2"/>
      <c r="AK685" s="2"/>
      <c r="AL685" s="2"/>
    </row>
    <row r="686" spans="1:38" ht="14.45">
      <c r="A686" s="156">
        <v>685</v>
      </c>
      <c r="B686" s="59">
        <v>45839</v>
      </c>
      <c r="C686" s="34" t="s">
        <v>1449</v>
      </c>
      <c r="D686" s="24" t="s">
        <v>1447</v>
      </c>
      <c r="E686" s="23">
        <v>288294.09000000003</v>
      </c>
      <c r="F686" s="23" t="s">
        <v>1450</v>
      </c>
      <c r="G686" s="14" t="s">
        <v>35</v>
      </c>
      <c r="H686" s="23" t="s">
        <v>36</v>
      </c>
      <c r="I686" s="23" t="s">
        <v>52</v>
      </c>
      <c r="J686" s="97">
        <f t="shared" si="160"/>
        <v>45739</v>
      </c>
      <c r="L686" s="19" t="str">
        <f t="shared" si="176"/>
        <v/>
      </c>
      <c r="M686" s="5">
        <f t="shared" si="162"/>
        <v>45750</v>
      </c>
      <c r="O686" s="19" t="str">
        <f t="shared" si="163"/>
        <v/>
      </c>
      <c r="P686" s="5">
        <f t="shared" si="164"/>
        <v>45765</v>
      </c>
      <c r="R686" s="19" t="str">
        <f t="shared" si="165"/>
        <v/>
      </c>
      <c r="S686" s="5">
        <f t="shared" si="175"/>
        <v>45770</v>
      </c>
      <c r="U686" s="19" t="str">
        <f t="shared" si="166"/>
        <v/>
      </c>
      <c r="V686" s="5">
        <f t="shared" si="167"/>
        <v>45809</v>
      </c>
      <c r="X686" s="19" t="str">
        <f t="shared" si="168"/>
        <v/>
      </c>
      <c r="Y686" s="51">
        <f t="shared" si="169"/>
        <v>45834</v>
      </c>
      <c r="Z686" s="49"/>
      <c r="AA686" s="49" t="str">
        <f t="shared" si="170"/>
        <v/>
      </c>
      <c r="AB686" s="51">
        <f t="shared" si="171"/>
        <v>45839</v>
      </c>
      <c r="AC686" s="49" t="str">
        <f t="shared" si="172"/>
        <v/>
      </c>
      <c r="AD686" s="43">
        <f t="shared" si="173"/>
        <v>45839</v>
      </c>
      <c r="AF686" s="19" t="str">
        <f t="shared" si="174"/>
        <v/>
      </c>
      <c r="AG686" s="67" t="s">
        <v>367</v>
      </c>
      <c r="AH686" s="2"/>
      <c r="AI686" s="2"/>
      <c r="AJ686" s="2"/>
      <c r="AK686" s="2"/>
      <c r="AL686" s="2"/>
    </row>
    <row r="687" spans="1:38" ht="14.45">
      <c r="A687" s="156">
        <v>686</v>
      </c>
      <c r="B687" s="59">
        <v>45840</v>
      </c>
      <c r="C687" s="34" t="s">
        <v>1451</v>
      </c>
      <c r="D687" s="23" t="s">
        <v>1452</v>
      </c>
      <c r="E687" s="23">
        <v>43096.18</v>
      </c>
      <c r="F687" s="23" t="s">
        <v>1453</v>
      </c>
      <c r="G687" s="14" t="s">
        <v>46</v>
      </c>
      <c r="H687" s="23" t="s">
        <v>36</v>
      </c>
      <c r="I687" s="23" t="s">
        <v>37</v>
      </c>
      <c r="J687" s="97">
        <f t="shared" si="160"/>
        <v>45740</v>
      </c>
      <c r="K687" s="4">
        <v>45754</v>
      </c>
      <c r="L687" s="19">
        <f t="shared" si="176"/>
        <v>-14</v>
      </c>
      <c r="M687" s="5">
        <f t="shared" si="162"/>
        <v>45751</v>
      </c>
      <c r="N687" s="4">
        <v>45810</v>
      </c>
      <c r="O687" s="19">
        <f t="shared" si="163"/>
        <v>-59</v>
      </c>
      <c r="P687" s="5">
        <f t="shared" si="164"/>
        <v>45766</v>
      </c>
      <c r="R687" s="19" t="str">
        <f t="shared" si="165"/>
        <v/>
      </c>
      <c r="S687" s="5">
        <f t="shared" si="175"/>
        <v>45771</v>
      </c>
      <c r="T687" s="4">
        <v>45810</v>
      </c>
      <c r="U687" s="19">
        <f t="shared" si="166"/>
        <v>-39</v>
      </c>
      <c r="V687" s="5">
        <f t="shared" si="167"/>
        <v>45810</v>
      </c>
      <c r="W687" s="4">
        <v>45811</v>
      </c>
      <c r="X687" s="19">
        <f t="shared" si="168"/>
        <v>-1</v>
      </c>
      <c r="Y687" s="51">
        <f t="shared" si="169"/>
        <v>45835</v>
      </c>
      <c r="Z687" s="4">
        <v>45811</v>
      </c>
      <c r="AA687" s="49">
        <f t="shared" si="170"/>
        <v>24</v>
      </c>
      <c r="AB687" s="51">
        <f t="shared" si="171"/>
        <v>45840</v>
      </c>
      <c r="AC687" s="49">
        <f t="shared" si="172"/>
        <v>29</v>
      </c>
      <c r="AD687" s="43">
        <f t="shared" si="173"/>
        <v>45840</v>
      </c>
      <c r="AE687" s="4">
        <v>45811</v>
      </c>
      <c r="AF687" s="19">
        <f t="shared" si="174"/>
        <v>29</v>
      </c>
      <c r="AG687" s="67"/>
      <c r="AH687" s="2"/>
      <c r="AI687" s="2"/>
      <c r="AJ687" s="2"/>
      <c r="AK687" s="2"/>
      <c r="AL687" s="2"/>
    </row>
    <row r="688" spans="1:38" ht="14.45">
      <c r="A688" s="156">
        <v>687</v>
      </c>
      <c r="B688" s="59">
        <v>45841</v>
      </c>
      <c r="C688" s="34">
        <v>2404937</v>
      </c>
      <c r="D688" s="23" t="s">
        <v>1454</v>
      </c>
      <c r="E688" s="23">
        <v>120092</v>
      </c>
      <c r="F688" s="23" t="s">
        <v>1455</v>
      </c>
      <c r="G688" s="14" t="s">
        <v>46</v>
      </c>
      <c r="H688" s="23" t="s">
        <v>40</v>
      </c>
      <c r="I688" s="23" t="s">
        <v>229</v>
      </c>
      <c r="J688" s="97">
        <f t="shared" si="160"/>
        <v>45741</v>
      </c>
      <c r="K688" s="4">
        <v>45754</v>
      </c>
      <c r="L688" s="19">
        <f t="shared" si="176"/>
        <v>-13</v>
      </c>
      <c r="M688" s="5">
        <f t="shared" si="162"/>
        <v>45752</v>
      </c>
      <c r="N688" s="4">
        <v>45779</v>
      </c>
      <c r="O688" s="19">
        <f t="shared" si="163"/>
        <v>-27</v>
      </c>
      <c r="P688" s="5">
        <f t="shared" si="164"/>
        <v>45767</v>
      </c>
      <c r="Q688" s="4">
        <v>45814</v>
      </c>
      <c r="R688" s="19">
        <f t="shared" si="165"/>
        <v>-47</v>
      </c>
      <c r="S688" s="5">
        <f t="shared" si="175"/>
        <v>45772</v>
      </c>
      <c r="T688" s="4">
        <v>45775</v>
      </c>
      <c r="U688" s="19">
        <f t="shared" si="166"/>
        <v>-3</v>
      </c>
      <c r="V688" s="5">
        <f t="shared" si="167"/>
        <v>45811</v>
      </c>
      <c r="W688" s="4">
        <v>45806</v>
      </c>
      <c r="X688" s="19">
        <f t="shared" si="168"/>
        <v>5</v>
      </c>
      <c r="Y688" s="51">
        <f t="shared" si="169"/>
        <v>45836</v>
      </c>
      <c r="Z688" s="124">
        <v>45841</v>
      </c>
      <c r="AA688" s="49">
        <f t="shared" si="170"/>
        <v>-5</v>
      </c>
      <c r="AB688" s="51">
        <f t="shared" si="171"/>
        <v>45841</v>
      </c>
      <c r="AC688" s="49">
        <f t="shared" si="172"/>
        <v>0</v>
      </c>
      <c r="AD688" s="43">
        <f t="shared" si="173"/>
        <v>45841</v>
      </c>
      <c r="AE688" s="4">
        <v>45854</v>
      </c>
      <c r="AF688" s="19">
        <f t="shared" si="174"/>
        <v>-13</v>
      </c>
      <c r="AG688" s="67"/>
      <c r="AH688" s="2"/>
      <c r="AI688" s="2"/>
      <c r="AJ688" s="2"/>
      <c r="AK688" s="2"/>
      <c r="AL688" s="2"/>
    </row>
    <row r="689" spans="1:38" ht="14.45">
      <c r="A689" s="156">
        <v>688</v>
      </c>
      <c r="B689" s="59">
        <v>45841</v>
      </c>
      <c r="C689" s="34" t="s">
        <v>1456</v>
      </c>
      <c r="D689" s="23" t="s">
        <v>1457</v>
      </c>
      <c r="E689" s="23">
        <v>13143.16</v>
      </c>
      <c r="F689" s="23" t="s">
        <v>1458</v>
      </c>
      <c r="G689" s="14" t="s">
        <v>120</v>
      </c>
      <c r="H689" s="23" t="s">
        <v>40</v>
      </c>
      <c r="I689" s="23" t="s">
        <v>93</v>
      </c>
      <c r="J689" s="97">
        <f t="shared" si="160"/>
        <v>45741</v>
      </c>
      <c r="L689" s="19" t="str">
        <f t="shared" si="176"/>
        <v/>
      </c>
      <c r="M689" s="5">
        <f t="shared" si="162"/>
        <v>45752</v>
      </c>
      <c r="O689" s="19" t="str">
        <f t="shared" si="163"/>
        <v/>
      </c>
      <c r="P689" s="5">
        <f t="shared" si="164"/>
        <v>45767</v>
      </c>
      <c r="R689" s="19" t="str">
        <f t="shared" si="165"/>
        <v/>
      </c>
      <c r="S689" s="5">
        <f t="shared" si="175"/>
        <v>45772</v>
      </c>
      <c r="U689" s="19" t="str">
        <f t="shared" si="166"/>
        <v/>
      </c>
      <c r="V689" s="5">
        <f t="shared" si="167"/>
        <v>45811</v>
      </c>
      <c r="X689" s="19" t="str">
        <f t="shared" si="168"/>
        <v/>
      </c>
      <c r="Y689" s="51">
        <f t="shared" si="169"/>
        <v>45836</v>
      </c>
      <c r="Z689" s="49"/>
      <c r="AA689" s="49" t="str">
        <f t="shared" si="170"/>
        <v/>
      </c>
      <c r="AB689" s="51">
        <f t="shared" si="171"/>
        <v>45841</v>
      </c>
      <c r="AC689" s="49" t="str">
        <f t="shared" si="172"/>
        <v/>
      </c>
      <c r="AD689" s="43">
        <f t="shared" si="173"/>
        <v>45841</v>
      </c>
      <c r="AF689" s="19" t="str">
        <f t="shared" si="174"/>
        <v/>
      </c>
      <c r="AG689" s="67" t="s">
        <v>367</v>
      </c>
      <c r="AH689" s="2"/>
      <c r="AI689" s="2"/>
      <c r="AJ689" s="2"/>
      <c r="AK689" s="2"/>
      <c r="AL689" s="2"/>
    </row>
    <row r="690" spans="1:38" ht="14.45">
      <c r="A690" s="156">
        <v>689</v>
      </c>
      <c r="B690" s="59">
        <v>45842</v>
      </c>
      <c r="C690" s="34" t="s">
        <v>1459</v>
      </c>
      <c r="D690" s="23" t="s">
        <v>227</v>
      </c>
      <c r="E690" s="23">
        <v>40894.800000000003</v>
      </c>
      <c r="F690" s="23" t="s">
        <v>1460</v>
      </c>
      <c r="G690" s="10" t="s">
        <v>120</v>
      </c>
      <c r="H690" s="23" t="s">
        <v>40</v>
      </c>
      <c r="I690" s="23" t="s">
        <v>52</v>
      </c>
      <c r="J690" s="97">
        <f t="shared" si="160"/>
        <v>45742</v>
      </c>
      <c r="L690" s="19" t="str">
        <f t="shared" si="176"/>
        <v/>
      </c>
      <c r="M690" s="5">
        <f t="shared" si="162"/>
        <v>45753</v>
      </c>
      <c r="O690" s="19" t="str">
        <f t="shared" si="163"/>
        <v/>
      </c>
      <c r="P690" s="5">
        <f t="shared" si="164"/>
        <v>45768</v>
      </c>
      <c r="R690" s="19" t="str">
        <f t="shared" si="165"/>
        <v/>
      </c>
      <c r="S690" s="5">
        <f t="shared" si="175"/>
        <v>45773</v>
      </c>
      <c r="T690" s="4">
        <v>45819</v>
      </c>
      <c r="U690" s="19">
        <f t="shared" si="166"/>
        <v>-46</v>
      </c>
      <c r="V690" s="5">
        <f t="shared" si="167"/>
        <v>45812</v>
      </c>
      <c r="W690" s="65">
        <v>45824</v>
      </c>
      <c r="X690" s="19">
        <f t="shared" si="168"/>
        <v>-12</v>
      </c>
      <c r="Y690" s="51">
        <f t="shared" si="169"/>
        <v>45837</v>
      </c>
      <c r="Z690" s="4">
        <v>45824</v>
      </c>
      <c r="AA690" s="49">
        <f t="shared" si="170"/>
        <v>13</v>
      </c>
      <c r="AB690" s="51">
        <f t="shared" si="171"/>
        <v>45842</v>
      </c>
      <c r="AC690" s="49">
        <f t="shared" si="172"/>
        <v>18</v>
      </c>
      <c r="AD690" s="43">
        <f t="shared" si="173"/>
        <v>45842</v>
      </c>
      <c r="AE690" s="4">
        <v>45824</v>
      </c>
      <c r="AF690" s="19">
        <f t="shared" si="174"/>
        <v>18</v>
      </c>
      <c r="AG690" s="67"/>
      <c r="AH690" s="2"/>
      <c r="AI690" s="2"/>
      <c r="AJ690" s="2"/>
      <c r="AK690" s="2"/>
      <c r="AL690" s="2"/>
    </row>
    <row r="691" spans="1:38" ht="14.45">
      <c r="A691" s="156">
        <v>690</v>
      </c>
      <c r="B691" s="59">
        <v>45842</v>
      </c>
      <c r="C691" s="34" t="s">
        <v>1461</v>
      </c>
      <c r="D691" s="23" t="s">
        <v>1462</v>
      </c>
      <c r="E691" s="23">
        <v>17087</v>
      </c>
      <c r="F691" s="23" t="s">
        <v>1463</v>
      </c>
      <c r="G691" s="14" t="s">
        <v>46</v>
      </c>
      <c r="H691" s="23" t="s">
        <v>40</v>
      </c>
      <c r="I691" s="23" t="s">
        <v>323</v>
      </c>
      <c r="J691" s="97">
        <f t="shared" si="160"/>
        <v>45742</v>
      </c>
      <c r="K691" s="4">
        <v>45754</v>
      </c>
      <c r="L691" s="19">
        <f t="shared" si="176"/>
        <v>-12</v>
      </c>
      <c r="M691" s="5">
        <f t="shared" si="162"/>
        <v>45753</v>
      </c>
      <c r="N691" s="4">
        <v>45783</v>
      </c>
      <c r="O691" s="19">
        <f t="shared" si="163"/>
        <v>-30</v>
      </c>
      <c r="P691" s="5">
        <f t="shared" si="164"/>
        <v>45768</v>
      </c>
      <c r="Q691" s="4">
        <v>45783</v>
      </c>
      <c r="R691" s="19">
        <f t="shared" si="165"/>
        <v>-15</v>
      </c>
      <c r="S691" s="5">
        <f t="shared" si="175"/>
        <v>45773</v>
      </c>
      <c r="T691" s="4">
        <v>45783</v>
      </c>
      <c r="U691" s="19">
        <f t="shared" si="166"/>
        <v>-10</v>
      </c>
      <c r="V691" s="5">
        <f t="shared" si="167"/>
        <v>45812</v>
      </c>
      <c r="W691" s="5">
        <v>45825</v>
      </c>
      <c r="X691" s="19">
        <f t="shared" si="168"/>
        <v>-13</v>
      </c>
      <c r="Y691" s="51">
        <f t="shared" ref="Y691:Y754" si="177">B691-2</f>
        <v>45840</v>
      </c>
      <c r="Z691" s="124">
        <v>45834</v>
      </c>
      <c r="AA691" s="49">
        <f>IF(OR(Y691="", Z691=""), "", Y691-Z691)</f>
        <v>6</v>
      </c>
      <c r="AB691" s="51">
        <f t="shared" si="171"/>
        <v>45842</v>
      </c>
      <c r="AC691" s="49">
        <f t="shared" si="172"/>
        <v>8</v>
      </c>
      <c r="AD691" s="43">
        <f t="shared" si="173"/>
        <v>45842</v>
      </c>
      <c r="AE691" s="4">
        <v>45845</v>
      </c>
      <c r="AF691" s="19">
        <f t="shared" si="174"/>
        <v>-3</v>
      </c>
      <c r="AG691" s="67"/>
      <c r="AH691" s="2"/>
      <c r="AI691" s="2"/>
      <c r="AJ691" s="2"/>
      <c r="AK691" s="2"/>
      <c r="AL691" s="2"/>
    </row>
    <row r="692" spans="1:38" s="9" customFormat="1" ht="14.45">
      <c r="A692" s="156">
        <v>691</v>
      </c>
      <c r="B692" s="60">
        <v>45842</v>
      </c>
      <c r="C692" s="41" t="s">
        <v>1464</v>
      </c>
      <c r="D692" s="24" t="s">
        <v>481</v>
      </c>
      <c r="E692" s="24">
        <v>90588.24</v>
      </c>
      <c r="F692" s="24" t="s">
        <v>1465</v>
      </c>
      <c r="G692" s="14" t="s">
        <v>46</v>
      </c>
      <c r="H692" s="24" t="s">
        <v>40</v>
      </c>
      <c r="I692" s="24" t="s">
        <v>1034</v>
      </c>
      <c r="J692" s="98">
        <f t="shared" si="160"/>
        <v>45742</v>
      </c>
      <c r="K692" s="7">
        <v>45754</v>
      </c>
      <c r="L692" s="99">
        <f t="shared" si="176"/>
        <v>-12</v>
      </c>
      <c r="M692" s="20">
        <f t="shared" si="162"/>
        <v>45753</v>
      </c>
      <c r="N692" s="7"/>
      <c r="O692" s="99" t="str">
        <f t="shared" si="163"/>
        <v/>
      </c>
      <c r="P692" s="5">
        <f t="shared" si="164"/>
        <v>45768</v>
      </c>
      <c r="Q692" s="4"/>
      <c r="R692" s="19" t="str">
        <f t="shared" si="165"/>
        <v/>
      </c>
      <c r="S692" s="20">
        <f t="shared" si="175"/>
        <v>45773</v>
      </c>
      <c r="T692" s="7"/>
      <c r="U692" s="99" t="str">
        <f t="shared" si="166"/>
        <v/>
      </c>
      <c r="V692" s="20">
        <f t="shared" si="167"/>
        <v>45812</v>
      </c>
      <c r="W692" s="5"/>
      <c r="X692" s="99" t="str">
        <f t="shared" si="168"/>
        <v/>
      </c>
      <c r="Y692" s="51">
        <f t="shared" si="177"/>
        <v>45840</v>
      </c>
      <c r="Z692" s="126"/>
      <c r="AA692" s="49" t="str">
        <f t="shared" si="170"/>
        <v/>
      </c>
      <c r="AB692" s="51">
        <f t="shared" si="171"/>
        <v>45842</v>
      </c>
      <c r="AC692" s="49" t="str">
        <f t="shared" si="172"/>
        <v/>
      </c>
      <c r="AD692" s="100">
        <f t="shared" si="173"/>
        <v>45842</v>
      </c>
      <c r="AE692" s="7"/>
      <c r="AF692" s="99" t="str">
        <f t="shared" si="174"/>
        <v/>
      </c>
      <c r="AG692" s="67" t="s">
        <v>367</v>
      </c>
      <c r="AH692" s="8"/>
      <c r="AI692" s="8"/>
      <c r="AJ692" s="8"/>
      <c r="AK692" s="8"/>
      <c r="AL692" s="8"/>
    </row>
    <row r="693" spans="1:38" ht="14.45">
      <c r="A693" s="156">
        <v>692</v>
      </c>
      <c r="B693" s="59">
        <v>45843</v>
      </c>
      <c r="C693" s="34" t="s">
        <v>1466</v>
      </c>
      <c r="D693" s="23" t="s">
        <v>732</v>
      </c>
      <c r="E693" s="23">
        <v>3120</v>
      </c>
      <c r="F693" s="23" t="s">
        <v>1467</v>
      </c>
      <c r="G693" s="14" t="s">
        <v>35</v>
      </c>
      <c r="H693" s="23" t="s">
        <v>36</v>
      </c>
      <c r="I693" s="23" t="s">
        <v>62</v>
      </c>
      <c r="J693" s="97">
        <f t="shared" si="160"/>
        <v>45743</v>
      </c>
      <c r="L693" s="19" t="str">
        <f t="shared" si="176"/>
        <v/>
      </c>
      <c r="M693" s="5">
        <f t="shared" si="162"/>
        <v>45754</v>
      </c>
      <c r="O693" s="19" t="str">
        <f t="shared" si="163"/>
        <v/>
      </c>
      <c r="P693" s="5">
        <f t="shared" si="164"/>
        <v>45769</v>
      </c>
      <c r="R693" s="19" t="str">
        <f t="shared" si="165"/>
        <v/>
      </c>
      <c r="S693" s="5">
        <f t="shared" si="175"/>
        <v>45774</v>
      </c>
      <c r="U693" s="19" t="str">
        <f t="shared" si="166"/>
        <v/>
      </c>
      <c r="V693" s="5">
        <f t="shared" si="167"/>
        <v>45813</v>
      </c>
      <c r="W693" s="5">
        <v>45819</v>
      </c>
      <c r="X693" s="19">
        <f t="shared" si="168"/>
        <v>-6</v>
      </c>
      <c r="Y693" s="51">
        <f t="shared" si="177"/>
        <v>45841</v>
      </c>
      <c r="Z693" s="4">
        <v>45840</v>
      </c>
      <c r="AA693" s="49">
        <f t="shared" si="170"/>
        <v>1</v>
      </c>
      <c r="AB693" s="51">
        <f t="shared" si="171"/>
        <v>45843</v>
      </c>
      <c r="AC693" s="49">
        <f t="shared" si="172"/>
        <v>3</v>
      </c>
      <c r="AD693" s="43">
        <f t="shared" si="173"/>
        <v>45843</v>
      </c>
      <c r="AE693" s="4">
        <v>45840</v>
      </c>
      <c r="AF693" s="19">
        <f t="shared" si="174"/>
        <v>3</v>
      </c>
      <c r="AG693" s="67"/>
      <c r="AH693" s="2"/>
      <c r="AI693" s="2"/>
      <c r="AJ693" s="2"/>
      <c r="AK693" s="2"/>
      <c r="AL693" s="2"/>
    </row>
    <row r="694" spans="1:38" ht="14.45">
      <c r="A694" s="156">
        <v>693</v>
      </c>
      <c r="B694" s="60">
        <v>45843</v>
      </c>
      <c r="C694" s="41" t="s">
        <v>1468</v>
      </c>
      <c r="D694" s="24" t="s">
        <v>74</v>
      </c>
      <c r="E694" s="24">
        <v>29565.57</v>
      </c>
      <c r="F694" s="24" t="s">
        <v>1469</v>
      </c>
      <c r="G694" s="14" t="s">
        <v>128</v>
      </c>
      <c r="H694" s="24" t="s">
        <v>40</v>
      </c>
      <c r="I694" s="24" t="s">
        <v>93</v>
      </c>
      <c r="J694" s="98">
        <f t="shared" si="160"/>
        <v>45743</v>
      </c>
      <c r="K694" s="7"/>
      <c r="L694" s="99" t="str">
        <f t="shared" si="176"/>
        <v/>
      </c>
      <c r="M694" s="20">
        <f t="shared" si="162"/>
        <v>45754</v>
      </c>
      <c r="N694" s="7"/>
      <c r="O694" s="99" t="str">
        <f t="shared" si="163"/>
        <v/>
      </c>
      <c r="P694" s="20">
        <f t="shared" si="164"/>
        <v>45769</v>
      </c>
      <c r="Q694" s="7"/>
      <c r="R694" s="99" t="str">
        <f t="shared" si="165"/>
        <v/>
      </c>
      <c r="S694" s="20">
        <f t="shared" si="175"/>
        <v>45774</v>
      </c>
      <c r="T694" s="7"/>
      <c r="U694" s="99" t="str">
        <f t="shared" si="166"/>
        <v/>
      </c>
      <c r="V694" s="20">
        <f t="shared" si="167"/>
        <v>45813</v>
      </c>
      <c r="W694" s="20"/>
      <c r="X694" s="99" t="str">
        <f t="shared" si="168"/>
        <v/>
      </c>
      <c r="Y694" s="66">
        <f t="shared" si="177"/>
        <v>45841</v>
      </c>
      <c r="Z694" s="50"/>
      <c r="AA694" s="50" t="str">
        <f t="shared" si="170"/>
        <v/>
      </c>
      <c r="AB694" s="51">
        <f t="shared" si="171"/>
        <v>45843</v>
      </c>
      <c r="AC694" s="49" t="str">
        <f t="shared" si="172"/>
        <v/>
      </c>
      <c r="AD694" s="100">
        <f t="shared" si="173"/>
        <v>45843</v>
      </c>
      <c r="AE694" s="7"/>
      <c r="AF694" s="99" t="str">
        <f t="shared" si="174"/>
        <v/>
      </c>
      <c r="AG694" s="67" t="s">
        <v>367</v>
      </c>
      <c r="AH694" s="2"/>
      <c r="AI694" s="2"/>
      <c r="AJ694" s="2"/>
      <c r="AK694" s="2"/>
      <c r="AL694" s="2"/>
    </row>
    <row r="695" spans="1:38" ht="14.45">
      <c r="A695" s="156">
        <v>694</v>
      </c>
      <c r="B695" s="59">
        <v>45844</v>
      </c>
      <c r="C695" s="34" t="s">
        <v>1470</v>
      </c>
      <c r="D695" s="23" t="s">
        <v>38</v>
      </c>
      <c r="E695" s="23">
        <v>246</v>
      </c>
      <c r="F695" s="23" t="s">
        <v>1471</v>
      </c>
      <c r="G695" s="14" t="s">
        <v>190</v>
      </c>
      <c r="H695" s="23" t="s">
        <v>40</v>
      </c>
      <c r="I695" s="23" t="s">
        <v>41</v>
      </c>
      <c r="J695" s="97">
        <f t="shared" si="160"/>
        <v>45744</v>
      </c>
      <c r="K695" s="4">
        <v>45825</v>
      </c>
      <c r="L695" s="19">
        <f t="shared" si="176"/>
        <v>-81</v>
      </c>
      <c r="M695" s="5">
        <f t="shared" si="162"/>
        <v>45755</v>
      </c>
      <c r="N695" s="4">
        <v>45833</v>
      </c>
      <c r="O695" s="19">
        <f t="shared" si="163"/>
        <v>-78</v>
      </c>
      <c r="P695" s="5">
        <f t="shared" si="164"/>
        <v>45770</v>
      </c>
      <c r="Q695" s="4">
        <v>45770</v>
      </c>
      <c r="R695" s="19">
        <f t="shared" si="165"/>
        <v>0</v>
      </c>
      <c r="S695" s="5">
        <f t="shared" si="175"/>
        <v>45775</v>
      </c>
      <c r="T695" s="4">
        <v>45775</v>
      </c>
      <c r="U695" s="19">
        <f t="shared" si="166"/>
        <v>0</v>
      </c>
      <c r="V695" s="5">
        <f t="shared" si="167"/>
        <v>45814</v>
      </c>
      <c r="W695" s="5">
        <v>45814</v>
      </c>
      <c r="X695" s="19">
        <f t="shared" si="168"/>
        <v>0</v>
      </c>
      <c r="Y695" s="51">
        <f t="shared" si="177"/>
        <v>45842</v>
      </c>
      <c r="Z695" s="51">
        <v>45842</v>
      </c>
      <c r="AA695" s="49">
        <f t="shared" si="170"/>
        <v>0</v>
      </c>
      <c r="AB695" s="51">
        <f t="shared" si="171"/>
        <v>45844</v>
      </c>
      <c r="AC695" s="49">
        <f t="shared" si="172"/>
        <v>2</v>
      </c>
      <c r="AD695" s="43">
        <f t="shared" si="173"/>
        <v>45844</v>
      </c>
      <c r="AE695" s="43">
        <v>45844</v>
      </c>
      <c r="AF695" s="19">
        <f t="shared" si="174"/>
        <v>0</v>
      </c>
      <c r="AG695" s="67"/>
      <c r="AH695" s="2"/>
      <c r="AI695" s="2"/>
      <c r="AJ695" s="2"/>
      <c r="AK695" s="2"/>
      <c r="AL695" s="2"/>
    </row>
    <row r="696" spans="1:38" ht="14.45">
      <c r="A696" s="156">
        <v>695</v>
      </c>
      <c r="B696" s="59">
        <v>45844</v>
      </c>
      <c r="C696" s="34" t="s">
        <v>1472</v>
      </c>
      <c r="D696" s="23" t="s">
        <v>38</v>
      </c>
      <c r="E696" s="23">
        <v>39.880000000000003</v>
      </c>
      <c r="F696" s="23" t="s">
        <v>1473</v>
      </c>
      <c r="G696" s="14" t="s">
        <v>190</v>
      </c>
      <c r="H696" s="23" t="s">
        <v>40</v>
      </c>
      <c r="I696" s="23" t="s">
        <v>41</v>
      </c>
      <c r="J696" s="97">
        <f t="shared" si="160"/>
        <v>45744</v>
      </c>
      <c r="K696" s="4">
        <v>45825</v>
      </c>
      <c r="L696" s="19">
        <f t="shared" si="176"/>
        <v>-81</v>
      </c>
      <c r="M696" s="5">
        <f t="shared" si="162"/>
        <v>45755</v>
      </c>
      <c r="N696" s="4">
        <v>45833</v>
      </c>
      <c r="O696" s="19">
        <f t="shared" si="163"/>
        <v>-78</v>
      </c>
      <c r="P696" s="5">
        <f t="shared" si="164"/>
        <v>45770</v>
      </c>
      <c r="Q696" s="4">
        <v>45770</v>
      </c>
      <c r="R696" s="19">
        <f t="shared" si="165"/>
        <v>0</v>
      </c>
      <c r="S696" s="5">
        <f t="shared" si="175"/>
        <v>45775</v>
      </c>
      <c r="T696" s="4">
        <v>45775</v>
      </c>
      <c r="U696" s="19">
        <f t="shared" si="166"/>
        <v>0</v>
      </c>
      <c r="V696" s="5">
        <f t="shared" si="167"/>
        <v>45814</v>
      </c>
      <c r="W696" s="5">
        <v>45814</v>
      </c>
      <c r="X696" s="19">
        <f t="shared" si="168"/>
        <v>0</v>
      </c>
      <c r="Y696" s="51">
        <f t="shared" si="177"/>
        <v>45842</v>
      </c>
      <c r="Z696" s="51">
        <v>45842</v>
      </c>
      <c r="AA696" s="49">
        <f t="shared" si="170"/>
        <v>0</v>
      </c>
      <c r="AB696" s="51">
        <f t="shared" si="171"/>
        <v>45844</v>
      </c>
      <c r="AC696" s="49">
        <f t="shared" si="172"/>
        <v>2</v>
      </c>
      <c r="AD696" s="43">
        <f t="shared" si="173"/>
        <v>45844</v>
      </c>
      <c r="AE696" s="4">
        <v>45848</v>
      </c>
      <c r="AF696" s="19">
        <f t="shared" si="174"/>
        <v>-4</v>
      </c>
      <c r="AG696" s="67"/>
      <c r="AH696" s="2"/>
      <c r="AI696" s="2"/>
      <c r="AJ696" s="2"/>
      <c r="AK696" s="2"/>
      <c r="AL696" s="2"/>
    </row>
    <row r="697" spans="1:38" ht="14.45">
      <c r="A697" s="156">
        <v>696</v>
      </c>
      <c r="B697" s="59">
        <v>45845</v>
      </c>
      <c r="C697" s="34" t="s">
        <v>1474</v>
      </c>
      <c r="D697" s="23" t="s">
        <v>1475</v>
      </c>
      <c r="E697" s="23">
        <v>15636.27</v>
      </c>
      <c r="F697" s="23" t="s">
        <v>1476</v>
      </c>
      <c r="G697" s="23" t="s">
        <v>46</v>
      </c>
      <c r="H697" s="23" t="s">
        <v>36</v>
      </c>
      <c r="I697" s="23" t="s">
        <v>37</v>
      </c>
      <c r="J697" s="97">
        <f t="shared" si="160"/>
        <v>45745</v>
      </c>
      <c r="K697" s="4">
        <v>45754</v>
      </c>
      <c r="L697" s="19">
        <f t="shared" si="176"/>
        <v>-9</v>
      </c>
      <c r="M697" s="5">
        <f t="shared" si="162"/>
        <v>45756</v>
      </c>
      <c r="O697" s="19" t="str">
        <f t="shared" si="163"/>
        <v/>
      </c>
      <c r="P697" s="5">
        <f t="shared" si="164"/>
        <v>45771</v>
      </c>
      <c r="R697" s="19" t="str">
        <f t="shared" si="165"/>
        <v/>
      </c>
      <c r="S697" s="5">
        <f t="shared" si="175"/>
        <v>45776</v>
      </c>
      <c r="T697" s="4">
        <v>45779</v>
      </c>
      <c r="U697" s="19">
        <f t="shared" si="166"/>
        <v>-3</v>
      </c>
      <c r="V697" s="5">
        <f t="shared" si="167"/>
        <v>45815</v>
      </c>
      <c r="W697" s="5">
        <v>45812</v>
      </c>
      <c r="X697" s="19">
        <f t="shared" si="168"/>
        <v>3</v>
      </c>
      <c r="Y697" s="51">
        <f t="shared" si="177"/>
        <v>45843</v>
      </c>
      <c r="Z697" s="4">
        <v>45821</v>
      </c>
      <c r="AA697" s="49">
        <f t="shared" si="170"/>
        <v>22</v>
      </c>
      <c r="AB697" s="51">
        <f t="shared" si="171"/>
        <v>45845</v>
      </c>
      <c r="AC697" s="49">
        <f t="shared" si="172"/>
        <v>24</v>
      </c>
      <c r="AD697" s="43">
        <f t="shared" si="173"/>
        <v>45845</v>
      </c>
      <c r="AE697" s="4">
        <v>45821</v>
      </c>
      <c r="AF697" s="19">
        <f t="shared" si="174"/>
        <v>24</v>
      </c>
      <c r="AG697" s="67"/>
      <c r="AH697" s="2"/>
      <c r="AI697" s="2"/>
      <c r="AJ697" s="2"/>
      <c r="AK697" s="2"/>
      <c r="AL697" s="2"/>
    </row>
    <row r="698" spans="1:38" ht="14.45">
      <c r="A698" s="156">
        <v>697</v>
      </c>
      <c r="B698" s="59">
        <v>45845</v>
      </c>
      <c r="C698" s="34" t="s">
        <v>1477</v>
      </c>
      <c r="D698" s="23" t="s">
        <v>38</v>
      </c>
      <c r="E698" s="23">
        <v>1260</v>
      </c>
      <c r="F698" s="23" t="s">
        <v>1478</v>
      </c>
      <c r="G698" s="14" t="s">
        <v>190</v>
      </c>
      <c r="H698" s="23" t="s">
        <v>36</v>
      </c>
      <c r="I698" s="23" t="s">
        <v>41</v>
      </c>
      <c r="J698" s="97">
        <f t="shared" si="160"/>
        <v>45745</v>
      </c>
      <c r="K698" s="4">
        <v>45825</v>
      </c>
      <c r="L698" s="19">
        <f t="shared" si="176"/>
        <v>-80</v>
      </c>
      <c r="M698" s="5">
        <f t="shared" si="162"/>
        <v>45756</v>
      </c>
      <c r="N698" s="4">
        <v>45833</v>
      </c>
      <c r="O698" s="19">
        <f t="shared" si="163"/>
        <v>-77</v>
      </c>
      <c r="P698" s="5">
        <f t="shared" si="164"/>
        <v>45771</v>
      </c>
      <c r="Q698" s="4">
        <v>45771</v>
      </c>
      <c r="R698" s="19">
        <f t="shared" si="165"/>
        <v>0</v>
      </c>
      <c r="S698" s="5">
        <f t="shared" si="175"/>
        <v>45776</v>
      </c>
      <c r="T698" s="4">
        <v>45776</v>
      </c>
      <c r="U698" s="19">
        <f t="shared" si="166"/>
        <v>0</v>
      </c>
      <c r="V698" s="5">
        <f t="shared" si="167"/>
        <v>45815</v>
      </c>
      <c r="W698" s="5">
        <v>45815</v>
      </c>
      <c r="X698" s="19">
        <f t="shared" si="168"/>
        <v>0</v>
      </c>
      <c r="Y698" s="51">
        <f t="shared" si="177"/>
        <v>45843</v>
      </c>
      <c r="Z698" s="4">
        <v>45841</v>
      </c>
      <c r="AA698" s="49">
        <f t="shared" si="170"/>
        <v>2</v>
      </c>
      <c r="AB698" s="51">
        <f t="shared" si="171"/>
        <v>45845</v>
      </c>
      <c r="AC698" s="49">
        <f t="shared" si="172"/>
        <v>4</v>
      </c>
      <c r="AD698" s="43">
        <f t="shared" si="173"/>
        <v>45845</v>
      </c>
      <c r="AE698" s="4">
        <v>45841</v>
      </c>
      <c r="AF698" s="19">
        <f t="shared" si="174"/>
        <v>4</v>
      </c>
      <c r="AG698" s="67" t="s">
        <v>1479</v>
      </c>
      <c r="AH698" s="2"/>
      <c r="AI698" s="2"/>
      <c r="AJ698" s="2"/>
      <c r="AK698" s="2"/>
      <c r="AL698" s="2"/>
    </row>
    <row r="699" spans="1:38" ht="14.45">
      <c r="A699" s="156">
        <v>698</v>
      </c>
      <c r="B699" s="60">
        <v>45845</v>
      </c>
      <c r="C699" s="41" t="s">
        <v>1480</v>
      </c>
      <c r="D699" s="24" t="s">
        <v>1481</v>
      </c>
      <c r="E699" s="24">
        <v>17781.97</v>
      </c>
      <c r="F699" s="24" t="s">
        <v>1482</v>
      </c>
      <c r="G699" s="14" t="s">
        <v>120</v>
      </c>
      <c r="H699" s="24" t="s">
        <v>40</v>
      </c>
      <c r="I699" s="24" t="s">
        <v>93</v>
      </c>
      <c r="J699" s="98">
        <f t="shared" si="160"/>
        <v>45745</v>
      </c>
      <c r="K699" s="7"/>
      <c r="L699" s="99" t="str">
        <f t="shared" si="176"/>
        <v/>
      </c>
      <c r="M699" s="20">
        <f t="shared" si="162"/>
        <v>45756</v>
      </c>
      <c r="N699" s="7"/>
      <c r="O699" s="99" t="str">
        <f t="shared" si="163"/>
        <v/>
      </c>
      <c r="P699" s="20">
        <f t="shared" si="164"/>
        <v>45771</v>
      </c>
      <c r="Q699" s="7"/>
      <c r="R699" s="99" t="str">
        <f t="shared" si="165"/>
        <v/>
      </c>
      <c r="S699" s="20">
        <f t="shared" si="175"/>
        <v>45776</v>
      </c>
      <c r="T699" s="7">
        <v>45763</v>
      </c>
      <c r="U699" s="99">
        <f t="shared" si="166"/>
        <v>13</v>
      </c>
      <c r="V699" s="20">
        <f t="shared" si="167"/>
        <v>45815</v>
      </c>
      <c r="W699" s="5">
        <v>45763</v>
      </c>
      <c r="X699" s="99">
        <f t="shared" si="168"/>
        <v>52</v>
      </c>
      <c r="Y699" s="66">
        <f t="shared" si="177"/>
        <v>45843</v>
      </c>
      <c r="Z699" s="7">
        <v>45763</v>
      </c>
      <c r="AA699" s="50">
        <f t="shared" si="170"/>
        <v>80</v>
      </c>
      <c r="AB699" s="51">
        <f t="shared" si="171"/>
        <v>45845</v>
      </c>
      <c r="AC699" s="49">
        <f t="shared" si="172"/>
        <v>82</v>
      </c>
      <c r="AD699" s="100">
        <f t="shared" si="173"/>
        <v>45845</v>
      </c>
      <c r="AE699" s="7">
        <v>45763</v>
      </c>
      <c r="AF699" s="99">
        <f t="shared" si="174"/>
        <v>82</v>
      </c>
      <c r="AG699" s="68"/>
      <c r="AH699" s="2"/>
      <c r="AI699" s="2"/>
      <c r="AJ699" s="2"/>
      <c r="AK699" s="2"/>
      <c r="AL699" s="2"/>
    </row>
    <row r="700" spans="1:38" ht="14.45">
      <c r="A700" s="156">
        <v>699</v>
      </c>
      <c r="B700" s="59">
        <v>45845</v>
      </c>
      <c r="C700" s="34" t="s">
        <v>1483</v>
      </c>
      <c r="D700" s="23" t="s">
        <v>1484</v>
      </c>
      <c r="E700" s="23">
        <v>142709.41</v>
      </c>
      <c r="F700" s="23" t="s">
        <v>1485</v>
      </c>
      <c r="G700" s="14" t="s">
        <v>51</v>
      </c>
      <c r="H700" s="23" t="s">
        <v>36</v>
      </c>
      <c r="I700" s="23" t="s">
        <v>93</v>
      </c>
      <c r="J700" s="97">
        <f t="shared" si="160"/>
        <v>45745</v>
      </c>
      <c r="K700" s="4">
        <v>45772</v>
      </c>
      <c r="L700" s="19">
        <f t="shared" si="176"/>
        <v>-27</v>
      </c>
      <c r="M700" s="5">
        <f t="shared" si="162"/>
        <v>45756</v>
      </c>
      <c r="N700" s="4">
        <v>45770</v>
      </c>
      <c r="O700" s="19">
        <f t="shared" si="163"/>
        <v>-14</v>
      </c>
      <c r="P700" s="5">
        <f t="shared" si="164"/>
        <v>45771</v>
      </c>
      <c r="R700" s="19" t="str">
        <f t="shared" si="165"/>
        <v/>
      </c>
      <c r="S700" s="5">
        <f t="shared" si="175"/>
        <v>45776</v>
      </c>
      <c r="T700" s="4">
        <v>45810</v>
      </c>
      <c r="U700" s="19">
        <f t="shared" si="166"/>
        <v>-34</v>
      </c>
      <c r="V700" s="5">
        <f t="shared" si="167"/>
        <v>45815</v>
      </c>
      <c r="W700" s="5">
        <v>45818</v>
      </c>
      <c r="X700" s="19">
        <f t="shared" si="168"/>
        <v>-3</v>
      </c>
      <c r="Y700" s="51">
        <f t="shared" si="177"/>
        <v>45843</v>
      </c>
      <c r="Z700" s="51">
        <v>45845</v>
      </c>
      <c r="AA700" s="49">
        <f>IF(OR(Y700="", Z700=""), "", Y700-Z700)</f>
        <v>-2</v>
      </c>
      <c r="AB700" s="51">
        <f t="shared" si="171"/>
        <v>45845</v>
      </c>
      <c r="AC700" s="49">
        <f t="shared" si="172"/>
        <v>0</v>
      </c>
      <c r="AD700" s="43">
        <f t="shared" si="173"/>
        <v>45845</v>
      </c>
      <c r="AE700" s="4">
        <v>45849</v>
      </c>
      <c r="AF700" s="19">
        <f t="shared" si="174"/>
        <v>-4</v>
      </c>
      <c r="AG700" s="67"/>
      <c r="AH700" s="2"/>
      <c r="AI700" s="2"/>
      <c r="AJ700" s="2"/>
      <c r="AK700" s="2"/>
      <c r="AL700" s="2"/>
    </row>
    <row r="701" spans="1:38" ht="14.45">
      <c r="A701" s="156">
        <v>700</v>
      </c>
      <c r="B701" s="59">
        <v>45845</v>
      </c>
      <c r="C701" s="34">
        <v>111679172</v>
      </c>
      <c r="D701" s="23" t="s">
        <v>1486</v>
      </c>
      <c r="E701" s="23">
        <v>42267.11</v>
      </c>
      <c r="F701" s="23" t="s">
        <v>1487</v>
      </c>
      <c r="G701" s="14" t="s">
        <v>190</v>
      </c>
      <c r="H701" s="23" t="s">
        <v>36</v>
      </c>
      <c r="I701" s="23" t="s">
        <v>93</v>
      </c>
      <c r="J701" s="97">
        <f t="shared" si="160"/>
        <v>45745</v>
      </c>
      <c r="L701" s="19" t="str">
        <f t="shared" si="176"/>
        <v/>
      </c>
      <c r="M701" s="5">
        <f t="shared" si="162"/>
        <v>45756</v>
      </c>
      <c r="O701" s="19" t="str">
        <f t="shared" si="163"/>
        <v/>
      </c>
      <c r="P701" s="5">
        <f t="shared" si="164"/>
        <v>45771</v>
      </c>
      <c r="R701" s="19" t="str">
        <f t="shared" si="165"/>
        <v/>
      </c>
      <c r="S701" s="5">
        <f t="shared" si="175"/>
        <v>45776</v>
      </c>
      <c r="T701" s="4">
        <v>45812</v>
      </c>
      <c r="U701" s="19">
        <f t="shared" si="166"/>
        <v>-36</v>
      </c>
      <c r="V701" s="5">
        <f t="shared" si="167"/>
        <v>45815</v>
      </c>
      <c r="W701" s="5">
        <v>45812</v>
      </c>
      <c r="X701" s="19">
        <f t="shared" si="168"/>
        <v>3</v>
      </c>
      <c r="Y701" s="51">
        <f t="shared" si="177"/>
        <v>45843</v>
      </c>
      <c r="Z701" s="51">
        <v>45804</v>
      </c>
      <c r="AA701" s="49">
        <f t="shared" si="170"/>
        <v>39</v>
      </c>
      <c r="AB701" s="51">
        <f t="shared" si="171"/>
        <v>45845</v>
      </c>
      <c r="AC701" s="49">
        <f t="shared" si="172"/>
        <v>41</v>
      </c>
      <c r="AD701" s="43">
        <f t="shared" si="173"/>
        <v>45845</v>
      </c>
      <c r="AE701" s="4">
        <v>45852</v>
      </c>
      <c r="AF701" s="19">
        <f t="shared" si="174"/>
        <v>-7</v>
      </c>
      <c r="AG701" s="67"/>
      <c r="AH701" s="2"/>
      <c r="AI701" s="2"/>
      <c r="AJ701" s="2"/>
      <c r="AK701" s="2"/>
      <c r="AL701" s="2"/>
    </row>
    <row r="702" spans="1:38" ht="14.45">
      <c r="A702" s="156">
        <v>701</v>
      </c>
      <c r="B702" s="59">
        <v>45847</v>
      </c>
      <c r="C702" s="34" t="s">
        <v>1488</v>
      </c>
      <c r="D702" s="23" t="s">
        <v>1489</v>
      </c>
      <c r="E702" s="23">
        <v>1912.49</v>
      </c>
      <c r="F702" s="23" t="s">
        <v>1490</v>
      </c>
      <c r="G702" s="14" t="s">
        <v>110</v>
      </c>
      <c r="H702" s="23" t="s">
        <v>40</v>
      </c>
      <c r="I702" s="23" t="s">
        <v>37</v>
      </c>
      <c r="J702" s="97">
        <f t="shared" si="160"/>
        <v>45747</v>
      </c>
      <c r="L702" s="19" t="str">
        <f t="shared" si="176"/>
        <v/>
      </c>
      <c r="M702" s="5">
        <f t="shared" si="162"/>
        <v>45758</v>
      </c>
      <c r="N702" s="4">
        <v>45694</v>
      </c>
      <c r="O702" s="19">
        <f t="shared" si="163"/>
        <v>64</v>
      </c>
      <c r="P702" s="5">
        <f t="shared" si="164"/>
        <v>45773</v>
      </c>
      <c r="R702" s="19" t="str">
        <f t="shared" si="165"/>
        <v/>
      </c>
      <c r="S702" s="5">
        <f t="shared" si="175"/>
        <v>45778</v>
      </c>
      <c r="T702" s="4">
        <v>45694</v>
      </c>
      <c r="U702" s="19">
        <f t="shared" si="166"/>
        <v>84</v>
      </c>
      <c r="V702" s="5">
        <f t="shared" si="167"/>
        <v>45817</v>
      </c>
      <c r="W702" s="5">
        <v>45694</v>
      </c>
      <c r="X702" s="19">
        <f t="shared" si="168"/>
        <v>123</v>
      </c>
      <c r="Y702" s="51">
        <f t="shared" si="177"/>
        <v>45845</v>
      </c>
      <c r="Z702" s="4">
        <v>45824</v>
      </c>
      <c r="AA702" s="49">
        <f t="shared" si="170"/>
        <v>21</v>
      </c>
      <c r="AB702" s="51">
        <f t="shared" si="171"/>
        <v>45847</v>
      </c>
      <c r="AC702" s="49">
        <f t="shared" si="172"/>
        <v>23</v>
      </c>
      <c r="AD702" s="43">
        <f t="shared" si="173"/>
        <v>45847</v>
      </c>
      <c r="AE702" s="4">
        <v>45824</v>
      </c>
      <c r="AF702" s="19">
        <f t="shared" si="174"/>
        <v>23</v>
      </c>
      <c r="AG702" s="67"/>
      <c r="AH702" s="2"/>
      <c r="AI702" s="2"/>
      <c r="AJ702" s="2"/>
      <c r="AK702" s="2"/>
      <c r="AL702" s="2"/>
    </row>
    <row r="703" spans="1:38" ht="14.45">
      <c r="A703" s="156">
        <v>702</v>
      </c>
      <c r="B703" s="59">
        <v>45847</v>
      </c>
      <c r="C703" s="34" t="s">
        <v>1491</v>
      </c>
      <c r="D703" s="23" t="s">
        <v>1492</v>
      </c>
      <c r="E703" s="23">
        <v>20741.96</v>
      </c>
      <c r="F703" s="23" t="s">
        <v>1493</v>
      </c>
      <c r="G703" s="14" t="s">
        <v>120</v>
      </c>
      <c r="H703" s="23" t="s">
        <v>40</v>
      </c>
      <c r="I703" s="23" t="s">
        <v>93</v>
      </c>
      <c r="J703" s="97">
        <f t="shared" si="160"/>
        <v>45747</v>
      </c>
      <c r="L703" s="19" t="str">
        <f t="shared" si="176"/>
        <v/>
      </c>
      <c r="M703" s="5">
        <f t="shared" si="162"/>
        <v>45758</v>
      </c>
      <c r="O703" s="19" t="str">
        <f t="shared" si="163"/>
        <v/>
      </c>
      <c r="P703" s="5">
        <f t="shared" si="164"/>
        <v>45773</v>
      </c>
      <c r="R703" s="19" t="str">
        <f t="shared" si="165"/>
        <v/>
      </c>
      <c r="S703" s="5">
        <f t="shared" si="175"/>
        <v>45778</v>
      </c>
      <c r="T703" s="4">
        <v>45763</v>
      </c>
      <c r="U703" s="19">
        <f t="shared" si="166"/>
        <v>15</v>
      </c>
      <c r="V703" s="5">
        <f t="shared" si="167"/>
        <v>45817</v>
      </c>
      <c r="W703" s="5">
        <v>45818</v>
      </c>
      <c r="X703" s="19">
        <f t="shared" si="168"/>
        <v>-1</v>
      </c>
      <c r="Y703" s="51">
        <f t="shared" si="177"/>
        <v>45845</v>
      </c>
      <c r="Z703" s="51">
        <v>45845</v>
      </c>
      <c r="AA703" s="49">
        <f t="shared" si="170"/>
        <v>0</v>
      </c>
      <c r="AB703" s="51">
        <f t="shared" si="171"/>
        <v>45847</v>
      </c>
      <c r="AC703" s="49">
        <f t="shared" si="172"/>
        <v>2</v>
      </c>
      <c r="AD703" s="43">
        <f t="shared" si="173"/>
        <v>45847</v>
      </c>
      <c r="AF703" s="19" t="str">
        <f t="shared" si="174"/>
        <v/>
      </c>
      <c r="AG703" s="67"/>
      <c r="AH703" s="2"/>
      <c r="AI703" s="2"/>
      <c r="AJ703" s="2"/>
      <c r="AK703" s="2"/>
      <c r="AL703" s="2"/>
    </row>
    <row r="704" spans="1:38" ht="14.45">
      <c r="A704" s="156">
        <v>703</v>
      </c>
      <c r="B704" s="59">
        <v>45848</v>
      </c>
      <c r="C704" s="34" t="s">
        <v>1494</v>
      </c>
      <c r="D704" s="23" t="s">
        <v>1495</v>
      </c>
      <c r="E704" s="23">
        <v>1893.19</v>
      </c>
      <c r="F704" s="23" t="s">
        <v>1496</v>
      </c>
      <c r="G704" s="14" t="s">
        <v>46</v>
      </c>
      <c r="H704" s="23" t="s">
        <v>40</v>
      </c>
      <c r="I704" s="23" t="s">
        <v>93</v>
      </c>
      <c r="J704" s="97">
        <f t="shared" si="160"/>
        <v>45748</v>
      </c>
      <c r="K704" s="4">
        <v>45754</v>
      </c>
      <c r="L704" s="19">
        <f t="shared" si="176"/>
        <v>-6</v>
      </c>
      <c r="M704" s="5">
        <f t="shared" si="162"/>
        <v>45759</v>
      </c>
      <c r="N704" s="4">
        <v>45814</v>
      </c>
      <c r="O704" s="19">
        <f t="shared" si="163"/>
        <v>-55</v>
      </c>
      <c r="P704" s="5">
        <f t="shared" si="164"/>
        <v>45774</v>
      </c>
      <c r="Q704" s="4">
        <v>45814</v>
      </c>
      <c r="R704" s="19">
        <f t="shared" si="165"/>
        <v>-40</v>
      </c>
      <c r="S704" s="5">
        <f t="shared" si="175"/>
        <v>45779</v>
      </c>
      <c r="T704" s="4">
        <v>45814</v>
      </c>
      <c r="U704" s="19">
        <f t="shared" si="166"/>
        <v>-35</v>
      </c>
      <c r="V704" s="5">
        <f t="shared" si="167"/>
        <v>45818</v>
      </c>
      <c r="W704" s="5">
        <v>45825</v>
      </c>
      <c r="X704" s="19">
        <f t="shared" si="168"/>
        <v>-7</v>
      </c>
      <c r="Y704" s="51">
        <f t="shared" si="177"/>
        <v>45846</v>
      </c>
      <c r="Z704" s="124">
        <v>45842</v>
      </c>
      <c r="AA704" s="19">
        <f t="shared" si="170"/>
        <v>4</v>
      </c>
      <c r="AB704" s="51">
        <f t="shared" si="171"/>
        <v>45848</v>
      </c>
      <c r="AC704" s="49">
        <f t="shared" si="172"/>
        <v>6</v>
      </c>
      <c r="AD704" s="43">
        <f t="shared" si="173"/>
        <v>45848</v>
      </c>
      <c r="AE704" s="4">
        <v>45842</v>
      </c>
      <c r="AF704" s="19">
        <f t="shared" si="174"/>
        <v>6</v>
      </c>
      <c r="AG704" s="67"/>
      <c r="AH704" s="2"/>
      <c r="AI704" s="2"/>
      <c r="AJ704" s="2"/>
      <c r="AK704" s="2"/>
      <c r="AL704" s="2"/>
    </row>
    <row r="705" spans="1:38" ht="14.45">
      <c r="A705" s="156">
        <v>704</v>
      </c>
      <c r="B705" s="59">
        <v>45848</v>
      </c>
      <c r="C705" s="34" t="s">
        <v>1497</v>
      </c>
      <c r="D705" s="23" t="s">
        <v>1495</v>
      </c>
      <c r="E705" s="23">
        <v>1022.2</v>
      </c>
      <c r="F705" s="23" t="s">
        <v>1498</v>
      </c>
      <c r="G705" s="23" t="s">
        <v>46</v>
      </c>
      <c r="H705" s="23" t="s">
        <v>40</v>
      </c>
      <c r="I705" s="23" t="s">
        <v>41</v>
      </c>
      <c r="J705" s="97">
        <f t="shared" si="160"/>
        <v>45748</v>
      </c>
      <c r="K705" s="4">
        <v>45754</v>
      </c>
      <c r="L705" s="19">
        <f t="shared" si="176"/>
        <v>-6</v>
      </c>
      <c r="M705" s="5">
        <f t="shared" si="162"/>
        <v>45759</v>
      </c>
      <c r="N705" s="4">
        <v>45812</v>
      </c>
      <c r="O705" s="19">
        <f t="shared" si="163"/>
        <v>-53</v>
      </c>
      <c r="P705" s="5">
        <f t="shared" si="164"/>
        <v>45774</v>
      </c>
      <c r="Q705" s="4">
        <v>45812</v>
      </c>
      <c r="R705" s="19">
        <f t="shared" si="165"/>
        <v>-38</v>
      </c>
      <c r="S705" s="5">
        <f t="shared" si="175"/>
        <v>45779</v>
      </c>
      <c r="T705" s="4">
        <v>45812</v>
      </c>
      <c r="U705" s="19">
        <f t="shared" si="166"/>
        <v>-33</v>
      </c>
      <c r="V705" s="5">
        <f t="shared" si="167"/>
        <v>45818</v>
      </c>
      <c r="W705" s="65">
        <v>45824</v>
      </c>
      <c r="X705" s="19">
        <f t="shared" si="168"/>
        <v>-6</v>
      </c>
      <c r="Y705" s="51">
        <f t="shared" si="177"/>
        <v>45846</v>
      </c>
      <c r="Z705" s="124">
        <v>45845</v>
      </c>
      <c r="AA705" s="19">
        <f t="shared" si="170"/>
        <v>1</v>
      </c>
      <c r="AB705" s="51">
        <f t="shared" si="171"/>
        <v>45848</v>
      </c>
      <c r="AC705" s="49">
        <f t="shared" si="172"/>
        <v>3</v>
      </c>
      <c r="AD705" s="43">
        <f t="shared" si="173"/>
        <v>45848</v>
      </c>
      <c r="AE705" s="4">
        <v>45845</v>
      </c>
      <c r="AF705" s="19">
        <f t="shared" si="174"/>
        <v>3</v>
      </c>
      <c r="AG705" s="67"/>
      <c r="AH705" s="2"/>
      <c r="AI705" s="2"/>
      <c r="AJ705" s="2"/>
      <c r="AK705" s="2"/>
      <c r="AL705" s="2"/>
    </row>
    <row r="706" spans="1:38" ht="14.45">
      <c r="A706" s="156">
        <v>705</v>
      </c>
      <c r="B706" s="59">
        <v>45849</v>
      </c>
      <c r="C706" s="34" t="s">
        <v>1499</v>
      </c>
      <c r="D706" s="23" t="s">
        <v>227</v>
      </c>
      <c r="E706" s="23">
        <v>27325.7</v>
      </c>
      <c r="F706" s="23" t="s">
        <v>1500</v>
      </c>
      <c r="G706" s="10" t="s">
        <v>120</v>
      </c>
      <c r="H706" s="23" t="s">
        <v>40</v>
      </c>
      <c r="I706" s="23" t="s">
        <v>52</v>
      </c>
      <c r="J706" s="97">
        <f t="shared" ref="J706:J769" si="178">B706-100</f>
        <v>45749</v>
      </c>
      <c r="L706" s="19" t="str">
        <f t="shared" si="176"/>
        <v/>
      </c>
      <c r="M706" s="5">
        <f t="shared" ref="M706:M769" si="179">B706-89</f>
        <v>45760</v>
      </c>
      <c r="O706" s="19" t="str">
        <f t="shared" ref="O706:O769" si="180">IF(OR(M706="", N706=""), "", M706-N706)</f>
        <v/>
      </c>
      <c r="P706" s="5">
        <f t="shared" ref="P706:P769" si="181">B706-74</f>
        <v>45775</v>
      </c>
      <c r="R706" s="19" t="str">
        <f t="shared" ref="R706:R769" si="182">IF(OR(P706="", Q706=""), "", P706-Q706)</f>
        <v/>
      </c>
      <c r="S706" s="5">
        <f t="shared" si="175"/>
        <v>45780</v>
      </c>
      <c r="T706" s="4">
        <v>45819</v>
      </c>
      <c r="U706" s="19">
        <f t="shared" ref="U706:U769" si="183">IF(OR(S706="", T706=""), "", S706-T706)</f>
        <v>-39</v>
      </c>
      <c r="V706" s="5">
        <f t="shared" ref="V706:V769" si="184">B706-30</f>
        <v>45819</v>
      </c>
      <c r="W706" s="5">
        <v>45839</v>
      </c>
      <c r="X706" s="19">
        <f t="shared" ref="X706:X769" si="185">IF(OR(V706="", W706=""), "", V706-W706)</f>
        <v>-20</v>
      </c>
      <c r="Y706" s="51">
        <f t="shared" si="177"/>
        <v>45847</v>
      </c>
      <c r="Z706" s="51">
        <v>45849</v>
      </c>
      <c r="AA706" s="49">
        <f t="shared" ref="AA706:AA769" si="186">IF(OR(Y706="", Z706=""), "", Y706-Z706)</f>
        <v>-2</v>
      </c>
      <c r="AB706" s="51">
        <f t="shared" ref="AB706:AB769" si="187">IF(B706&lt;&gt;"", B706, "")</f>
        <v>45849</v>
      </c>
      <c r="AC706" s="49">
        <f t="shared" ref="AC706:AC769" si="188">IF(OR(AB706="", Z706=""), "", AB706-Z706)</f>
        <v>0</v>
      </c>
      <c r="AD706" s="43">
        <f t="shared" ref="AD706:AD769" si="189">IF(B706&lt;&gt;"", B706, "")</f>
        <v>45849</v>
      </c>
      <c r="AF706" s="19" t="str">
        <f t="shared" ref="AF706:AF722" si="190">IF(OR(AD706="", AE706=""), "", AD706-AE706)</f>
        <v/>
      </c>
      <c r="AG706" s="67"/>
      <c r="AH706" s="2"/>
      <c r="AI706" s="2"/>
      <c r="AJ706" s="2"/>
      <c r="AK706" s="2"/>
      <c r="AL706" s="2"/>
    </row>
    <row r="707" spans="1:38" ht="14.45">
      <c r="A707" s="156">
        <v>706</v>
      </c>
      <c r="B707" s="59">
        <v>45849</v>
      </c>
      <c r="C707" s="34" t="s">
        <v>1501</v>
      </c>
      <c r="D707" s="23" t="s">
        <v>1502</v>
      </c>
      <c r="E707" s="23">
        <v>497.11</v>
      </c>
      <c r="F707" s="23" t="s">
        <v>1503</v>
      </c>
      <c r="G707" s="23" t="s">
        <v>51</v>
      </c>
      <c r="H707" s="23" t="s">
        <v>40</v>
      </c>
      <c r="I707" s="23" t="s">
        <v>41</v>
      </c>
      <c r="J707" s="97">
        <f t="shared" si="178"/>
        <v>45749</v>
      </c>
      <c r="K707" s="4">
        <v>45772</v>
      </c>
      <c r="L707" s="19">
        <f t="shared" si="176"/>
        <v>-23</v>
      </c>
      <c r="M707" s="5">
        <f t="shared" si="179"/>
        <v>45760</v>
      </c>
      <c r="N707" s="4">
        <v>45770</v>
      </c>
      <c r="O707" s="19">
        <f t="shared" si="180"/>
        <v>-10</v>
      </c>
      <c r="P707" s="5">
        <f t="shared" si="181"/>
        <v>45775</v>
      </c>
      <c r="R707" s="19" t="str">
        <f t="shared" si="182"/>
        <v/>
      </c>
      <c r="S707" s="5">
        <f t="shared" si="175"/>
        <v>45780</v>
      </c>
      <c r="T707" s="4">
        <v>45810</v>
      </c>
      <c r="U707" s="19">
        <f t="shared" si="183"/>
        <v>-30</v>
      </c>
      <c r="V707" s="5">
        <f t="shared" si="184"/>
        <v>45819</v>
      </c>
      <c r="W707" s="5">
        <v>45833</v>
      </c>
      <c r="X707" s="19">
        <f t="shared" si="185"/>
        <v>-14</v>
      </c>
      <c r="Y707" s="51">
        <f t="shared" si="177"/>
        <v>45847</v>
      </c>
      <c r="Z707" s="51">
        <v>45841</v>
      </c>
      <c r="AA707" s="49">
        <f t="shared" si="186"/>
        <v>6</v>
      </c>
      <c r="AB707" s="51">
        <f t="shared" si="187"/>
        <v>45849</v>
      </c>
      <c r="AC707" s="49">
        <f t="shared" si="188"/>
        <v>8</v>
      </c>
      <c r="AD707" s="43">
        <f t="shared" si="189"/>
        <v>45849</v>
      </c>
      <c r="AE707" s="4">
        <v>45841</v>
      </c>
      <c r="AF707" s="19">
        <f t="shared" si="190"/>
        <v>8</v>
      </c>
      <c r="AG707" s="67"/>
      <c r="AH707" s="2"/>
      <c r="AI707" s="2"/>
      <c r="AJ707" s="2"/>
      <c r="AK707" s="2"/>
      <c r="AL707" s="2"/>
    </row>
    <row r="708" spans="1:38" ht="14.45">
      <c r="A708" s="156">
        <v>707</v>
      </c>
      <c r="B708" s="59">
        <v>45849</v>
      </c>
      <c r="C708" s="34" t="s">
        <v>1504</v>
      </c>
      <c r="D708" s="23" t="s">
        <v>1505</v>
      </c>
      <c r="E708" s="23">
        <v>18645.12</v>
      </c>
      <c r="F708" s="23" t="s">
        <v>1506</v>
      </c>
      <c r="G708" s="14" t="s">
        <v>46</v>
      </c>
      <c r="H708" s="23" t="s">
        <v>40</v>
      </c>
      <c r="I708" s="23" t="s">
        <v>229</v>
      </c>
      <c r="J708" s="97">
        <f t="shared" si="178"/>
        <v>45749</v>
      </c>
      <c r="K708" s="4">
        <v>45754</v>
      </c>
      <c r="L708" s="19">
        <f t="shared" ref="L708:L739" si="191">IF(OR(J708="", K708=""), "", J708-K708)</f>
        <v>-5</v>
      </c>
      <c r="M708" s="5">
        <f t="shared" si="179"/>
        <v>45760</v>
      </c>
      <c r="N708" s="4">
        <v>45814</v>
      </c>
      <c r="O708" s="19">
        <f t="shared" si="180"/>
        <v>-54</v>
      </c>
      <c r="P708" s="5">
        <f t="shared" si="181"/>
        <v>45775</v>
      </c>
      <c r="R708" s="19" t="str">
        <f t="shared" si="182"/>
        <v/>
      </c>
      <c r="S708" s="5">
        <f t="shared" si="175"/>
        <v>45780</v>
      </c>
      <c r="T708" s="4">
        <v>45814</v>
      </c>
      <c r="U708" s="19">
        <f t="shared" si="183"/>
        <v>-34</v>
      </c>
      <c r="V708" s="5">
        <f t="shared" si="184"/>
        <v>45819</v>
      </c>
      <c r="W708" s="5">
        <v>45819</v>
      </c>
      <c r="X708" s="19">
        <f t="shared" si="185"/>
        <v>0</v>
      </c>
      <c r="Y708" s="51">
        <f t="shared" si="177"/>
        <v>45847</v>
      </c>
      <c r="Z708" s="124">
        <v>45849</v>
      </c>
      <c r="AA708" s="49">
        <f t="shared" si="186"/>
        <v>-2</v>
      </c>
      <c r="AB708" s="51">
        <f t="shared" si="187"/>
        <v>45849</v>
      </c>
      <c r="AC708" s="49">
        <f t="shared" si="188"/>
        <v>0</v>
      </c>
      <c r="AD708" s="43">
        <f t="shared" si="189"/>
        <v>45849</v>
      </c>
      <c r="AE708" s="4">
        <v>45854</v>
      </c>
      <c r="AF708" s="19">
        <f t="shared" si="190"/>
        <v>-5</v>
      </c>
      <c r="AG708" s="67"/>
      <c r="AH708" s="2"/>
      <c r="AI708" s="2"/>
      <c r="AJ708" s="2"/>
      <c r="AK708" s="2"/>
      <c r="AL708" s="2"/>
    </row>
    <row r="709" spans="1:38" ht="14.45">
      <c r="A709" s="156">
        <v>708</v>
      </c>
      <c r="B709" s="59">
        <v>45849</v>
      </c>
      <c r="C709" s="34" t="s">
        <v>1507</v>
      </c>
      <c r="D709" s="23" t="s">
        <v>1508</v>
      </c>
      <c r="E709" s="23">
        <v>9053.89</v>
      </c>
      <c r="F709" s="23" t="s">
        <v>1509</v>
      </c>
      <c r="G709" s="23" t="s">
        <v>46</v>
      </c>
      <c r="H709" s="23" t="s">
        <v>36</v>
      </c>
      <c r="I709" s="23" t="s">
        <v>37</v>
      </c>
      <c r="J709" s="97">
        <f t="shared" si="178"/>
        <v>45749</v>
      </c>
      <c r="K709" s="4">
        <v>45754</v>
      </c>
      <c r="L709" s="19">
        <f t="shared" si="191"/>
        <v>-5</v>
      </c>
      <c r="M709" s="5">
        <f t="shared" si="179"/>
        <v>45760</v>
      </c>
      <c r="N709" s="4">
        <v>45812</v>
      </c>
      <c r="O709" s="19">
        <f t="shared" si="180"/>
        <v>-52</v>
      </c>
      <c r="P709" s="5">
        <f t="shared" si="181"/>
        <v>45775</v>
      </c>
      <c r="R709" s="19" t="str">
        <f t="shared" si="182"/>
        <v/>
      </c>
      <c r="S709" s="5">
        <f t="shared" ref="S709:S772" si="192">B709-69</f>
        <v>45780</v>
      </c>
      <c r="T709" s="4">
        <v>45812</v>
      </c>
      <c r="U709" s="19">
        <f t="shared" si="183"/>
        <v>-32</v>
      </c>
      <c r="V709" s="5">
        <f t="shared" si="184"/>
        <v>45819</v>
      </c>
      <c r="W709" s="5">
        <v>45828</v>
      </c>
      <c r="X709" s="19">
        <f t="shared" si="185"/>
        <v>-9</v>
      </c>
      <c r="Y709" s="51">
        <f t="shared" si="177"/>
        <v>45847</v>
      </c>
      <c r="Z709" s="124">
        <v>45852</v>
      </c>
      <c r="AA709" s="49">
        <f>IF(OR(Y709="", Z709=""), "", Y709-Z709)</f>
        <v>-5</v>
      </c>
      <c r="AB709" s="51">
        <f t="shared" si="187"/>
        <v>45849</v>
      </c>
      <c r="AC709" s="49">
        <f t="shared" si="188"/>
        <v>-3</v>
      </c>
      <c r="AD709" s="43">
        <f t="shared" si="189"/>
        <v>45849</v>
      </c>
      <c r="AE709" s="51">
        <v>45852</v>
      </c>
      <c r="AF709" s="19">
        <f t="shared" si="190"/>
        <v>-3</v>
      </c>
      <c r="AG709" s="67"/>
      <c r="AH709" s="2"/>
      <c r="AI709" s="2"/>
      <c r="AJ709" s="2"/>
      <c r="AK709" s="2"/>
      <c r="AL709" s="2"/>
    </row>
    <row r="710" spans="1:38" ht="14.45">
      <c r="A710" s="156">
        <v>709</v>
      </c>
      <c r="B710" s="59">
        <v>45849</v>
      </c>
      <c r="C710" s="34" t="s">
        <v>1510</v>
      </c>
      <c r="D710" s="23" t="s">
        <v>1316</v>
      </c>
      <c r="E710" s="23">
        <v>4800</v>
      </c>
      <c r="F710" s="23" t="s">
        <v>1511</v>
      </c>
      <c r="G710" s="14" t="s">
        <v>110</v>
      </c>
      <c r="H710" s="23" t="s">
        <v>36</v>
      </c>
      <c r="I710" s="23" t="s">
        <v>62</v>
      </c>
      <c r="J710" s="97">
        <f t="shared" si="178"/>
        <v>45749</v>
      </c>
      <c r="L710" s="19" t="str">
        <f t="shared" si="191"/>
        <v/>
      </c>
      <c r="M710" s="5">
        <f t="shared" si="179"/>
        <v>45760</v>
      </c>
      <c r="N710" s="4">
        <v>45694</v>
      </c>
      <c r="O710" s="19">
        <f t="shared" si="180"/>
        <v>66</v>
      </c>
      <c r="P710" s="5">
        <f t="shared" si="181"/>
        <v>45775</v>
      </c>
      <c r="R710" s="19" t="str">
        <f t="shared" si="182"/>
        <v/>
      </c>
      <c r="S710" s="5">
        <f t="shared" si="192"/>
        <v>45780</v>
      </c>
      <c r="T710" s="4">
        <v>45694</v>
      </c>
      <c r="U710" s="19">
        <f t="shared" si="183"/>
        <v>86</v>
      </c>
      <c r="V710" s="5">
        <f t="shared" si="184"/>
        <v>45819</v>
      </c>
      <c r="W710" s="5">
        <v>45810</v>
      </c>
      <c r="X710" s="19">
        <f t="shared" si="185"/>
        <v>9</v>
      </c>
      <c r="Y710" s="51">
        <f t="shared" si="177"/>
        <v>45847</v>
      </c>
      <c r="Z710" s="4">
        <v>45824</v>
      </c>
      <c r="AA710" s="49">
        <f t="shared" si="186"/>
        <v>23</v>
      </c>
      <c r="AB710" s="51">
        <f t="shared" si="187"/>
        <v>45849</v>
      </c>
      <c r="AC710" s="49">
        <f t="shared" si="188"/>
        <v>25</v>
      </c>
      <c r="AD710" s="43">
        <f t="shared" si="189"/>
        <v>45849</v>
      </c>
      <c r="AE710" s="4">
        <v>45824</v>
      </c>
      <c r="AF710" s="19">
        <f t="shared" si="190"/>
        <v>25</v>
      </c>
      <c r="AG710" s="67"/>
      <c r="AH710" s="2"/>
      <c r="AI710" s="2"/>
      <c r="AJ710" s="2"/>
      <c r="AK710" s="2"/>
      <c r="AL710" s="2"/>
    </row>
    <row r="711" spans="1:38" ht="14.45">
      <c r="A711" s="156">
        <v>710</v>
      </c>
      <c r="B711" s="59">
        <v>45850</v>
      </c>
      <c r="C711" s="34" t="s">
        <v>1512</v>
      </c>
      <c r="D711" s="23" t="s">
        <v>1513</v>
      </c>
      <c r="E711" s="23">
        <v>610.58000000000004</v>
      </c>
      <c r="F711" s="23" t="s">
        <v>1514</v>
      </c>
      <c r="G711" s="14" t="s">
        <v>46</v>
      </c>
      <c r="H711" s="23" t="s">
        <v>40</v>
      </c>
      <c r="I711" s="23" t="s">
        <v>37</v>
      </c>
      <c r="J711" s="97">
        <f t="shared" si="178"/>
        <v>45750</v>
      </c>
      <c r="K711" s="4">
        <v>45754</v>
      </c>
      <c r="L711" s="19">
        <f t="shared" si="191"/>
        <v>-4</v>
      </c>
      <c r="M711" s="5">
        <f t="shared" si="179"/>
        <v>45761</v>
      </c>
      <c r="N711" s="4">
        <v>45814</v>
      </c>
      <c r="O711" s="19">
        <f t="shared" si="180"/>
        <v>-53</v>
      </c>
      <c r="P711" s="5">
        <f t="shared" si="181"/>
        <v>45776</v>
      </c>
      <c r="R711" s="19" t="str">
        <f t="shared" si="182"/>
        <v/>
      </c>
      <c r="S711" s="5">
        <f t="shared" si="192"/>
        <v>45781</v>
      </c>
      <c r="T711" s="4">
        <v>45812</v>
      </c>
      <c r="U711" s="19">
        <f t="shared" si="183"/>
        <v>-31</v>
      </c>
      <c r="V711" s="5">
        <f t="shared" si="184"/>
        <v>45820</v>
      </c>
      <c r="W711" s="5">
        <v>45828</v>
      </c>
      <c r="X711" s="19">
        <f t="shared" si="185"/>
        <v>-8</v>
      </c>
      <c r="Y711" s="51">
        <f t="shared" si="177"/>
        <v>45848</v>
      </c>
      <c r="Z711" s="124">
        <v>45849</v>
      </c>
      <c r="AA711" s="49">
        <f t="shared" si="186"/>
        <v>-1</v>
      </c>
      <c r="AB711" s="51">
        <f t="shared" si="187"/>
        <v>45850</v>
      </c>
      <c r="AC711" s="49">
        <f t="shared" si="188"/>
        <v>1</v>
      </c>
      <c r="AD711" s="43">
        <f t="shared" si="189"/>
        <v>45850</v>
      </c>
      <c r="AE711" s="4">
        <v>45867</v>
      </c>
      <c r="AF711" s="19">
        <f t="shared" si="190"/>
        <v>-17</v>
      </c>
      <c r="AG711" s="67"/>
      <c r="AH711" s="2"/>
      <c r="AI711" s="2"/>
      <c r="AJ711" s="2"/>
      <c r="AK711" s="2"/>
      <c r="AL711" s="2"/>
    </row>
    <row r="712" spans="1:38" ht="14.45">
      <c r="A712" s="156">
        <v>711</v>
      </c>
      <c r="B712" s="60">
        <v>45850</v>
      </c>
      <c r="C712" s="41">
        <v>564278380</v>
      </c>
      <c r="D712" s="24" t="s">
        <v>1105</v>
      </c>
      <c r="E712" s="24">
        <v>16742.2</v>
      </c>
      <c r="F712" s="24" t="s">
        <v>1515</v>
      </c>
      <c r="G712" s="14" t="s">
        <v>110</v>
      </c>
      <c r="H712" s="24" t="s">
        <v>36</v>
      </c>
      <c r="I712" s="24" t="s">
        <v>37</v>
      </c>
      <c r="J712" s="98">
        <f t="shared" si="178"/>
        <v>45750</v>
      </c>
      <c r="K712" s="7"/>
      <c r="L712" s="99" t="str">
        <f t="shared" si="191"/>
        <v/>
      </c>
      <c r="M712" s="20">
        <f t="shared" si="179"/>
        <v>45761</v>
      </c>
      <c r="N712" s="7"/>
      <c r="O712" s="99" t="str">
        <f t="shared" si="180"/>
        <v/>
      </c>
      <c r="P712" s="20">
        <f t="shared" si="181"/>
        <v>45776</v>
      </c>
      <c r="Q712" s="7"/>
      <c r="R712" s="99" t="str">
        <f t="shared" si="182"/>
        <v/>
      </c>
      <c r="S712" s="20">
        <f t="shared" si="192"/>
        <v>45781</v>
      </c>
      <c r="T712" s="7"/>
      <c r="U712" s="99" t="str">
        <f t="shared" si="183"/>
        <v/>
      </c>
      <c r="V712" s="20">
        <f t="shared" si="184"/>
        <v>45820</v>
      </c>
      <c r="W712" s="20"/>
      <c r="X712" s="99" t="str">
        <f t="shared" si="185"/>
        <v/>
      </c>
      <c r="Y712" s="66">
        <f t="shared" si="177"/>
        <v>45848</v>
      </c>
      <c r="Z712" s="50"/>
      <c r="AA712" s="50" t="str">
        <f t="shared" si="186"/>
        <v/>
      </c>
      <c r="AB712" s="51">
        <f t="shared" si="187"/>
        <v>45850</v>
      </c>
      <c r="AC712" s="49" t="str">
        <f t="shared" si="188"/>
        <v/>
      </c>
      <c r="AD712" s="100">
        <f t="shared" si="189"/>
        <v>45850</v>
      </c>
      <c r="AE712" s="7"/>
      <c r="AF712" s="99" t="str">
        <f t="shared" si="190"/>
        <v/>
      </c>
      <c r="AG712" s="67" t="s">
        <v>367</v>
      </c>
      <c r="AH712" s="2"/>
      <c r="AI712" s="2"/>
      <c r="AJ712" s="2"/>
      <c r="AK712" s="2"/>
      <c r="AL712" s="2"/>
    </row>
    <row r="713" spans="1:38" ht="14.45">
      <c r="A713" s="156">
        <v>712</v>
      </c>
      <c r="B713" s="59">
        <v>45851</v>
      </c>
      <c r="C713" s="34" t="s">
        <v>1516</v>
      </c>
      <c r="D713" s="23" t="s">
        <v>326</v>
      </c>
      <c r="E713" s="23">
        <v>3353.84</v>
      </c>
      <c r="F713" s="23" t="s">
        <v>1517</v>
      </c>
      <c r="G713" s="14" t="s">
        <v>46</v>
      </c>
      <c r="H713" s="23" t="s">
        <v>36</v>
      </c>
      <c r="I713" s="23" t="s">
        <v>62</v>
      </c>
      <c r="J713" s="97">
        <f t="shared" si="178"/>
        <v>45751</v>
      </c>
      <c r="K713" s="4">
        <v>45754</v>
      </c>
      <c r="L713" s="19">
        <f t="shared" si="191"/>
        <v>-3</v>
      </c>
      <c r="M713" s="5">
        <f t="shared" si="179"/>
        <v>45762</v>
      </c>
      <c r="O713" s="19" t="str">
        <f t="shared" si="180"/>
        <v/>
      </c>
      <c r="P713" s="5">
        <f t="shared" si="181"/>
        <v>45777</v>
      </c>
      <c r="R713" s="19" t="str">
        <f t="shared" si="182"/>
        <v/>
      </c>
      <c r="S713" s="5">
        <f t="shared" si="192"/>
        <v>45782</v>
      </c>
      <c r="T713" s="4">
        <v>45822</v>
      </c>
      <c r="U713" s="19">
        <f t="shared" si="183"/>
        <v>-40</v>
      </c>
      <c r="V713" s="5">
        <f t="shared" si="184"/>
        <v>45821</v>
      </c>
      <c r="W713" s="5">
        <v>45812</v>
      </c>
      <c r="X713" s="19">
        <f t="shared" si="185"/>
        <v>9</v>
      </c>
      <c r="Y713" s="51">
        <f t="shared" si="177"/>
        <v>45849</v>
      </c>
      <c r="Z713" s="4">
        <v>45812</v>
      </c>
      <c r="AA713" s="49">
        <f t="shared" si="186"/>
        <v>37</v>
      </c>
      <c r="AB713" s="51">
        <f t="shared" si="187"/>
        <v>45851</v>
      </c>
      <c r="AC713" s="49">
        <f t="shared" si="188"/>
        <v>39</v>
      </c>
      <c r="AD713" s="43">
        <f t="shared" si="189"/>
        <v>45851</v>
      </c>
      <c r="AE713" s="4">
        <v>45812</v>
      </c>
      <c r="AF713" s="19">
        <f t="shared" si="190"/>
        <v>39</v>
      </c>
      <c r="AG713" s="67"/>
      <c r="AH713" s="2"/>
      <c r="AI713" s="2"/>
      <c r="AJ713" s="2"/>
      <c r="AK713" s="2"/>
      <c r="AL713" s="2"/>
    </row>
    <row r="714" spans="1:38" ht="14.45">
      <c r="A714" s="156">
        <v>713</v>
      </c>
      <c r="B714" s="59">
        <v>45851</v>
      </c>
      <c r="C714" s="34" t="s">
        <v>1518</v>
      </c>
      <c r="D714" s="23" t="s">
        <v>38</v>
      </c>
      <c r="E714" s="23">
        <v>1470.36</v>
      </c>
      <c r="F714" s="23" t="s">
        <v>1519</v>
      </c>
      <c r="G714" s="14" t="s">
        <v>190</v>
      </c>
      <c r="H714" s="23" t="s">
        <v>40</v>
      </c>
      <c r="I714" s="23" t="s">
        <v>41</v>
      </c>
      <c r="J714" s="97">
        <f t="shared" si="178"/>
        <v>45751</v>
      </c>
      <c r="K714" s="4">
        <v>45825</v>
      </c>
      <c r="L714" s="19">
        <f t="shared" si="191"/>
        <v>-74</v>
      </c>
      <c r="M714" s="5">
        <f t="shared" si="179"/>
        <v>45762</v>
      </c>
      <c r="N714" s="4">
        <v>45833</v>
      </c>
      <c r="O714" s="19">
        <f t="shared" si="180"/>
        <v>-71</v>
      </c>
      <c r="P714" s="5">
        <f t="shared" si="181"/>
        <v>45777</v>
      </c>
      <c r="Q714" s="4">
        <v>45777</v>
      </c>
      <c r="R714" s="19">
        <f t="shared" si="182"/>
        <v>0</v>
      </c>
      <c r="S714" s="5">
        <f t="shared" si="192"/>
        <v>45782</v>
      </c>
      <c r="T714" s="4">
        <v>45782</v>
      </c>
      <c r="U714" s="19">
        <f t="shared" si="183"/>
        <v>0</v>
      </c>
      <c r="V714" s="5">
        <f t="shared" si="184"/>
        <v>45821</v>
      </c>
      <c r="W714" s="5">
        <v>45821</v>
      </c>
      <c r="X714" s="19">
        <f t="shared" si="185"/>
        <v>0</v>
      </c>
      <c r="Y714" s="51">
        <f t="shared" si="177"/>
        <v>45849</v>
      </c>
      <c r="Z714" s="4">
        <v>45841</v>
      </c>
      <c r="AA714" s="49">
        <f t="shared" si="186"/>
        <v>8</v>
      </c>
      <c r="AB714" s="51">
        <f t="shared" si="187"/>
        <v>45851</v>
      </c>
      <c r="AC714" s="49">
        <f t="shared" si="188"/>
        <v>10</v>
      </c>
      <c r="AD714" s="43">
        <f t="shared" si="189"/>
        <v>45851</v>
      </c>
      <c r="AE714" s="4">
        <v>45841</v>
      </c>
      <c r="AF714" s="19">
        <f t="shared" si="190"/>
        <v>10</v>
      </c>
      <c r="AG714" s="67" t="s">
        <v>367</v>
      </c>
      <c r="AH714" s="2"/>
      <c r="AI714" s="2"/>
      <c r="AJ714" s="2"/>
      <c r="AK714" s="2"/>
      <c r="AL714" s="2"/>
    </row>
    <row r="715" spans="1:38" ht="14.45">
      <c r="A715" s="156">
        <v>714</v>
      </c>
      <c r="B715" s="59">
        <v>45852</v>
      </c>
      <c r="C715" s="34" t="s">
        <v>1520</v>
      </c>
      <c r="D715" s="23" t="s">
        <v>49</v>
      </c>
      <c r="E715" s="23">
        <v>1123.47</v>
      </c>
      <c r="F715" s="23" t="s">
        <v>1521</v>
      </c>
      <c r="G715" s="23" t="s">
        <v>51</v>
      </c>
      <c r="H715" s="23" t="s">
        <v>40</v>
      </c>
      <c r="I715" s="23" t="s">
        <v>37</v>
      </c>
      <c r="J715" s="97">
        <f t="shared" si="178"/>
        <v>45752</v>
      </c>
      <c r="K715" s="4">
        <v>45772</v>
      </c>
      <c r="L715" s="19">
        <f t="shared" si="191"/>
        <v>-20</v>
      </c>
      <c r="M715" s="5">
        <f t="shared" si="179"/>
        <v>45763</v>
      </c>
      <c r="N715" s="4">
        <v>45770</v>
      </c>
      <c r="O715" s="19">
        <f t="shared" si="180"/>
        <v>-7</v>
      </c>
      <c r="P715" s="5">
        <f t="shared" si="181"/>
        <v>45778</v>
      </c>
      <c r="R715" s="19" t="str">
        <f t="shared" si="182"/>
        <v/>
      </c>
      <c r="S715" s="5">
        <f t="shared" si="192"/>
        <v>45783</v>
      </c>
      <c r="T715" s="4">
        <v>45810</v>
      </c>
      <c r="U715" s="19">
        <f t="shared" si="183"/>
        <v>-27</v>
      </c>
      <c r="V715" s="5">
        <f t="shared" si="184"/>
        <v>45822</v>
      </c>
      <c r="W715" s="5">
        <v>45814</v>
      </c>
      <c r="X715" s="19">
        <f t="shared" si="185"/>
        <v>8</v>
      </c>
      <c r="Y715" s="51">
        <f t="shared" si="177"/>
        <v>45850</v>
      </c>
      <c r="Z715" s="51">
        <v>45841</v>
      </c>
      <c r="AA715" s="49">
        <f t="shared" si="186"/>
        <v>9</v>
      </c>
      <c r="AB715" s="51">
        <f t="shared" si="187"/>
        <v>45852</v>
      </c>
      <c r="AC715" s="49">
        <f t="shared" si="188"/>
        <v>11</v>
      </c>
      <c r="AD715" s="43">
        <f t="shared" si="189"/>
        <v>45852</v>
      </c>
      <c r="AE715" s="4">
        <v>45841</v>
      </c>
      <c r="AF715" s="19">
        <f t="shared" si="190"/>
        <v>11</v>
      </c>
      <c r="AG715" s="67"/>
      <c r="AH715" s="2"/>
      <c r="AI715" s="2"/>
      <c r="AJ715" s="2"/>
      <c r="AK715" s="2"/>
      <c r="AL715" s="2"/>
    </row>
    <row r="716" spans="1:38" ht="14.45">
      <c r="A716" s="156">
        <v>715</v>
      </c>
      <c r="B716" s="59">
        <v>45853</v>
      </c>
      <c r="C716" s="34" t="s">
        <v>1522</v>
      </c>
      <c r="D716" s="23" t="s">
        <v>38</v>
      </c>
      <c r="E716" s="23">
        <v>1536.83</v>
      </c>
      <c r="F716" s="23" t="s">
        <v>1523</v>
      </c>
      <c r="G716" s="14" t="s">
        <v>190</v>
      </c>
      <c r="H716" s="23" t="s">
        <v>40</v>
      </c>
      <c r="I716" s="23" t="s">
        <v>41</v>
      </c>
      <c r="J716" s="97">
        <f t="shared" si="178"/>
        <v>45753</v>
      </c>
      <c r="K716" s="4">
        <v>45825</v>
      </c>
      <c r="L716" s="19">
        <f t="shared" si="191"/>
        <v>-72</v>
      </c>
      <c r="M716" s="5">
        <f t="shared" si="179"/>
        <v>45764</v>
      </c>
      <c r="N716" s="4">
        <v>45833</v>
      </c>
      <c r="O716" s="19">
        <f t="shared" si="180"/>
        <v>-69</v>
      </c>
      <c r="P716" s="5">
        <f t="shared" si="181"/>
        <v>45779</v>
      </c>
      <c r="Q716" s="4">
        <v>45779</v>
      </c>
      <c r="R716" s="19">
        <f t="shared" si="182"/>
        <v>0</v>
      </c>
      <c r="S716" s="5">
        <f t="shared" si="192"/>
        <v>45784</v>
      </c>
      <c r="T716" s="4">
        <v>45784</v>
      </c>
      <c r="U716" s="19">
        <f t="shared" si="183"/>
        <v>0</v>
      </c>
      <c r="V716" s="5">
        <f t="shared" si="184"/>
        <v>45823</v>
      </c>
      <c r="W716" s="5">
        <v>45823</v>
      </c>
      <c r="X716" s="19">
        <f t="shared" si="185"/>
        <v>0</v>
      </c>
      <c r="Y716" s="51">
        <f t="shared" si="177"/>
        <v>45851</v>
      </c>
      <c r="Z716" s="51">
        <v>45842</v>
      </c>
      <c r="AA716" s="49">
        <f t="shared" si="186"/>
        <v>9</v>
      </c>
      <c r="AB716" s="51">
        <f t="shared" si="187"/>
        <v>45853</v>
      </c>
      <c r="AC716" s="49">
        <f t="shared" si="188"/>
        <v>11</v>
      </c>
      <c r="AD716" s="43">
        <f t="shared" si="189"/>
        <v>45853</v>
      </c>
      <c r="AE716" s="4">
        <v>45848</v>
      </c>
      <c r="AF716" s="19">
        <f t="shared" si="190"/>
        <v>5</v>
      </c>
      <c r="AG716" s="67"/>
      <c r="AH716" s="2"/>
      <c r="AI716" s="2"/>
      <c r="AJ716" s="2"/>
      <c r="AK716" s="2"/>
      <c r="AL716" s="2"/>
    </row>
    <row r="717" spans="1:38" ht="14.45">
      <c r="A717" s="156">
        <v>716</v>
      </c>
      <c r="B717" s="59">
        <v>45853</v>
      </c>
      <c r="C717" s="34" t="s">
        <v>1524</v>
      </c>
      <c r="D717" s="23" t="s">
        <v>38</v>
      </c>
      <c r="E717" s="23">
        <v>370.8</v>
      </c>
      <c r="F717" s="23" t="s">
        <v>1525</v>
      </c>
      <c r="G717" s="14" t="s">
        <v>190</v>
      </c>
      <c r="H717" s="23" t="s">
        <v>40</v>
      </c>
      <c r="I717" s="23" t="s">
        <v>41</v>
      </c>
      <c r="J717" s="97">
        <f t="shared" si="178"/>
        <v>45753</v>
      </c>
      <c r="K717" s="4">
        <v>45825</v>
      </c>
      <c r="L717" s="19">
        <f t="shared" si="191"/>
        <v>-72</v>
      </c>
      <c r="M717" s="5">
        <f t="shared" si="179"/>
        <v>45764</v>
      </c>
      <c r="N717" s="4">
        <v>45833</v>
      </c>
      <c r="O717" s="19">
        <f t="shared" si="180"/>
        <v>-69</v>
      </c>
      <c r="P717" s="5">
        <f t="shared" si="181"/>
        <v>45779</v>
      </c>
      <c r="Q717" s="4">
        <v>45779</v>
      </c>
      <c r="R717" s="19">
        <f t="shared" si="182"/>
        <v>0</v>
      </c>
      <c r="S717" s="5">
        <f t="shared" si="192"/>
        <v>45784</v>
      </c>
      <c r="T717" s="4">
        <v>45784</v>
      </c>
      <c r="U717" s="19">
        <f t="shared" si="183"/>
        <v>0</v>
      </c>
      <c r="V717" s="5">
        <f t="shared" si="184"/>
        <v>45823</v>
      </c>
      <c r="W717" s="5">
        <v>45823</v>
      </c>
      <c r="X717" s="19">
        <f t="shared" si="185"/>
        <v>0</v>
      </c>
      <c r="Y717" s="51">
        <f t="shared" si="177"/>
        <v>45851</v>
      </c>
      <c r="Z717" s="51">
        <v>45842</v>
      </c>
      <c r="AA717" s="49">
        <f t="shared" si="186"/>
        <v>9</v>
      </c>
      <c r="AB717" s="51">
        <f t="shared" si="187"/>
        <v>45853</v>
      </c>
      <c r="AC717" s="49">
        <f t="shared" si="188"/>
        <v>11</v>
      </c>
      <c r="AD717" s="43">
        <f t="shared" si="189"/>
        <v>45853</v>
      </c>
      <c r="AE717" s="4">
        <v>45848</v>
      </c>
      <c r="AF717" s="19">
        <f t="shared" si="190"/>
        <v>5</v>
      </c>
      <c r="AG717" s="67"/>
      <c r="AH717" s="2"/>
      <c r="AI717" s="2"/>
      <c r="AJ717" s="2"/>
      <c r="AK717" s="2"/>
      <c r="AL717" s="2"/>
    </row>
    <row r="718" spans="1:38" ht="14.45">
      <c r="A718" s="156">
        <v>717</v>
      </c>
      <c r="B718" s="59">
        <v>45853</v>
      </c>
      <c r="C718" s="34" t="s">
        <v>1526</v>
      </c>
      <c r="D718" s="23" t="s">
        <v>38</v>
      </c>
      <c r="E718" s="23">
        <v>972</v>
      </c>
      <c r="F718" s="23" t="s">
        <v>1527</v>
      </c>
      <c r="G718" s="14" t="s">
        <v>190</v>
      </c>
      <c r="H718" s="23" t="s">
        <v>40</v>
      </c>
      <c r="I718" s="23" t="s">
        <v>41</v>
      </c>
      <c r="J718" s="97">
        <f t="shared" si="178"/>
        <v>45753</v>
      </c>
      <c r="K718" s="4">
        <v>45825</v>
      </c>
      <c r="L718" s="19">
        <f t="shared" si="191"/>
        <v>-72</v>
      </c>
      <c r="M718" s="5">
        <f t="shared" si="179"/>
        <v>45764</v>
      </c>
      <c r="N718" s="4">
        <v>45833</v>
      </c>
      <c r="O718" s="19">
        <f t="shared" si="180"/>
        <v>-69</v>
      </c>
      <c r="P718" s="5">
        <f t="shared" si="181"/>
        <v>45779</v>
      </c>
      <c r="Q718" s="4">
        <v>45779</v>
      </c>
      <c r="R718" s="19">
        <f t="shared" si="182"/>
        <v>0</v>
      </c>
      <c r="S718" s="5">
        <f t="shared" si="192"/>
        <v>45784</v>
      </c>
      <c r="T718" s="4">
        <v>45784</v>
      </c>
      <c r="U718" s="19">
        <f t="shared" si="183"/>
        <v>0</v>
      </c>
      <c r="V718" s="5">
        <f t="shared" si="184"/>
        <v>45823</v>
      </c>
      <c r="W718" s="5">
        <v>45823</v>
      </c>
      <c r="X718" s="19">
        <f t="shared" si="185"/>
        <v>0</v>
      </c>
      <c r="Y718" s="51">
        <f t="shared" si="177"/>
        <v>45851</v>
      </c>
      <c r="Z718" s="51">
        <v>45842</v>
      </c>
      <c r="AA718" s="49">
        <f t="shared" si="186"/>
        <v>9</v>
      </c>
      <c r="AB718" s="51">
        <f t="shared" si="187"/>
        <v>45853</v>
      </c>
      <c r="AC718" s="49">
        <f t="shared" si="188"/>
        <v>11</v>
      </c>
      <c r="AD718" s="43">
        <f t="shared" si="189"/>
        <v>45853</v>
      </c>
      <c r="AE718" s="4">
        <v>45848</v>
      </c>
      <c r="AF718" s="19">
        <f t="shared" si="190"/>
        <v>5</v>
      </c>
      <c r="AG718" s="67"/>
      <c r="AH718" s="2"/>
      <c r="AI718" s="2"/>
      <c r="AJ718" s="2"/>
      <c r="AK718" s="2"/>
      <c r="AL718" s="2"/>
    </row>
    <row r="719" spans="1:38" ht="14.45">
      <c r="A719" s="156">
        <v>718</v>
      </c>
      <c r="B719" s="59">
        <v>45853</v>
      </c>
      <c r="C719" s="34" t="s">
        <v>1528</v>
      </c>
      <c r="D719" s="23" t="s">
        <v>38</v>
      </c>
      <c r="E719" s="23">
        <v>72</v>
      </c>
      <c r="F719" s="23" t="s">
        <v>1529</v>
      </c>
      <c r="G719" s="14" t="s">
        <v>190</v>
      </c>
      <c r="H719" s="23" t="s">
        <v>40</v>
      </c>
      <c r="I719" s="23" t="s">
        <v>41</v>
      </c>
      <c r="J719" s="97">
        <f t="shared" si="178"/>
        <v>45753</v>
      </c>
      <c r="K719" s="4">
        <v>45825</v>
      </c>
      <c r="L719" s="19">
        <f t="shared" si="191"/>
        <v>-72</v>
      </c>
      <c r="M719" s="5">
        <f t="shared" si="179"/>
        <v>45764</v>
      </c>
      <c r="N719" s="4">
        <v>45833</v>
      </c>
      <c r="O719" s="19">
        <f t="shared" si="180"/>
        <v>-69</v>
      </c>
      <c r="P719" s="5">
        <f t="shared" si="181"/>
        <v>45779</v>
      </c>
      <c r="Q719" s="4">
        <v>45779</v>
      </c>
      <c r="R719" s="19">
        <f t="shared" si="182"/>
        <v>0</v>
      </c>
      <c r="S719" s="5">
        <f t="shared" si="192"/>
        <v>45784</v>
      </c>
      <c r="T719" s="4">
        <v>45784</v>
      </c>
      <c r="U719" s="19">
        <f t="shared" si="183"/>
        <v>0</v>
      </c>
      <c r="V719" s="5">
        <f t="shared" si="184"/>
        <v>45823</v>
      </c>
      <c r="W719" s="5">
        <v>45823</v>
      </c>
      <c r="X719" s="19">
        <f t="shared" si="185"/>
        <v>0</v>
      </c>
      <c r="Y719" s="51">
        <f t="shared" si="177"/>
        <v>45851</v>
      </c>
      <c r="Z719" s="51">
        <v>45842</v>
      </c>
      <c r="AA719" s="49">
        <f t="shared" si="186"/>
        <v>9</v>
      </c>
      <c r="AB719" s="51">
        <f t="shared" si="187"/>
        <v>45853</v>
      </c>
      <c r="AC719" s="49">
        <f t="shared" si="188"/>
        <v>11</v>
      </c>
      <c r="AD719" s="43">
        <f t="shared" si="189"/>
        <v>45853</v>
      </c>
      <c r="AE719" s="4">
        <v>45848</v>
      </c>
      <c r="AF719" s="19">
        <f t="shared" si="190"/>
        <v>5</v>
      </c>
      <c r="AG719" s="67"/>
      <c r="AH719" s="2"/>
      <c r="AI719" s="2"/>
      <c r="AJ719" s="2"/>
      <c r="AK719" s="2"/>
      <c r="AL719" s="2"/>
    </row>
    <row r="720" spans="1:38" ht="14.45">
      <c r="A720" s="156">
        <v>719</v>
      </c>
      <c r="B720" s="59">
        <v>45853</v>
      </c>
      <c r="C720" s="34" t="s">
        <v>1530</v>
      </c>
      <c r="D720" s="23" t="s">
        <v>38</v>
      </c>
      <c r="E720" s="23">
        <v>202.82</v>
      </c>
      <c r="F720" s="23" t="s">
        <v>1531</v>
      </c>
      <c r="G720" s="14" t="s">
        <v>190</v>
      </c>
      <c r="H720" s="23" t="s">
        <v>40</v>
      </c>
      <c r="I720" s="23" t="s">
        <v>41</v>
      </c>
      <c r="J720" s="97">
        <f t="shared" si="178"/>
        <v>45753</v>
      </c>
      <c r="K720" s="4">
        <v>45825</v>
      </c>
      <c r="L720" s="19">
        <f t="shared" si="191"/>
        <v>-72</v>
      </c>
      <c r="M720" s="5">
        <f t="shared" si="179"/>
        <v>45764</v>
      </c>
      <c r="N720" s="4">
        <v>45833</v>
      </c>
      <c r="O720" s="19">
        <f t="shared" si="180"/>
        <v>-69</v>
      </c>
      <c r="P720" s="5">
        <f t="shared" si="181"/>
        <v>45779</v>
      </c>
      <c r="Q720" s="4">
        <v>45779</v>
      </c>
      <c r="R720" s="19">
        <f t="shared" si="182"/>
        <v>0</v>
      </c>
      <c r="S720" s="5">
        <f t="shared" si="192"/>
        <v>45784</v>
      </c>
      <c r="T720" s="4">
        <v>45784</v>
      </c>
      <c r="U720" s="19">
        <f t="shared" si="183"/>
        <v>0</v>
      </c>
      <c r="V720" s="5">
        <f t="shared" si="184"/>
        <v>45823</v>
      </c>
      <c r="W720" s="5">
        <v>45823</v>
      </c>
      <c r="X720" s="19">
        <f t="shared" si="185"/>
        <v>0</v>
      </c>
      <c r="Y720" s="51">
        <f t="shared" si="177"/>
        <v>45851</v>
      </c>
      <c r="Z720" s="51">
        <v>45842</v>
      </c>
      <c r="AA720" s="49">
        <f t="shared" si="186"/>
        <v>9</v>
      </c>
      <c r="AB720" s="51">
        <f t="shared" si="187"/>
        <v>45853</v>
      </c>
      <c r="AC720" s="49">
        <f t="shared" si="188"/>
        <v>11</v>
      </c>
      <c r="AD720" s="43">
        <f t="shared" si="189"/>
        <v>45853</v>
      </c>
      <c r="AE720" s="4">
        <v>45848</v>
      </c>
      <c r="AF720" s="19">
        <f t="shared" si="190"/>
        <v>5</v>
      </c>
      <c r="AG720" s="67"/>
      <c r="AH720" s="2"/>
      <c r="AI720" s="2"/>
      <c r="AJ720" s="2"/>
      <c r="AK720" s="2"/>
      <c r="AL720" s="2"/>
    </row>
    <row r="721" spans="1:38" ht="14.45">
      <c r="A721" s="156">
        <v>720</v>
      </c>
      <c r="B721" s="59">
        <v>45853</v>
      </c>
      <c r="C721" s="34" t="s">
        <v>1532</v>
      </c>
      <c r="D721" s="23" t="s">
        <v>38</v>
      </c>
      <c r="E721" s="23">
        <v>688.21</v>
      </c>
      <c r="F721" s="23" t="s">
        <v>1533</v>
      </c>
      <c r="G721" s="14" t="s">
        <v>190</v>
      </c>
      <c r="H721" s="23" t="s">
        <v>40</v>
      </c>
      <c r="I721" s="23" t="s">
        <v>41</v>
      </c>
      <c r="J721" s="97">
        <f t="shared" si="178"/>
        <v>45753</v>
      </c>
      <c r="K721" s="4">
        <v>45825</v>
      </c>
      <c r="L721" s="19">
        <f t="shared" si="191"/>
        <v>-72</v>
      </c>
      <c r="M721" s="5">
        <f t="shared" si="179"/>
        <v>45764</v>
      </c>
      <c r="N721" s="4">
        <v>45833</v>
      </c>
      <c r="O721" s="19">
        <f t="shared" si="180"/>
        <v>-69</v>
      </c>
      <c r="P721" s="5">
        <f t="shared" si="181"/>
        <v>45779</v>
      </c>
      <c r="Q721" s="4">
        <v>45779</v>
      </c>
      <c r="R721" s="19">
        <f t="shared" si="182"/>
        <v>0</v>
      </c>
      <c r="S721" s="5">
        <f t="shared" si="192"/>
        <v>45784</v>
      </c>
      <c r="T721" s="4">
        <v>45784</v>
      </c>
      <c r="U721" s="19">
        <f t="shared" si="183"/>
        <v>0</v>
      </c>
      <c r="V721" s="5">
        <f t="shared" si="184"/>
        <v>45823</v>
      </c>
      <c r="W721" s="5">
        <v>45823</v>
      </c>
      <c r="X721" s="19">
        <f t="shared" si="185"/>
        <v>0</v>
      </c>
      <c r="Y721" s="51">
        <f t="shared" si="177"/>
        <v>45851</v>
      </c>
      <c r="Z721" s="51">
        <v>45842</v>
      </c>
      <c r="AA721" s="49">
        <f t="shared" si="186"/>
        <v>9</v>
      </c>
      <c r="AB721" s="51">
        <f t="shared" si="187"/>
        <v>45853</v>
      </c>
      <c r="AC721" s="49">
        <f t="shared" si="188"/>
        <v>11</v>
      </c>
      <c r="AD721" s="43">
        <f t="shared" si="189"/>
        <v>45853</v>
      </c>
      <c r="AE721" s="4">
        <v>45848</v>
      </c>
      <c r="AF721" s="19">
        <f t="shared" si="190"/>
        <v>5</v>
      </c>
      <c r="AG721" s="67"/>
      <c r="AH721" s="2"/>
      <c r="AI721" s="2"/>
      <c r="AJ721" s="2"/>
      <c r="AK721" s="2"/>
      <c r="AL721" s="2"/>
    </row>
    <row r="722" spans="1:38" ht="14.45">
      <c r="A722" s="156">
        <v>721</v>
      </c>
      <c r="B722" s="59">
        <v>45853</v>
      </c>
      <c r="C722" s="39" t="s">
        <v>1534</v>
      </c>
      <c r="D722" s="23" t="s">
        <v>38</v>
      </c>
      <c r="E722" s="35">
        <v>83.78</v>
      </c>
      <c r="F722" s="35" t="s">
        <v>838</v>
      </c>
      <c r="G722" s="23" t="s">
        <v>190</v>
      </c>
      <c r="H722" s="23" t="s">
        <v>40</v>
      </c>
      <c r="I722" s="23" t="s">
        <v>41</v>
      </c>
      <c r="J722" s="97">
        <f t="shared" si="178"/>
        <v>45753</v>
      </c>
      <c r="K722" s="4">
        <v>45825</v>
      </c>
      <c r="L722" s="19">
        <f t="shared" si="191"/>
        <v>-72</v>
      </c>
      <c r="M722" s="5">
        <f t="shared" si="179"/>
        <v>45764</v>
      </c>
      <c r="N722" s="4">
        <v>45833</v>
      </c>
      <c r="O722" s="19">
        <f t="shared" si="180"/>
        <v>-69</v>
      </c>
      <c r="P722" s="5">
        <f t="shared" si="181"/>
        <v>45779</v>
      </c>
      <c r="Q722" s="4">
        <v>45779</v>
      </c>
      <c r="R722" s="19">
        <f t="shared" si="182"/>
        <v>0</v>
      </c>
      <c r="S722" s="5">
        <f t="shared" si="192"/>
        <v>45784</v>
      </c>
      <c r="T722" s="4">
        <v>45784</v>
      </c>
      <c r="U722" s="19">
        <f t="shared" si="183"/>
        <v>0</v>
      </c>
      <c r="V722" s="5">
        <f t="shared" si="184"/>
        <v>45823</v>
      </c>
      <c r="W722" s="5">
        <v>45823</v>
      </c>
      <c r="X722" s="19">
        <f t="shared" si="185"/>
        <v>0</v>
      </c>
      <c r="Y722" s="51">
        <f t="shared" si="177"/>
        <v>45851</v>
      </c>
      <c r="Z722" s="51">
        <v>45842</v>
      </c>
      <c r="AA722" s="49">
        <f t="shared" si="186"/>
        <v>9</v>
      </c>
      <c r="AB722" s="51">
        <f t="shared" si="187"/>
        <v>45853</v>
      </c>
      <c r="AC722" s="49">
        <f t="shared" si="188"/>
        <v>11</v>
      </c>
      <c r="AD722" s="43">
        <f t="shared" si="189"/>
        <v>45853</v>
      </c>
      <c r="AE722" s="4">
        <v>45848</v>
      </c>
      <c r="AF722" s="19">
        <f t="shared" si="190"/>
        <v>5</v>
      </c>
      <c r="AG722" s="67"/>
      <c r="AH722" s="2"/>
      <c r="AI722" s="2"/>
      <c r="AJ722" s="2"/>
      <c r="AK722" s="2"/>
      <c r="AL722" s="2"/>
    </row>
    <row r="723" spans="1:38" ht="14.45">
      <c r="A723" s="156">
        <v>722</v>
      </c>
      <c r="B723" s="59">
        <v>45855</v>
      </c>
      <c r="C723" s="34" t="s">
        <v>1535</v>
      </c>
      <c r="D723" s="23" t="s">
        <v>321</v>
      </c>
      <c r="E723" s="23">
        <v>134677.14000000001</v>
      </c>
      <c r="F723" s="23" t="s">
        <v>1536</v>
      </c>
      <c r="G723" s="14" t="s">
        <v>46</v>
      </c>
      <c r="H723" s="23" t="s">
        <v>36</v>
      </c>
      <c r="I723" s="23" t="s">
        <v>37</v>
      </c>
      <c r="J723" s="97">
        <f t="shared" si="178"/>
        <v>45755</v>
      </c>
      <c r="K723" s="4">
        <v>45791</v>
      </c>
      <c r="L723" s="19">
        <f t="shared" si="191"/>
        <v>-36</v>
      </c>
      <c r="M723" s="5">
        <f t="shared" si="179"/>
        <v>45766</v>
      </c>
      <c r="O723" s="19" t="str">
        <f t="shared" si="180"/>
        <v/>
      </c>
      <c r="P723" s="5">
        <f t="shared" si="181"/>
        <v>45781</v>
      </c>
      <c r="R723" s="19" t="str">
        <f t="shared" si="182"/>
        <v/>
      </c>
      <c r="S723" s="5">
        <f t="shared" si="192"/>
        <v>45786</v>
      </c>
      <c r="T723" s="4">
        <v>45814</v>
      </c>
      <c r="U723" s="19">
        <f t="shared" si="183"/>
        <v>-28</v>
      </c>
      <c r="V723" s="5">
        <f t="shared" si="184"/>
        <v>45825</v>
      </c>
      <c r="W723" s="5">
        <v>45834</v>
      </c>
      <c r="X723" s="19">
        <f t="shared" si="185"/>
        <v>-9</v>
      </c>
      <c r="Y723" s="51">
        <f t="shared" si="177"/>
        <v>45853</v>
      </c>
      <c r="Z723" s="4">
        <v>45847</v>
      </c>
      <c r="AA723" s="49">
        <f t="shared" si="186"/>
        <v>6</v>
      </c>
      <c r="AB723" s="51">
        <f t="shared" si="187"/>
        <v>45855</v>
      </c>
      <c r="AC723" s="49">
        <f t="shared" si="188"/>
        <v>8</v>
      </c>
      <c r="AD723" s="43">
        <f t="shared" si="189"/>
        <v>45855</v>
      </c>
      <c r="AE723" s="4">
        <v>45884</v>
      </c>
      <c r="AF723" s="19">
        <f t="shared" ref="AF723:AF745" si="193">IF(OR(AD723="", AE723=""), "", AD723-AE723)</f>
        <v>-29</v>
      </c>
      <c r="AG723" s="67"/>
      <c r="AH723" s="2"/>
      <c r="AI723" s="2"/>
      <c r="AJ723" s="2"/>
      <c r="AK723" s="2"/>
      <c r="AL723" s="2"/>
    </row>
    <row r="724" spans="1:38" ht="14.45">
      <c r="A724" s="156">
        <v>723</v>
      </c>
      <c r="B724" s="59">
        <v>45855</v>
      </c>
      <c r="C724" s="34" t="s">
        <v>1537</v>
      </c>
      <c r="D724" s="23" t="s">
        <v>1538</v>
      </c>
      <c r="E724" s="23">
        <v>9856.41</v>
      </c>
      <c r="F724" s="23" t="s">
        <v>1539</v>
      </c>
      <c r="G724" s="14" t="s">
        <v>120</v>
      </c>
      <c r="H724" s="23" t="s">
        <v>36</v>
      </c>
      <c r="I724" s="23" t="s">
        <v>93</v>
      </c>
      <c r="J724" s="97">
        <f t="shared" si="178"/>
        <v>45755</v>
      </c>
      <c r="L724" s="19" t="str">
        <f t="shared" si="191"/>
        <v/>
      </c>
      <c r="M724" s="5">
        <f t="shared" si="179"/>
        <v>45766</v>
      </c>
      <c r="O724" s="19" t="str">
        <f t="shared" si="180"/>
        <v/>
      </c>
      <c r="P724" s="5">
        <f t="shared" si="181"/>
        <v>45781</v>
      </c>
      <c r="R724" s="19" t="str">
        <f t="shared" si="182"/>
        <v/>
      </c>
      <c r="S724" s="5">
        <f t="shared" si="192"/>
        <v>45786</v>
      </c>
      <c r="T724" s="4">
        <v>45813</v>
      </c>
      <c r="U724" s="19">
        <f t="shared" si="183"/>
        <v>-27</v>
      </c>
      <c r="V724" s="5">
        <f t="shared" si="184"/>
        <v>45825</v>
      </c>
      <c r="W724" s="5">
        <v>45817</v>
      </c>
      <c r="X724" s="19">
        <f t="shared" si="185"/>
        <v>8</v>
      </c>
      <c r="Y724" s="51">
        <f t="shared" si="177"/>
        <v>45853</v>
      </c>
      <c r="Z724" s="51">
        <v>45853</v>
      </c>
      <c r="AA724" s="49">
        <f t="shared" si="186"/>
        <v>0</v>
      </c>
      <c r="AB724" s="51">
        <f t="shared" si="187"/>
        <v>45855</v>
      </c>
      <c r="AC724" s="49">
        <f t="shared" si="188"/>
        <v>2</v>
      </c>
      <c r="AD724" s="43">
        <f t="shared" si="189"/>
        <v>45855</v>
      </c>
      <c r="AE724" s="4">
        <v>45817</v>
      </c>
      <c r="AF724" s="19">
        <f t="shared" si="193"/>
        <v>38</v>
      </c>
      <c r="AG724" s="67"/>
      <c r="AH724" s="2"/>
      <c r="AI724" s="2"/>
      <c r="AJ724" s="2"/>
      <c r="AK724" s="2"/>
      <c r="AL724" s="2"/>
    </row>
    <row r="725" spans="1:38" ht="14.45">
      <c r="A725" s="156">
        <v>724</v>
      </c>
      <c r="B725" s="59">
        <v>45856</v>
      </c>
      <c r="C725" s="34" t="s">
        <v>1540</v>
      </c>
      <c r="D725" s="23" t="s">
        <v>227</v>
      </c>
      <c r="E725" s="23">
        <v>30077.69</v>
      </c>
      <c r="F725" s="23" t="s">
        <v>1541</v>
      </c>
      <c r="G725" s="10" t="s">
        <v>120</v>
      </c>
      <c r="H725" s="23" t="s">
        <v>40</v>
      </c>
      <c r="I725" s="23" t="s">
        <v>52</v>
      </c>
      <c r="J725" s="97">
        <f t="shared" si="178"/>
        <v>45756</v>
      </c>
      <c r="L725" s="19" t="str">
        <f t="shared" si="191"/>
        <v/>
      </c>
      <c r="M725" s="5">
        <f t="shared" si="179"/>
        <v>45767</v>
      </c>
      <c r="O725" s="19" t="str">
        <f t="shared" si="180"/>
        <v/>
      </c>
      <c r="P725" s="5">
        <f t="shared" si="181"/>
        <v>45782</v>
      </c>
      <c r="R725" s="19" t="str">
        <f t="shared" si="182"/>
        <v/>
      </c>
      <c r="S725" s="5">
        <f t="shared" si="192"/>
        <v>45787</v>
      </c>
      <c r="T725" s="4">
        <v>45819</v>
      </c>
      <c r="U725" s="19">
        <f t="shared" si="183"/>
        <v>-32</v>
      </c>
      <c r="V725" s="5">
        <f t="shared" si="184"/>
        <v>45826</v>
      </c>
      <c r="W725" s="5">
        <v>45817</v>
      </c>
      <c r="X725" s="19">
        <f t="shared" si="185"/>
        <v>9</v>
      </c>
      <c r="Y725" s="51">
        <f t="shared" si="177"/>
        <v>45854</v>
      </c>
      <c r="Z725" s="51">
        <v>45854</v>
      </c>
      <c r="AA725" s="49">
        <f t="shared" si="186"/>
        <v>0</v>
      </c>
      <c r="AB725" s="51">
        <f t="shared" si="187"/>
        <v>45856</v>
      </c>
      <c r="AC725" s="49">
        <f t="shared" si="188"/>
        <v>2</v>
      </c>
      <c r="AD725" s="43">
        <f t="shared" si="189"/>
        <v>45856</v>
      </c>
      <c r="AF725" s="19" t="str">
        <f t="shared" si="193"/>
        <v/>
      </c>
      <c r="AG725" s="67"/>
      <c r="AH725" s="2"/>
      <c r="AI725" s="2"/>
      <c r="AJ725" s="2"/>
      <c r="AK725" s="2"/>
      <c r="AL725" s="2"/>
    </row>
    <row r="726" spans="1:38" ht="14.45">
      <c r="A726" s="156">
        <v>725</v>
      </c>
      <c r="B726" s="59">
        <v>45856</v>
      </c>
      <c r="C726" s="34" t="s">
        <v>1542</v>
      </c>
      <c r="D726" s="23" t="s">
        <v>1543</v>
      </c>
      <c r="E726" s="23">
        <v>11388.1</v>
      </c>
      <c r="F726" s="23" t="s">
        <v>1544</v>
      </c>
      <c r="G726" s="14" t="s">
        <v>46</v>
      </c>
      <c r="H726" s="23" t="s">
        <v>40</v>
      </c>
      <c r="I726" s="23" t="s">
        <v>229</v>
      </c>
      <c r="J726" s="97">
        <f t="shared" si="178"/>
        <v>45756</v>
      </c>
      <c r="K726" s="4">
        <v>45791</v>
      </c>
      <c r="L726" s="19">
        <f t="shared" si="191"/>
        <v>-35</v>
      </c>
      <c r="M726" s="5">
        <f t="shared" si="179"/>
        <v>45767</v>
      </c>
      <c r="O726" s="19" t="str">
        <f t="shared" si="180"/>
        <v/>
      </c>
      <c r="P726" s="5">
        <f t="shared" si="181"/>
        <v>45782</v>
      </c>
      <c r="R726" s="19" t="str">
        <f t="shared" si="182"/>
        <v/>
      </c>
      <c r="S726" s="5">
        <f t="shared" si="192"/>
        <v>45787</v>
      </c>
      <c r="T726" s="4">
        <v>45810</v>
      </c>
      <c r="U726" s="19">
        <f t="shared" si="183"/>
        <v>-23</v>
      </c>
      <c r="V726" s="5">
        <f t="shared" si="184"/>
        <v>45826</v>
      </c>
      <c r="W726" s="5">
        <v>45831</v>
      </c>
      <c r="X726" s="19">
        <f t="shared" si="185"/>
        <v>-5</v>
      </c>
      <c r="Y726" s="51">
        <f t="shared" si="177"/>
        <v>45854</v>
      </c>
      <c r="Z726" s="4">
        <v>45855</v>
      </c>
      <c r="AA726" s="49">
        <f t="shared" si="186"/>
        <v>-1</v>
      </c>
      <c r="AB726" s="51">
        <f t="shared" si="187"/>
        <v>45856</v>
      </c>
      <c r="AC726" s="49">
        <f t="shared" si="188"/>
        <v>1</v>
      </c>
      <c r="AD726" s="43">
        <f t="shared" si="189"/>
        <v>45856</v>
      </c>
      <c r="AE726" s="4">
        <v>45855</v>
      </c>
      <c r="AF726" s="19">
        <f t="shared" si="193"/>
        <v>1</v>
      </c>
      <c r="AG726" s="67"/>
      <c r="AH726" s="2"/>
      <c r="AI726" s="2"/>
      <c r="AJ726" s="2"/>
      <c r="AK726" s="2"/>
      <c r="AL726" s="2"/>
    </row>
    <row r="727" spans="1:38" ht="14.45">
      <c r="A727" s="156">
        <v>726</v>
      </c>
      <c r="B727" s="59">
        <v>45857</v>
      </c>
      <c r="C727" s="34" t="s">
        <v>1545</v>
      </c>
      <c r="D727" s="23" t="s">
        <v>1403</v>
      </c>
      <c r="E727" s="23">
        <v>1067.4000000000001</v>
      </c>
      <c r="F727" s="23" t="s">
        <v>1546</v>
      </c>
      <c r="G727" s="14" t="s">
        <v>51</v>
      </c>
      <c r="H727" s="23" t="s">
        <v>40</v>
      </c>
      <c r="I727" s="23" t="s">
        <v>93</v>
      </c>
      <c r="J727" s="97">
        <f t="shared" si="178"/>
        <v>45757</v>
      </c>
      <c r="K727" s="4">
        <v>45772</v>
      </c>
      <c r="L727" s="19">
        <f t="shared" si="191"/>
        <v>-15</v>
      </c>
      <c r="M727" s="5">
        <f t="shared" si="179"/>
        <v>45768</v>
      </c>
      <c r="N727" s="4">
        <v>45770</v>
      </c>
      <c r="O727" s="19">
        <f t="shared" si="180"/>
        <v>-2</v>
      </c>
      <c r="P727" s="5">
        <f t="shared" si="181"/>
        <v>45783</v>
      </c>
      <c r="R727" s="19" t="str">
        <f t="shared" si="182"/>
        <v/>
      </c>
      <c r="S727" s="5">
        <f t="shared" si="192"/>
        <v>45788</v>
      </c>
      <c r="T727" s="4">
        <v>45796</v>
      </c>
      <c r="U727" s="19">
        <f t="shared" si="183"/>
        <v>-8</v>
      </c>
      <c r="V727" s="5">
        <f t="shared" si="184"/>
        <v>45827</v>
      </c>
      <c r="W727" s="5">
        <v>45811</v>
      </c>
      <c r="X727" s="19">
        <f t="shared" si="185"/>
        <v>16</v>
      </c>
      <c r="Y727" s="51">
        <f t="shared" si="177"/>
        <v>45855</v>
      </c>
      <c r="Z727" s="51">
        <v>45835</v>
      </c>
      <c r="AA727" s="49">
        <f t="shared" si="186"/>
        <v>20</v>
      </c>
      <c r="AB727" s="51">
        <f t="shared" si="187"/>
        <v>45857</v>
      </c>
      <c r="AC727" s="49">
        <f t="shared" si="188"/>
        <v>22</v>
      </c>
      <c r="AD727" s="43">
        <f t="shared" si="189"/>
        <v>45857</v>
      </c>
      <c r="AE727" s="4">
        <v>45835</v>
      </c>
      <c r="AF727" s="19">
        <f t="shared" si="193"/>
        <v>22</v>
      </c>
      <c r="AG727" s="67"/>
      <c r="AH727" s="2"/>
      <c r="AI727" s="2"/>
      <c r="AJ727" s="2"/>
      <c r="AK727" s="2"/>
      <c r="AL727" s="2"/>
    </row>
    <row r="728" spans="1:38" ht="14.45">
      <c r="A728" s="156">
        <v>727</v>
      </c>
      <c r="B728" s="59">
        <v>45857</v>
      </c>
      <c r="C728" s="34" t="s">
        <v>1547</v>
      </c>
      <c r="D728" s="23" t="s">
        <v>207</v>
      </c>
      <c r="E728" s="23">
        <v>14452.05</v>
      </c>
      <c r="F728" s="23" t="s">
        <v>1548</v>
      </c>
      <c r="G728" s="23" t="s">
        <v>35</v>
      </c>
      <c r="H728" s="23" t="s">
        <v>40</v>
      </c>
      <c r="I728" s="23" t="s">
        <v>37</v>
      </c>
      <c r="J728" s="97">
        <f t="shared" si="178"/>
        <v>45757</v>
      </c>
      <c r="L728" s="19" t="str">
        <f t="shared" si="191"/>
        <v/>
      </c>
      <c r="M728" s="5">
        <f t="shared" si="179"/>
        <v>45768</v>
      </c>
      <c r="N728" s="4">
        <v>45694</v>
      </c>
      <c r="O728" s="19">
        <f t="shared" si="180"/>
        <v>74</v>
      </c>
      <c r="P728" s="5">
        <f t="shared" si="181"/>
        <v>45783</v>
      </c>
      <c r="R728" s="19" t="str">
        <f t="shared" si="182"/>
        <v/>
      </c>
      <c r="S728" s="5">
        <f t="shared" si="192"/>
        <v>45788</v>
      </c>
      <c r="T728" s="4">
        <v>45694</v>
      </c>
      <c r="U728" s="19">
        <f t="shared" si="183"/>
        <v>94</v>
      </c>
      <c r="V728" s="5">
        <f t="shared" si="184"/>
        <v>45827</v>
      </c>
      <c r="W728" s="65">
        <v>45824</v>
      </c>
      <c r="X728" s="19">
        <f t="shared" si="185"/>
        <v>3</v>
      </c>
      <c r="Y728" s="51">
        <f t="shared" si="177"/>
        <v>45855</v>
      </c>
      <c r="Z728" s="4">
        <v>45831</v>
      </c>
      <c r="AA728" s="49">
        <f t="shared" si="186"/>
        <v>24</v>
      </c>
      <c r="AB728" s="51">
        <f t="shared" si="187"/>
        <v>45857</v>
      </c>
      <c r="AC728" s="49">
        <f t="shared" si="188"/>
        <v>26</v>
      </c>
      <c r="AD728" s="43">
        <f t="shared" si="189"/>
        <v>45857</v>
      </c>
      <c r="AE728" s="4">
        <v>45831</v>
      </c>
      <c r="AF728" s="19">
        <f t="shared" si="193"/>
        <v>26</v>
      </c>
      <c r="AG728" s="67"/>
      <c r="AH728" s="2"/>
      <c r="AI728" s="2"/>
      <c r="AJ728" s="2"/>
      <c r="AK728" s="2"/>
      <c r="AL728" s="2"/>
    </row>
    <row r="729" spans="1:38" ht="14.45">
      <c r="A729" s="156">
        <v>728</v>
      </c>
      <c r="B729" s="59">
        <v>45857</v>
      </c>
      <c r="C729" s="34" t="s">
        <v>1549</v>
      </c>
      <c r="D729" s="23" t="s">
        <v>38</v>
      </c>
      <c r="E729" s="23">
        <v>824.86</v>
      </c>
      <c r="F729" s="23" t="s">
        <v>1550</v>
      </c>
      <c r="G729" s="14" t="s">
        <v>190</v>
      </c>
      <c r="H729" s="23" t="s">
        <v>40</v>
      </c>
      <c r="I729" s="23" t="s">
        <v>41</v>
      </c>
      <c r="J729" s="97">
        <f t="shared" si="178"/>
        <v>45757</v>
      </c>
      <c r="K729" s="4">
        <v>45825</v>
      </c>
      <c r="L729" s="19">
        <f t="shared" si="191"/>
        <v>-68</v>
      </c>
      <c r="M729" s="5">
        <f t="shared" si="179"/>
        <v>45768</v>
      </c>
      <c r="N729" s="4">
        <v>45833</v>
      </c>
      <c r="O729" s="19">
        <f t="shared" si="180"/>
        <v>-65</v>
      </c>
      <c r="P729" s="5">
        <f t="shared" si="181"/>
        <v>45783</v>
      </c>
      <c r="Q729" s="4">
        <v>45783</v>
      </c>
      <c r="R729" s="19">
        <f t="shared" si="182"/>
        <v>0</v>
      </c>
      <c r="S729" s="5">
        <f t="shared" si="192"/>
        <v>45788</v>
      </c>
      <c r="T729" s="4">
        <v>45788</v>
      </c>
      <c r="U729" s="19">
        <f t="shared" si="183"/>
        <v>0</v>
      </c>
      <c r="V729" s="5">
        <f t="shared" si="184"/>
        <v>45827</v>
      </c>
      <c r="W729" s="5">
        <v>45827</v>
      </c>
      <c r="X729" s="19">
        <f t="shared" si="185"/>
        <v>0</v>
      </c>
      <c r="Y729" s="51">
        <f t="shared" si="177"/>
        <v>45855</v>
      </c>
      <c r="Z729" s="51">
        <v>45842</v>
      </c>
      <c r="AA729" s="49">
        <f t="shared" si="186"/>
        <v>13</v>
      </c>
      <c r="AB729" s="51">
        <f t="shared" si="187"/>
        <v>45857</v>
      </c>
      <c r="AC729" s="49">
        <f t="shared" si="188"/>
        <v>15</v>
      </c>
      <c r="AD729" s="43">
        <f t="shared" si="189"/>
        <v>45857</v>
      </c>
      <c r="AE729" s="4">
        <v>45848</v>
      </c>
      <c r="AF729" s="19">
        <f t="shared" si="193"/>
        <v>9</v>
      </c>
      <c r="AG729" s="67"/>
      <c r="AH729" s="2"/>
      <c r="AI729" s="2"/>
      <c r="AJ729" s="2"/>
      <c r="AK729" s="2"/>
      <c r="AL729" s="2"/>
    </row>
    <row r="730" spans="1:38" ht="14.45">
      <c r="A730" s="156">
        <v>729</v>
      </c>
      <c r="B730" s="59">
        <v>45857</v>
      </c>
      <c r="C730" s="34" t="s">
        <v>1551</v>
      </c>
      <c r="D730" s="23" t="s">
        <v>1552</v>
      </c>
      <c r="E730" s="23">
        <v>8370.58</v>
      </c>
      <c r="F730" s="23" t="s">
        <v>1553</v>
      </c>
      <c r="G730" s="14" t="s">
        <v>46</v>
      </c>
      <c r="H730" s="23" t="s">
        <v>36</v>
      </c>
      <c r="I730" s="23" t="s">
        <v>93</v>
      </c>
      <c r="J730" s="97">
        <f t="shared" si="178"/>
        <v>45757</v>
      </c>
      <c r="K730" s="4">
        <v>45791</v>
      </c>
      <c r="L730" s="19">
        <f t="shared" si="191"/>
        <v>-34</v>
      </c>
      <c r="M730" s="5">
        <f t="shared" si="179"/>
        <v>45768</v>
      </c>
      <c r="O730" s="19" t="str">
        <f t="shared" si="180"/>
        <v/>
      </c>
      <c r="P730" s="5">
        <f t="shared" si="181"/>
        <v>45783</v>
      </c>
      <c r="R730" s="19" t="str">
        <f t="shared" si="182"/>
        <v/>
      </c>
      <c r="S730" s="5">
        <f t="shared" si="192"/>
        <v>45788</v>
      </c>
      <c r="T730" s="4">
        <v>45812</v>
      </c>
      <c r="U730" s="19">
        <f t="shared" si="183"/>
        <v>-24</v>
      </c>
      <c r="V730" s="5">
        <f t="shared" si="184"/>
        <v>45827</v>
      </c>
      <c r="W730" s="5">
        <v>45832</v>
      </c>
      <c r="X730" s="19">
        <f t="shared" si="185"/>
        <v>-5</v>
      </c>
      <c r="Y730" s="51">
        <f t="shared" si="177"/>
        <v>45855</v>
      </c>
      <c r="Z730" s="4">
        <v>45846</v>
      </c>
      <c r="AA730" s="49">
        <f t="shared" si="186"/>
        <v>9</v>
      </c>
      <c r="AB730" s="51">
        <f t="shared" si="187"/>
        <v>45857</v>
      </c>
      <c r="AC730" s="49">
        <f t="shared" si="188"/>
        <v>11</v>
      </c>
      <c r="AD730" s="43">
        <f t="shared" si="189"/>
        <v>45857</v>
      </c>
      <c r="AE730" s="4">
        <v>45846</v>
      </c>
      <c r="AF730" s="19">
        <f t="shared" si="193"/>
        <v>11</v>
      </c>
      <c r="AG730" s="67"/>
      <c r="AH730" s="2"/>
      <c r="AI730" s="2"/>
      <c r="AJ730" s="2"/>
      <c r="AK730" s="2"/>
      <c r="AL730" s="2"/>
    </row>
    <row r="731" spans="1:38" ht="14.45">
      <c r="A731" s="156">
        <v>730</v>
      </c>
      <c r="B731" s="59">
        <v>45858</v>
      </c>
      <c r="C731" s="34" t="s">
        <v>1554</v>
      </c>
      <c r="D731" s="23" t="s">
        <v>678</v>
      </c>
      <c r="E731" s="23">
        <v>2989.76</v>
      </c>
      <c r="F731" s="23" t="s">
        <v>1555</v>
      </c>
      <c r="G731" s="14" t="s">
        <v>35</v>
      </c>
      <c r="H731" s="23" t="s">
        <v>40</v>
      </c>
      <c r="I731" s="23" t="s">
        <v>93</v>
      </c>
      <c r="J731" s="97">
        <f t="shared" si="178"/>
        <v>45758</v>
      </c>
      <c r="L731" s="19" t="str">
        <f t="shared" si="191"/>
        <v/>
      </c>
      <c r="M731" s="5">
        <f t="shared" si="179"/>
        <v>45769</v>
      </c>
      <c r="O731" s="19" t="str">
        <f t="shared" si="180"/>
        <v/>
      </c>
      <c r="P731" s="5">
        <f t="shared" si="181"/>
        <v>45784</v>
      </c>
      <c r="R731" s="19" t="str">
        <f t="shared" si="182"/>
        <v/>
      </c>
      <c r="S731" s="5">
        <f t="shared" si="192"/>
        <v>45789</v>
      </c>
      <c r="T731" s="4">
        <v>45818</v>
      </c>
      <c r="U731" s="19">
        <f t="shared" si="183"/>
        <v>-29</v>
      </c>
      <c r="V731" s="5">
        <f t="shared" si="184"/>
        <v>45828</v>
      </c>
      <c r="W731" s="5">
        <v>45848</v>
      </c>
      <c r="X731" s="19">
        <f t="shared" si="185"/>
        <v>-20</v>
      </c>
      <c r="Y731" s="51">
        <f t="shared" si="177"/>
        <v>45856</v>
      </c>
      <c r="Z731" s="51">
        <v>45855</v>
      </c>
      <c r="AA731" s="49">
        <f t="shared" si="186"/>
        <v>1</v>
      </c>
      <c r="AB731" s="51">
        <f t="shared" si="187"/>
        <v>45858</v>
      </c>
      <c r="AC731" s="49">
        <f t="shared" si="188"/>
        <v>3</v>
      </c>
      <c r="AD731" s="43">
        <f t="shared" si="189"/>
        <v>45858</v>
      </c>
      <c r="AE731" s="4">
        <v>45882</v>
      </c>
      <c r="AF731" s="19">
        <f t="shared" si="193"/>
        <v>-24</v>
      </c>
      <c r="AG731" s="67"/>
      <c r="AH731" s="2"/>
      <c r="AI731" s="2"/>
      <c r="AJ731" s="2"/>
      <c r="AK731" s="2"/>
      <c r="AL731" s="2"/>
    </row>
    <row r="732" spans="1:38" ht="14.45">
      <c r="A732" s="156">
        <v>731</v>
      </c>
      <c r="B732" s="60">
        <v>45858</v>
      </c>
      <c r="C732" s="75" t="s">
        <v>1556</v>
      </c>
      <c r="D732" s="24" t="s">
        <v>1557</v>
      </c>
      <c r="E732" s="24">
        <v>2941.85</v>
      </c>
      <c r="F732" s="24" t="s">
        <v>1558</v>
      </c>
      <c r="G732" s="14" t="s">
        <v>190</v>
      </c>
      <c r="H732" s="24" t="s">
        <v>40</v>
      </c>
      <c r="I732" s="24" t="s">
        <v>37</v>
      </c>
      <c r="J732" s="98">
        <f t="shared" si="178"/>
        <v>45758</v>
      </c>
      <c r="K732" s="7"/>
      <c r="L732" s="99" t="str">
        <f t="shared" si="191"/>
        <v/>
      </c>
      <c r="M732" s="20">
        <f t="shared" si="179"/>
        <v>45769</v>
      </c>
      <c r="N732" s="7">
        <v>45694</v>
      </c>
      <c r="O732" s="99">
        <f t="shared" si="180"/>
        <v>75</v>
      </c>
      <c r="P732" s="20">
        <f t="shared" si="181"/>
        <v>45784</v>
      </c>
      <c r="Q732" s="7"/>
      <c r="R732" s="99" t="str">
        <f t="shared" si="182"/>
        <v/>
      </c>
      <c r="S732" s="20">
        <f t="shared" si="192"/>
        <v>45789</v>
      </c>
      <c r="T732" s="7">
        <v>45694</v>
      </c>
      <c r="U732" s="99">
        <f t="shared" si="183"/>
        <v>95</v>
      </c>
      <c r="V732" s="20">
        <f t="shared" si="184"/>
        <v>45828</v>
      </c>
      <c r="W732" s="20">
        <v>45842</v>
      </c>
      <c r="X732" s="99">
        <f>IF(OR(V732="", W732=""), "", V732-W732)</f>
        <v>-14</v>
      </c>
      <c r="Y732" s="66">
        <f t="shared" si="177"/>
        <v>45856</v>
      </c>
      <c r="Z732" s="66">
        <v>45856</v>
      </c>
      <c r="AA732" s="50">
        <f t="shared" si="186"/>
        <v>0</v>
      </c>
      <c r="AB732" s="51">
        <f t="shared" si="187"/>
        <v>45858</v>
      </c>
      <c r="AC732" s="49">
        <f t="shared" si="188"/>
        <v>2</v>
      </c>
      <c r="AD732" s="100">
        <f t="shared" si="189"/>
        <v>45858</v>
      </c>
      <c r="AE732" s="7">
        <v>45897</v>
      </c>
      <c r="AF732" s="99">
        <f t="shared" si="193"/>
        <v>-39</v>
      </c>
      <c r="AG732" s="68" t="s">
        <v>1479</v>
      </c>
      <c r="AH732" s="2"/>
      <c r="AI732" s="2"/>
      <c r="AJ732" s="2"/>
      <c r="AK732" s="2"/>
      <c r="AL732" s="2"/>
    </row>
    <row r="733" spans="1:38" ht="14.45">
      <c r="A733" s="156">
        <v>732</v>
      </c>
      <c r="B733" s="59">
        <v>45858</v>
      </c>
      <c r="C733" s="79" t="s">
        <v>1556</v>
      </c>
      <c r="D733" s="23" t="s">
        <v>1559</v>
      </c>
      <c r="E733" s="23">
        <v>2174.23</v>
      </c>
      <c r="F733" s="23" t="s">
        <v>1560</v>
      </c>
      <c r="G733" s="14" t="s">
        <v>190</v>
      </c>
      <c r="H733" s="23" t="s">
        <v>40</v>
      </c>
      <c r="I733" s="23" t="s">
        <v>41</v>
      </c>
      <c r="J733" s="97">
        <f t="shared" si="178"/>
        <v>45758</v>
      </c>
      <c r="L733" s="19" t="str">
        <f t="shared" si="191"/>
        <v/>
      </c>
      <c r="M733" s="5">
        <f t="shared" si="179"/>
        <v>45769</v>
      </c>
      <c r="O733" s="19" t="str">
        <f t="shared" si="180"/>
        <v/>
      </c>
      <c r="P733" s="5">
        <f t="shared" si="181"/>
        <v>45784</v>
      </c>
      <c r="R733" s="19" t="str">
        <f t="shared" si="182"/>
        <v/>
      </c>
      <c r="S733" s="5">
        <f t="shared" si="192"/>
        <v>45789</v>
      </c>
      <c r="T733" s="4">
        <v>45842</v>
      </c>
      <c r="U733" s="19">
        <f t="shared" si="183"/>
        <v>-53</v>
      </c>
      <c r="V733" s="20">
        <f t="shared" si="184"/>
        <v>45828</v>
      </c>
      <c r="W733" s="5">
        <v>45831</v>
      </c>
      <c r="X733" s="19">
        <f t="shared" si="185"/>
        <v>-3</v>
      </c>
      <c r="Y733" s="51">
        <f t="shared" si="177"/>
        <v>45856</v>
      </c>
      <c r="Z733" s="51">
        <v>45842</v>
      </c>
      <c r="AA733" s="49">
        <f t="shared" si="186"/>
        <v>14</v>
      </c>
      <c r="AB733" s="51">
        <f t="shared" si="187"/>
        <v>45858</v>
      </c>
      <c r="AC733" s="49">
        <f t="shared" si="188"/>
        <v>16</v>
      </c>
      <c r="AD733" s="43">
        <f t="shared" si="189"/>
        <v>45858</v>
      </c>
      <c r="AE733" s="4">
        <v>45854</v>
      </c>
      <c r="AF733" s="19">
        <f t="shared" si="193"/>
        <v>4</v>
      </c>
      <c r="AG733" s="67"/>
      <c r="AH733" s="2"/>
      <c r="AI733" s="2"/>
      <c r="AJ733" s="2"/>
      <c r="AK733" s="2"/>
      <c r="AL733" s="2"/>
    </row>
    <row r="734" spans="1:38" ht="14.45">
      <c r="A734" s="156">
        <v>733</v>
      </c>
      <c r="B734" s="59">
        <v>45858</v>
      </c>
      <c r="C734" s="34" t="s">
        <v>1561</v>
      </c>
      <c r="D734" s="23" t="s">
        <v>1562</v>
      </c>
      <c r="E734" s="23">
        <v>25358.880000000001</v>
      </c>
      <c r="F734" s="23" t="s">
        <v>1563</v>
      </c>
      <c r="G734" s="14" t="s">
        <v>190</v>
      </c>
      <c r="H734" s="23" t="s">
        <v>36</v>
      </c>
      <c r="I734" s="23" t="s">
        <v>37</v>
      </c>
      <c r="J734" s="97">
        <f t="shared" si="178"/>
        <v>45758</v>
      </c>
      <c r="L734" s="19" t="str">
        <f t="shared" si="191"/>
        <v/>
      </c>
      <c r="M734" s="5">
        <f t="shared" si="179"/>
        <v>45769</v>
      </c>
      <c r="N734" s="4">
        <v>45694</v>
      </c>
      <c r="O734" s="19">
        <f t="shared" si="180"/>
        <v>75</v>
      </c>
      <c r="P734" s="5">
        <f t="shared" si="181"/>
        <v>45784</v>
      </c>
      <c r="R734" s="19" t="str">
        <f t="shared" si="182"/>
        <v/>
      </c>
      <c r="S734" s="5">
        <f t="shared" si="192"/>
        <v>45789</v>
      </c>
      <c r="T734" s="4">
        <v>45694</v>
      </c>
      <c r="U734" s="19">
        <f t="shared" si="183"/>
        <v>95</v>
      </c>
      <c r="V734" s="5">
        <f t="shared" si="184"/>
        <v>45828</v>
      </c>
      <c r="W734" s="65">
        <v>45824</v>
      </c>
      <c r="X734" s="19">
        <f>IF(OR(V734="", W734=""), "", V734-W734)</f>
        <v>4</v>
      </c>
      <c r="Y734" s="51">
        <f t="shared" si="177"/>
        <v>45856</v>
      </c>
      <c r="AA734" s="49" t="str">
        <f t="shared" si="186"/>
        <v/>
      </c>
      <c r="AB734" s="51">
        <f t="shared" si="187"/>
        <v>45858</v>
      </c>
      <c r="AC734" s="49" t="str">
        <f t="shared" si="188"/>
        <v/>
      </c>
      <c r="AD734" s="43">
        <f t="shared" si="189"/>
        <v>45858</v>
      </c>
      <c r="AE734" s="4">
        <v>45858</v>
      </c>
      <c r="AF734" s="19">
        <f t="shared" si="193"/>
        <v>0</v>
      </c>
      <c r="AG734" s="4" t="s">
        <v>367</v>
      </c>
      <c r="AH734" s="2"/>
      <c r="AI734" s="2"/>
      <c r="AJ734" s="2"/>
      <c r="AK734" s="2"/>
      <c r="AL734" s="2"/>
    </row>
    <row r="735" spans="1:38" ht="14.45">
      <c r="A735" s="156">
        <v>734</v>
      </c>
      <c r="B735" s="59">
        <v>45858</v>
      </c>
      <c r="C735" s="34" t="s">
        <v>1564</v>
      </c>
      <c r="D735" s="23" t="s">
        <v>1565</v>
      </c>
      <c r="E735" s="23">
        <v>484.84</v>
      </c>
      <c r="F735" s="23" t="s">
        <v>1566</v>
      </c>
      <c r="G735" s="14" t="s">
        <v>128</v>
      </c>
      <c r="H735" s="23" t="s">
        <v>40</v>
      </c>
      <c r="I735" s="23" t="s">
        <v>37</v>
      </c>
      <c r="J735" s="97">
        <f t="shared" si="178"/>
        <v>45758</v>
      </c>
      <c r="K735" s="4">
        <v>45805</v>
      </c>
      <c r="L735" s="19">
        <f t="shared" si="191"/>
        <v>-47</v>
      </c>
      <c r="M735" s="5">
        <f t="shared" si="179"/>
        <v>45769</v>
      </c>
      <c r="O735" s="19" t="str">
        <f t="shared" si="180"/>
        <v/>
      </c>
      <c r="P735" s="5">
        <f t="shared" si="181"/>
        <v>45784</v>
      </c>
      <c r="R735" s="19" t="str">
        <f t="shared" si="182"/>
        <v/>
      </c>
      <c r="S735" s="5">
        <f t="shared" si="192"/>
        <v>45789</v>
      </c>
      <c r="T735" s="4">
        <v>45806</v>
      </c>
      <c r="U735" s="19">
        <f t="shared" si="183"/>
        <v>-17</v>
      </c>
      <c r="V735" s="5">
        <f t="shared" si="184"/>
        <v>45828</v>
      </c>
      <c r="W735" s="5">
        <v>45847</v>
      </c>
      <c r="X735" s="19">
        <f t="shared" si="185"/>
        <v>-19</v>
      </c>
      <c r="Y735" s="51">
        <f t="shared" si="177"/>
        <v>45856</v>
      </c>
      <c r="Z735" s="51">
        <v>45853</v>
      </c>
      <c r="AA735" s="49">
        <f t="shared" si="186"/>
        <v>3</v>
      </c>
      <c r="AB735" s="51">
        <f t="shared" si="187"/>
        <v>45858</v>
      </c>
      <c r="AC735" s="49">
        <f t="shared" si="188"/>
        <v>5</v>
      </c>
      <c r="AD735" s="43">
        <f t="shared" si="189"/>
        <v>45858</v>
      </c>
      <c r="AE735" s="43">
        <v>45856</v>
      </c>
      <c r="AF735" s="19">
        <f t="shared" si="193"/>
        <v>2</v>
      </c>
      <c r="AG735" s="67"/>
      <c r="AH735" s="2"/>
      <c r="AI735" s="2"/>
      <c r="AJ735" s="2"/>
      <c r="AK735" s="2"/>
      <c r="AL735" s="2"/>
    </row>
    <row r="736" spans="1:38" ht="14.45">
      <c r="A736" s="156">
        <v>735</v>
      </c>
      <c r="B736" s="59">
        <v>45858</v>
      </c>
      <c r="C736" s="34" t="s">
        <v>1567</v>
      </c>
      <c r="D736" s="23" t="s">
        <v>426</v>
      </c>
      <c r="E736" s="23">
        <v>4739.4799999999996</v>
      </c>
      <c r="F736" s="23" t="s">
        <v>1568</v>
      </c>
      <c r="G736" s="14" t="s">
        <v>35</v>
      </c>
      <c r="H736" s="23" t="s">
        <v>36</v>
      </c>
      <c r="I736" s="23" t="s">
        <v>93</v>
      </c>
      <c r="J736" s="97">
        <f t="shared" si="178"/>
        <v>45758</v>
      </c>
      <c r="L736" s="19" t="str">
        <f t="shared" si="191"/>
        <v/>
      </c>
      <c r="M736" s="5">
        <f t="shared" si="179"/>
        <v>45769</v>
      </c>
      <c r="O736" s="19" t="str">
        <f t="shared" si="180"/>
        <v/>
      </c>
      <c r="P736" s="5">
        <f t="shared" si="181"/>
        <v>45784</v>
      </c>
      <c r="R736" s="19" t="str">
        <f t="shared" si="182"/>
        <v/>
      </c>
      <c r="S736" s="5">
        <f t="shared" si="192"/>
        <v>45789</v>
      </c>
      <c r="T736" s="4">
        <v>45834</v>
      </c>
      <c r="U736" s="19">
        <f t="shared" si="183"/>
        <v>-45</v>
      </c>
      <c r="V736" s="5">
        <f t="shared" si="184"/>
        <v>45828</v>
      </c>
      <c r="W736" s="5">
        <v>45848</v>
      </c>
      <c r="X736" s="19">
        <f t="shared" si="185"/>
        <v>-20</v>
      </c>
      <c r="Y736" s="51">
        <f t="shared" si="177"/>
        <v>45856</v>
      </c>
      <c r="Z736" s="51">
        <v>45856</v>
      </c>
      <c r="AA736" s="49">
        <f t="shared" si="186"/>
        <v>0</v>
      </c>
      <c r="AB736" s="51">
        <f t="shared" si="187"/>
        <v>45858</v>
      </c>
      <c r="AC736" s="49">
        <f t="shared" si="188"/>
        <v>2</v>
      </c>
      <c r="AD736" s="43">
        <f t="shared" si="189"/>
        <v>45858</v>
      </c>
      <c r="AE736" s="4">
        <v>45859</v>
      </c>
      <c r="AF736" s="19">
        <f t="shared" si="193"/>
        <v>-1</v>
      </c>
      <c r="AG736" s="67"/>
      <c r="AH736" s="2"/>
      <c r="AI736" s="2"/>
      <c r="AJ736" s="2"/>
      <c r="AK736" s="2"/>
      <c r="AL736" s="2"/>
    </row>
    <row r="737" spans="1:38" ht="14.45">
      <c r="A737" s="156">
        <v>736</v>
      </c>
      <c r="B737" s="59">
        <v>45858</v>
      </c>
      <c r="C737" s="34">
        <v>111679268</v>
      </c>
      <c r="D737" s="23" t="s">
        <v>1569</v>
      </c>
      <c r="E737" s="23">
        <v>16702.16</v>
      </c>
      <c r="F737" s="23" t="s">
        <v>1570</v>
      </c>
      <c r="G737" s="14" t="s">
        <v>35</v>
      </c>
      <c r="H737" s="23" t="s">
        <v>36</v>
      </c>
      <c r="I737" s="23" t="s">
        <v>93</v>
      </c>
      <c r="J737" s="97">
        <f t="shared" si="178"/>
        <v>45758</v>
      </c>
      <c r="L737" s="19" t="str">
        <f t="shared" si="191"/>
        <v/>
      </c>
      <c r="M737" s="5">
        <f t="shared" si="179"/>
        <v>45769</v>
      </c>
      <c r="O737" s="19" t="str">
        <f t="shared" si="180"/>
        <v/>
      </c>
      <c r="P737" s="5">
        <f t="shared" si="181"/>
        <v>45784</v>
      </c>
      <c r="R737" s="19" t="str">
        <f t="shared" si="182"/>
        <v/>
      </c>
      <c r="S737" s="5">
        <f t="shared" si="192"/>
        <v>45789</v>
      </c>
      <c r="T737" s="4">
        <v>45834</v>
      </c>
      <c r="U737" s="19">
        <f t="shared" si="183"/>
        <v>-45</v>
      </c>
      <c r="V737" s="5">
        <f t="shared" si="184"/>
        <v>45828</v>
      </c>
      <c r="W737" s="5">
        <v>45848</v>
      </c>
      <c r="X737" s="19">
        <f t="shared" si="185"/>
        <v>-20</v>
      </c>
      <c r="Y737" s="51">
        <f t="shared" si="177"/>
        <v>45856</v>
      </c>
      <c r="Z737" s="51">
        <v>45856</v>
      </c>
      <c r="AA737" s="49">
        <f t="shared" si="186"/>
        <v>0</v>
      </c>
      <c r="AB737" s="51">
        <f t="shared" si="187"/>
        <v>45858</v>
      </c>
      <c r="AC737" s="49">
        <f t="shared" si="188"/>
        <v>2</v>
      </c>
      <c r="AD737" s="43">
        <f t="shared" si="189"/>
        <v>45858</v>
      </c>
      <c r="AE737" s="4">
        <v>45859</v>
      </c>
      <c r="AF737" s="19">
        <f t="shared" si="193"/>
        <v>-1</v>
      </c>
      <c r="AG737" s="67"/>
      <c r="AH737" s="2"/>
      <c r="AI737" s="2"/>
      <c r="AJ737" s="2"/>
      <c r="AK737" s="2"/>
      <c r="AL737" s="2"/>
    </row>
    <row r="738" spans="1:38" ht="14.45">
      <c r="A738" s="156">
        <v>737</v>
      </c>
      <c r="B738" s="59">
        <v>45858</v>
      </c>
      <c r="C738" s="34" t="s">
        <v>1571</v>
      </c>
      <c r="D738" s="23" t="s">
        <v>1572</v>
      </c>
      <c r="E738" s="23">
        <v>2762.11</v>
      </c>
      <c r="F738" s="23" t="s">
        <v>1573</v>
      </c>
      <c r="G738" s="14" t="s">
        <v>120</v>
      </c>
      <c r="H738" s="23" t="s">
        <v>40</v>
      </c>
      <c r="I738" s="23" t="s">
        <v>93</v>
      </c>
      <c r="J738" s="97">
        <f t="shared" si="178"/>
        <v>45758</v>
      </c>
      <c r="L738" s="19" t="str">
        <f t="shared" si="191"/>
        <v/>
      </c>
      <c r="M738" s="5">
        <f t="shared" si="179"/>
        <v>45769</v>
      </c>
      <c r="O738" s="19" t="str">
        <f t="shared" si="180"/>
        <v/>
      </c>
      <c r="P738" s="5">
        <f t="shared" si="181"/>
        <v>45784</v>
      </c>
      <c r="R738" s="19" t="str">
        <f t="shared" si="182"/>
        <v/>
      </c>
      <c r="S738" s="5">
        <f t="shared" si="192"/>
        <v>45789</v>
      </c>
      <c r="T738" s="4">
        <v>45782</v>
      </c>
      <c r="U738" s="19">
        <f t="shared" si="183"/>
        <v>7</v>
      </c>
      <c r="V738" s="5">
        <f t="shared" si="184"/>
        <v>45828</v>
      </c>
      <c r="W738" s="5">
        <v>45827</v>
      </c>
      <c r="X738" s="19">
        <f t="shared" si="185"/>
        <v>1</v>
      </c>
      <c r="Y738" s="51">
        <f t="shared" si="177"/>
        <v>45856</v>
      </c>
      <c r="Z738" s="51">
        <v>45856</v>
      </c>
      <c r="AA738" s="49">
        <f t="shared" si="186"/>
        <v>0</v>
      </c>
      <c r="AB738" s="51">
        <f t="shared" si="187"/>
        <v>45858</v>
      </c>
      <c r="AC738" s="49">
        <f t="shared" si="188"/>
        <v>2</v>
      </c>
      <c r="AD738" s="43">
        <f t="shared" si="189"/>
        <v>45858</v>
      </c>
      <c r="AE738" s="4">
        <v>45858</v>
      </c>
      <c r="AF738" s="19">
        <f t="shared" si="193"/>
        <v>0</v>
      </c>
      <c r="AG738" s="67"/>
      <c r="AH738" s="2"/>
      <c r="AI738" s="2"/>
      <c r="AJ738" s="2"/>
      <c r="AK738" s="2"/>
      <c r="AL738" s="2"/>
    </row>
    <row r="739" spans="1:38" ht="14.45">
      <c r="A739" s="156">
        <v>738</v>
      </c>
      <c r="B739" s="59">
        <v>45858</v>
      </c>
      <c r="C739" s="34" t="s">
        <v>1574</v>
      </c>
      <c r="D739" s="23" t="s">
        <v>1575</v>
      </c>
      <c r="E739" s="23">
        <v>32014.639999999999</v>
      </c>
      <c r="F739" s="23" t="s">
        <v>37</v>
      </c>
      <c r="G739" s="23" t="s">
        <v>190</v>
      </c>
      <c r="H739" s="23" t="s">
        <v>36</v>
      </c>
      <c r="I739" s="23" t="s">
        <v>37</v>
      </c>
      <c r="J739" s="97">
        <f t="shared" si="178"/>
        <v>45758</v>
      </c>
      <c r="L739" s="19" t="str">
        <f t="shared" si="191"/>
        <v/>
      </c>
      <c r="M739" s="5">
        <f t="shared" si="179"/>
        <v>45769</v>
      </c>
      <c r="N739" s="4">
        <v>45694</v>
      </c>
      <c r="O739" s="19">
        <f t="shared" si="180"/>
        <v>75</v>
      </c>
      <c r="P739" s="5">
        <f t="shared" si="181"/>
        <v>45784</v>
      </c>
      <c r="R739" s="19" t="str">
        <f t="shared" si="182"/>
        <v/>
      </c>
      <c r="S739" s="5">
        <f t="shared" si="192"/>
        <v>45789</v>
      </c>
      <c r="T739" s="4">
        <v>45694</v>
      </c>
      <c r="U739" s="19">
        <f t="shared" si="183"/>
        <v>95</v>
      </c>
      <c r="V739" s="5">
        <f t="shared" si="184"/>
        <v>45828</v>
      </c>
      <c r="W739" s="65">
        <v>45824</v>
      </c>
      <c r="X739" s="19">
        <f>IF(OR(V739="", W739=""), "", V739-W739)</f>
        <v>4</v>
      </c>
      <c r="Y739" s="51">
        <f t="shared" si="177"/>
        <v>45856</v>
      </c>
      <c r="Z739" s="51">
        <v>45841</v>
      </c>
      <c r="AA739" s="49">
        <f t="shared" si="186"/>
        <v>15</v>
      </c>
      <c r="AB739" s="51">
        <f t="shared" si="187"/>
        <v>45858</v>
      </c>
      <c r="AC739" s="49">
        <f t="shared" si="188"/>
        <v>17</v>
      </c>
      <c r="AD739" s="43">
        <f t="shared" si="189"/>
        <v>45858</v>
      </c>
      <c r="AE739" s="4">
        <v>45841</v>
      </c>
      <c r="AF739" s="19">
        <f t="shared" si="193"/>
        <v>17</v>
      </c>
      <c r="AG739" s="67"/>
      <c r="AH739" s="2"/>
      <c r="AI739" s="2"/>
      <c r="AJ739" s="2"/>
      <c r="AK739" s="2"/>
      <c r="AL739" s="2"/>
    </row>
    <row r="740" spans="1:38" ht="14.45">
      <c r="A740" s="156">
        <v>739</v>
      </c>
      <c r="B740" s="59">
        <v>45859</v>
      </c>
      <c r="C740" s="34" t="s">
        <v>1576</v>
      </c>
      <c r="D740" s="23" t="s">
        <v>1577</v>
      </c>
      <c r="E740" s="23">
        <v>16866.12</v>
      </c>
      <c r="F740" s="23" t="s">
        <v>1578</v>
      </c>
      <c r="G740" s="14" t="s">
        <v>120</v>
      </c>
      <c r="H740" s="23" t="s">
        <v>40</v>
      </c>
      <c r="I740" s="23" t="s">
        <v>93</v>
      </c>
      <c r="J740" s="97">
        <f t="shared" si="178"/>
        <v>45759</v>
      </c>
      <c r="L740" s="19" t="str">
        <f t="shared" ref="L740:L771" si="194">IF(OR(J740="", K740=""), "", J740-K740)</f>
        <v/>
      </c>
      <c r="M740" s="5">
        <f t="shared" si="179"/>
        <v>45770</v>
      </c>
      <c r="O740" s="19" t="str">
        <f t="shared" si="180"/>
        <v/>
      </c>
      <c r="P740" s="5">
        <f t="shared" si="181"/>
        <v>45785</v>
      </c>
      <c r="R740" s="19" t="str">
        <f t="shared" si="182"/>
        <v/>
      </c>
      <c r="S740" s="5">
        <f t="shared" si="192"/>
        <v>45790</v>
      </c>
      <c r="T740" s="4">
        <v>45782</v>
      </c>
      <c r="U740" s="19">
        <f t="shared" si="183"/>
        <v>8</v>
      </c>
      <c r="V740" s="5">
        <f t="shared" si="184"/>
        <v>45829</v>
      </c>
      <c r="W740" s="6">
        <v>45817</v>
      </c>
      <c r="X740" s="19">
        <f t="shared" si="185"/>
        <v>12</v>
      </c>
      <c r="Y740" s="51">
        <f t="shared" si="177"/>
        <v>45857</v>
      </c>
      <c r="Z740" s="51">
        <v>45856</v>
      </c>
      <c r="AA740" s="49">
        <f t="shared" si="186"/>
        <v>1</v>
      </c>
      <c r="AB740" s="51">
        <f t="shared" si="187"/>
        <v>45859</v>
      </c>
      <c r="AC740" s="49">
        <f t="shared" si="188"/>
        <v>3</v>
      </c>
      <c r="AD740" s="43">
        <f t="shared" si="189"/>
        <v>45859</v>
      </c>
      <c r="AF740" s="19" t="str">
        <f t="shared" si="193"/>
        <v/>
      </c>
      <c r="AG740" s="67"/>
      <c r="AH740" s="2"/>
      <c r="AI740" s="2"/>
      <c r="AJ740" s="2"/>
      <c r="AK740" s="2"/>
      <c r="AL740" s="2"/>
    </row>
    <row r="741" spans="1:38" ht="14.45">
      <c r="A741" s="156">
        <v>740</v>
      </c>
      <c r="B741" s="59">
        <v>45860</v>
      </c>
      <c r="C741" s="34">
        <v>10956</v>
      </c>
      <c r="D741" s="23" t="s">
        <v>1579</v>
      </c>
      <c r="E741" s="23">
        <v>688604.45</v>
      </c>
      <c r="F741" s="23" t="s">
        <v>1580</v>
      </c>
      <c r="G741" s="23" t="s">
        <v>35</v>
      </c>
      <c r="H741" s="23" t="s">
        <v>36</v>
      </c>
      <c r="I741" s="23" t="s">
        <v>52</v>
      </c>
      <c r="J741" s="97">
        <f t="shared" si="178"/>
        <v>45760</v>
      </c>
      <c r="L741" s="19" t="str">
        <f t="shared" si="194"/>
        <v/>
      </c>
      <c r="M741" s="5">
        <f t="shared" si="179"/>
        <v>45771</v>
      </c>
      <c r="O741" s="19" t="str">
        <f t="shared" si="180"/>
        <v/>
      </c>
      <c r="P741" s="5">
        <f t="shared" si="181"/>
        <v>45786</v>
      </c>
      <c r="R741" s="19" t="str">
        <f t="shared" si="182"/>
        <v/>
      </c>
      <c r="S741" s="5">
        <f t="shared" si="192"/>
        <v>45791</v>
      </c>
      <c r="T741" s="4">
        <v>45726</v>
      </c>
      <c r="U741" s="19">
        <f t="shared" si="183"/>
        <v>65</v>
      </c>
      <c r="V741" s="5">
        <f t="shared" si="184"/>
        <v>45830</v>
      </c>
      <c r="W741" s="6">
        <v>45818</v>
      </c>
      <c r="X741" s="19">
        <f t="shared" si="185"/>
        <v>12</v>
      </c>
      <c r="Y741" s="51">
        <f t="shared" si="177"/>
        <v>45858</v>
      </c>
      <c r="Z741" s="4">
        <v>45840</v>
      </c>
      <c r="AA741" s="49">
        <f t="shared" si="186"/>
        <v>18</v>
      </c>
      <c r="AB741" s="51">
        <f t="shared" si="187"/>
        <v>45860</v>
      </c>
      <c r="AC741" s="49">
        <f t="shared" si="188"/>
        <v>20</v>
      </c>
      <c r="AD741" s="43">
        <f t="shared" si="189"/>
        <v>45860</v>
      </c>
      <c r="AE741" s="4">
        <v>45840</v>
      </c>
      <c r="AF741" s="19">
        <f t="shared" si="193"/>
        <v>20</v>
      </c>
      <c r="AG741" s="67"/>
      <c r="AH741" s="2"/>
      <c r="AI741" s="2"/>
      <c r="AJ741" s="2"/>
      <c r="AK741" s="2"/>
      <c r="AL741" s="2"/>
    </row>
    <row r="742" spans="1:38" ht="14.45">
      <c r="A742" s="156">
        <v>741</v>
      </c>
      <c r="B742" s="59">
        <v>45860</v>
      </c>
      <c r="C742" s="34" t="s">
        <v>1581</v>
      </c>
      <c r="D742" s="23" t="s">
        <v>1582</v>
      </c>
      <c r="E742" s="23">
        <v>31228.55</v>
      </c>
      <c r="F742" s="23" t="s">
        <v>1583</v>
      </c>
      <c r="G742" s="14" t="s">
        <v>35</v>
      </c>
      <c r="H742" s="23" t="s">
        <v>36</v>
      </c>
      <c r="I742" s="23" t="s">
        <v>37</v>
      </c>
      <c r="J742" s="97">
        <f t="shared" si="178"/>
        <v>45760</v>
      </c>
      <c r="L742" s="19" t="str">
        <f t="shared" si="194"/>
        <v/>
      </c>
      <c r="M742" s="5">
        <f t="shared" si="179"/>
        <v>45771</v>
      </c>
      <c r="O742" s="19" t="str">
        <f t="shared" si="180"/>
        <v/>
      </c>
      <c r="P742" s="5">
        <f t="shared" si="181"/>
        <v>45786</v>
      </c>
      <c r="R742" s="19" t="str">
        <f t="shared" si="182"/>
        <v/>
      </c>
      <c r="S742" s="5">
        <f t="shared" si="192"/>
        <v>45791</v>
      </c>
      <c r="T742" s="4">
        <v>45834</v>
      </c>
      <c r="U742" s="19">
        <f t="shared" si="183"/>
        <v>-43</v>
      </c>
      <c r="V742" s="5">
        <f t="shared" si="184"/>
        <v>45830</v>
      </c>
      <c r="W742" s="6">
        <v>45846</v>
      </c>
      <c r="X742" s="19">
        <f t="shared" si="185"/>
        <v>-16</v>
      </c>
      <c r="Y742" s="51">
        <f t="shared" si="177"/>
        <v>45858</v>
      </c>
      <c r="Z742" s="51">
        <v>45854</v>
      </c>
      <c r="AA742" s="49">
        <f t="shared" si="186"/>
        <v>4</v>
      </c>
      <c r="AB742" s="51">
        <f t="shared" si="187"/>
        <v>45860</v>
      </c>
      <c r="AC742" s="49">
        <f t="shared" si="188"/>
        <v>6</v>
      </c>
      <c r="AD742" s="43">
        <f t="shared" si="189"/>
        <v>45860</v>
      </c>
      <c r="AE742" s="4">
        <v>45859</v>
      </c>
      <c r="AF742" s="19">
        <f t="shared" si="193"/>
        <v>1</v>
      </c>
      <c r="AG742" s="67"/>
      <c r="AH742" s="2"/>
      <c r="AI742" s="2"/>
      <c r="AJ742" s="2"/>
      <c r="AK742" s="2"/>
      <c r="AL742" s="2"/>
    </row>
    <row r="743" spans="1:38" ht="14.45">
      <c r="A743" s="156">
        <v>742</v>
      </c>
      <c r="B743" s="59">
        <v>45860</v>
      </c>
      <c r="C743" s="89" t="s">
        <v>1584</v>
      </c>
      <c r="D743" s="23" t="s">
        <v>1585</v>
      </c>
      <c r="E743" s="23">
        <v>68741.63</v>
      </c>
      <c r="F743" s="23" t="s">
        <v>1586</v>
      </c>
      <c r="G743" s="23" t="s">
        <v>35</v>
      </c>
      <c r="H743" s="23" t="s">
        <v>36</v>
      </c>
      <c r="I743" s="23" t="s">
        <v>37</v>
      </c>
      <c r="J743" s="97">
        <f t="shared" si="178"/>
        <v>45760</v>
      </c>
      <c r="L743" s="19" t="str">
        <f t="shared" si="194"/>
        <v/>
      </c>
      <c r="M743" s="5">
        <f t="shared" si="179"/>
        <v>45771</v>
      </c>
      <c r="O743" s="19" t="str">
        <f t="shared" si="180"/>
        <v/>
      </c>
      <c r="P743" s="5">
        <f t="shared" si="181"/>
        <v>45786</v>
      </c>
      <c r="R743" s="19" t="str">
        <f t="shared" si="182"/>
        <v/>
      </c>
      <c r="S743" s="5">
        <f t="shared" si="192"/>
        <v>45791</v>
      </c>
      <c r="T743" s="4">
        <v>45838</v>
      </c>
      <c r="U743" s="19">
        <f t="shared" si="183"/>
        <v>-47</v>
      </c>
      <c r="V743" s="5">
        <f t="shared" si="184"/>
        <v>45830</v>
      </c>
      <c r="W743" s="6">
        <v>45853</v>
      </c>
      <c r="X743" s="19">
        <f t="shared" si="185"/>
        <v>-23</v>
      </c>
      <c r="Y743" s="51">
        <f t="shared" si="177"/>
        <v>45858</v>
      </c>
      <c r="Z743" s="51">
        <v>45860</v>
      </c>
      <c r="AA743" s="49">
        <f t="shared" si="186"/>
        <v>-2</v>
      </c>
      <c r="AB743" s="51">
        <f t="shared" si="187"/>
        <v>45860</v>
      </c>
      <c r="AC743" s="49">
        <f t="shared" si="188"/>
        <v>0</v>
      </c>
      <c r="AD743" s="43">
        <f t="shared" si="189"/>
        <v>45860</v>
      </c>
      <c r="AE743" s="4">
        <v>45869</v>
      </c>
      <c r="AF743" s="19">
        <f t="shared" si="193"/>
        <v>-9</v>
      </c>
      <c r="AG743" s="67"/>
      <c r="AH743" s="2"/>
      <c r="AI743" s="2"/>
      <c r="AJ743" s="2"/>
      <c r="AK743" s="2"/>
      <c r="AL743" s="2"/>
    </row>
    <row r="744" spans="1:38" ht="14.45">
      <c r="A744" s="156">
        <v>743</v>
      </c>
      <c r="B744" s="59">
        <v>45861</v>
      </c>
      <c r="C744" s="39" t="s">
        <v>1587</v>
      </c>
      <c r="D744" s="23" t="s">
        <v>38</v>
      </c>
      <c r="E744" s="35">
        <v>1465.84</v>
      </c>
      <c r="F744" s="35" t="s">
        <v>898</v>
      </c>
      <c r="G744" s="23" t="s">
        <v>190</v>
      </c>
      <c r="H744" s="23" t="s">
        <v>40</v>
      </c>
      <c r="I744" s="23" t="s">
        <v>41</v>
      </c>
      <c r="J744" s="97">
        <f t="shared" si="178"/>
        <v>45761</v>
      </c>
      <c r="K744" s="4">
        <v>45825</v>
      </c>
      <c r="L744" s="19">
        <f t="shared" si="194"/>
        <v>-64</v>
      </c>
      <c r="M744" s="5">
        <f t="shared" si="179"/>
        <v>45772</v>
      </c>
      <c r="N744" s="4">
        <v>45833</v>
      </c>
      <c r="O744" s="19">
        <f t="shared" si="180"/>
        <v>-61</v>
      </c>
      <c r="P744" s="5">
        <f t="shared" si="181"/>
        <v>45787</v>
      </c>
      <c r="Q744" s="4">
        <v>45787</v>
      </c>
      <c r="R744" s="19">
        <f t="shared" si="182"/>
        <v>0</v>
      </c>
      <c r="S744" s="5">
        <f t="shared" si="192"/>
        <v>45792</v>
      </c>
      <c r="T744" s="4">
        <v>45792</v>
      </c>
      <c r="U744" s="19">
        <f t="shared" si="183"/>
        <v>0</v>
      </c>
      <c r="V744" s="5">
        <f t="shared" si="184"/>
        <v>45831</v>
      </c>
      <c r="W744" s="4">
        <v>45831</v>
      </c>
      <c r="X744" s="19">
        <f t="shared" si="185"/>
        <v>0</v>
      </c>
      <c r="Y744" s="51">
        <f t="shared" si="177"/>
        <v>45859</v>
      </c>
      <c r="Z744" s="51">
        <v>45842</v>
      </c>
      <c r="AA744" s="49">
        <f t="shared" si="186"/>
        <v>17</v>
      </c>
      <c r="AB744" s="51">
        <f t="shared" si="187"/>
        <v>45861</v>
      </c>
      <c r="AC744" s="49">
        <f t="shared" si="188"/>
        <v>19</v>
      </c>
      <c r="AD744" s="43">
        <f t="shared" si="189"/>
        <v>45861</v>
      </c>
      <c r="AE744" s="4">
        <v>45848</v>
      </c>
      <c r="AF744" s="19">
        <f t="shared" si="193"/>
        <v>13</v>
      </c>
      <c r="AG744" s="67"/>
      <c r="AH744" s="2"/>
      <c r="AI744" s="2"/>
      <c r="AJ744" s="2"/>
      <c r="AK744" s="2"/>
      <c r="AL744" s="2"/>
    </row>
    <row r="745" spans="1:38" ht="14.45">
      <c r="A745" s="156">
        <v>744</v>
      </c>
      <c r="B745" s="59">
        <v>45862</v>
      </c>
      <c r="C745" s="34" t="s">
        <v>1588</v>
      </c>
      <c r="D745" s="23" t="s">
        <v>38</v>
      </c>
      <c r="E745" s="23">
        <v>201.97</v>
      </c>
      <c r="F745" s="23" t="s">
        <v>1589</v>
      </c>
      <c r="G745" s="14" t="s">
        <v>190</v>
      </c>
      <c r="H745" s="23" t="s">
        <v>40</v>
      </c>
      <c r="I745" s="23" t="s">
        <v>41</v>
      </c>
      <c r="J745" s="97">
        <f t="shared" si="178"/>
        <v>45762</v>
      </c>
      <c r="K745" s="4">
        <v>45825</v>
      </c>
      <c r="L745" s="19">
        <f t="shared" si="194"/>
        <v>-63</v>
      </c>
      <c r="M745" s="5">
        <f t="shared" si="179"/>
        <v>45773</v>
      </c>
      <c r="N745" s="4">
        <v>45833</v>
      </c>
      <c r="O745" s="19">
        <f t="shared" si="180"/>
        <v>-60</v>
      </c>
      <c r="P745" s="5">
        <f t="shared" si="181"/>
        <v>45788</v>
      </c>
      <c r="Q745" s="4">
        <v>45788</v>
      </c>
      <c r="R745" s="19">
        <f t="shared" si="182"/>
        <v>0</v>
      </c>
      <c r="S745" s="5">
        <f t="shared" si="192"/>
        <v>45793</v>
      </c>
      <c r="T745" s="4">
        <v>45793</v>
      </c>
      <c r="U745" s="19">
        <f t="shared" si="183"/>
        <v>0</v>
      </c>
      <c r="V745" s="5">
        <f t="shared" si="184"/>
        <v>45832</v>
      </c>
      <c r="W745" s="4">
        <v>45831</v>
      </c>
      <c r="X745" s="19">
        <f t="shared" si="185"/>
        <v>1</v>
      </c>
      <c r="Y745" s="51">
        <f t="shared" si="177"/>
        <v>45860</v>
      </c>
      <c r="Z745" s="51">
        <v>45842</v>
      </c>
      <c r="AA745" s="49">
        <f t="shared" si="186"/>
        <v>18</v>
      </c>
      <c r="AB745" s="51">
        <f t="shared" si="187"/>
        <v>45862</v>
      </c>
      <c r="AC745" s="49">
        <f t="shared" si="188"/>
        <v>20</v>
      </c>
      <c r="AD745" s="43">
        <f t="shared" si="189"/>
        <v>45862</v>
      </c>
      <c r="AE745" s="4">
        <v>45848</v>
      </c>
      <c r="AF745" s="19">
        <f t="shared" si="193"/>
        <v>14</v>
      </c>
      <c r="AG745" s="67"/>
      <c r="AH745" s="2"/>
      <c r="AI745" s="2"/>
      <c r="AJ745" s="2"/>
      <c r="AK745" s="2"/>
      <c r="AL745" s="2"/>
    </row>
    <row r="746" spans="1:38" ht="14.45">
      <c r="A746" s="156">
        <v>745</v>
      </c>
      <c r="B746" s="59">
        <v>45863</v>
      </c>
      <c r="C746" s="34" t="s">
        <v>1590</v>
      </c>
      <c r="D746" s="23" t="s">
        <v>38</v>
      </c>
      <c r="E746" s="23">
        <v>237.49</v>
      </c>
      <c r="F746" s="23" t="s">
        <v>1591</v>
      </c>
      <c r="G746" s="14" t="s">
        <v>190</v>
      </c>
      <c r="H746" s="23" t="s">
        <v>40</v>
      </c>
      <c r="I746" s="23" t="s">
        <v>41</v>
      </c>
      <c r="J746" s="97">
        <f t="shared" si="178"/>
        <v>45763</v>
      </c>
      <c r="K746" s="4">
        <v>45825</v>
      </c>
      <c r="L746" s="19">
        <f t="shared" si="194"/>
        <v>-62</v>
      </c>
      <c r="M746" s="5">
        <f t="shared" si="179"/>
        <v>45774</v>
      </c>
      <c r="N746" s="4">
        <v>45833</v>
      </c>
      <c r="O746" s="19">
        <f t="shared" si="180"/>
        <v>-59</v>
      </c>
      <c r="P746" s="5">
        <f t="shared" si="181"/>
        <v>45789</v>
      </c>
      <c r="Q746" s="4">
        <v>45789</v>
      </c>
      <c r="R746" s="19">
        <f t="shared" si="182"/>
        <v>0</v>
      </c>
      <c r="S746" s="5">
        <f t="shared" si="192"/>
        <v>45794</v>
      </c>
      <c r="T746" s="4">
        <v>45794</v>
      </c>
      <c r="U746" s="19">
        <f t="shared" si="183"/>
        <v>0</v>
      </c>
      <c r="V746" s="5">
        <f t="shared" si="184"/>
        <v>45833</v>
      </c>
      <c r="W746" s="4">
        <v>45831</v>
      </c>
      <c r="X746" s="19">
        <f t="shared" si="185"/>
        <v>2</v>
      </c>
      <c r="Y746" s="51">
        <f t="shared" si="177"/>
        <v>45861</v>
      </c>
      <c r="Z746" s="4">
        <v>45841</v>
      </c>
      <c r="AA746" s="49">
        <f t="shared" si="186"/>
        <v>20</v>
      </c>
      <c r="AB746" s="51">
        <f t="shared" si="187"/>
        <v>45863</v>
      </c>
      <c r="AC746" s="49">
        <f t="shared" si="188"/>
        <v>22</v>
      </c>
      <c r="AD746" s="43">
        <f t="shared" si="189"/>
        <v>45863</v>
      </c>
      <c r="AE746" s="4">
        <v>45841</v>
      </c>
      <c r="AF746" s="19">
        <f t="shared" ref="AF746:AF810" si="195">IF(OR(AD746="", AE746=""), "", AD746-AE746)</f>
        <v>22</v>
      </c>
      <c r="AG746" s="67" t="s">
        <v>367</v>
      </c>
      <c r="AH746" s="2"/>
      <c r="AI746" s="2"/>
      <c r="AJ746" s="2"/>
      <c r="AK746" s="2"/>
      <c r="AL746" s="2"/>
    </row>
    <row r="747" spans="1:38" ht="14.45">
      <c r="A747" s="156">
        <v>746</v>
      </c>
      <c r="B747" s="59">
        <v>45863</v>
      </c>
      <c r="C747" s="34" t="s">
        <v>1592</v>
      </c>
      <c r="D747" s="23" t="s">
        <v>38</v>
      </c>
      <c r="E747" s="23">
        <v>32.54</v>
      </c>
      <c r="F747" s="23" t="s">
        <v>1593</v>
      </c>
      <c r="G747" s="14" t="s">
        <v>190</v>
      </c>
      <c r="H747" s="23" t="s">
        <v>40</v>
      </c>
      <c r="I747" s="23" t="s">
        <v>41</v>
      </c>
      <c r="J747" s="97">
        <f t="shared" si="178"/>
        <v>45763</v>
      </c>
      <c r="K747" s="4">
        <v>45825</v>
      </c>
      <c r="L747" s="19">
        <f t="shared" si="194"/>
        <v>-62</v>
      </c>
      <c r="M747" s="5">
        <f t="shared" si="179"/>
        <v>45774</v>
      </c>
      <c r="N747" s="4">
        <v>45833</v>
      </c>
      <c r="O747" s="19">
        <f t="shared" si="180"/>
        <v>-59</v>
      </c>
      <c r="P747" s="5">
        <f t="shared" si="181"/>
        <v>45789</v>
      </c>
      <c r="Q747" s="4">
        <v>45789</v>
      </c>
      <c r="R747" s="19">
        <f t="shared" si="182"/>
        <v>0</v>
      </c>
      <c r="S747" s="5">
        <f t="shared" si="192"/>
        <v>45794</v>
      </c>
      <c r="T747" s="4">
        <v>45794</v>
      </c>
      <c r="U747" s="19">
        <f t="shared" si="183"/>
        <v>0</v>
      </c>
      <c r="V747" s="5">
        <f t="shared" si="184"/>
        <v>45833</v>
      </c>
      <c r="W747" s="4">
        <v>45831</v>
      </c>
      <c r="X747" s="19">
        <f t="shared" si="185"/>
        <v>2</v>
      </c>
      <c r="Y747" s="51">
        <f t="shared" si="177"/>
        <v>45861</v>
      </c>
      <c r="Z747" s="51">
        <v>45842</v>
      </c>
      <c r="AA747" s="49">
        <f t="shared" si="186"/>
        <v>19</v>
      </c>
      <c r="AB747" s="51">
        <f t="shared" si="187"/>
        <v>45863</v>
      </c>
      <c r="AC747" s="49">
        <f t="shared" si="188"/>
        <v>21</v>
      </c>
      <c r="AD747" s="43">
        <f t="shared" si="189"/>
        <v>45863</v>
      </c>
      <c r="AE747" s="4">
        <v>45848</v>
      </c>
      <c r="AF747" s="19">
        <f t="shared" si="195"/>
        <v>15</v>
      </c>
      <c r="AG747" s="67"/>
      <c r="AH747" s="2"/>
      <c r="AI747" s="2"/>
      <c r="AJ747" s="2"/>
      <c r="AK747" s="2"/>
      <c r="AL747" s="2"/>
    </row>
    <row r="748" spans="1:38" ht="14.45">
      <c r="A748" s="156">
        <v>747</v>
      </c>
      <c r="B748" s="59">
        <v>45863</v>
      </c>
      <c r="C748" s="34">
        <v>625504857</v>
      </c>
      <c r="D748" s="23" t="s">
        <v>1594</v>
      </c>
      <c r="E748" s="23">
        <v>20528</v>
      </c>
      <c r="F748" s="23" t="s">
        <v>1595</v>
      </c>
      <c r="G748" s="23" t="s">
        <v>128</v>
      </c>
      <c r="H748" s="23" t="s">
        <v>36</v>
      </c>
      <c r="I748" s="23" t="s">
        <v>252</v>
      </c>
      <c r="J748" s="97">
        <f t="shared" si="178"/>
        <v>45763</v>
      </c>
      <c r="K748" s="4">
        <v>45805</v>
      </c>
      <c r="L748" s="19">
        <f t="shared" si="194"/>
        <v>-42</v>
      </c>
      <c r="M748" s="5">
        <f t="shared" si="179"/>
        <v>45774</v>
      </c>
      <c r="O748" s="19" t="str">
        <f t="shared" si="180"/>
        <v/>
      </c>
      <c r="P748" s="5">
        <f t="shared" si="181"/>
        <v>45789</v>
      </c>
      <c r="R748" s="19" t="str">
        <f t="shared" si="182"/>
        <v/>
      </c>
      <c r="S748" s="5">
        <f t="shared" si="192"/>
        <v>45794</v>
      </c>
      <c r="T748" s="4">
        <v>45807</v>
      </c>
      <c r="U748" s="19">
        <f t="shared" si="183"/>
        <v>-13</v>
      </c>
      <c r="V748" s="5">
        <f t="shared" si="184"/>
        <v>45833</v>
      </c>
      <c r="W748" s="6">
        <v>45839</v>
      </c>
      <c r="X748" s="19">
        <f t="shared" si="185"/>
        <v>-6</v>
      </c>
      <c r="Y748" s="51">
        <f t="shared" si="177"/>
        <v>45861</v>
      </c>
      <c r="Z748" s="51">
        <v>45863</v>
      </c>
      <c r="AA748" s="49">
        <f t="shared" si="186"/>
        <v>-2</v>
      </c>
      <c r="AB748" s="51">
        <f t="shared" si="187"/>
        <v>45863</v>
      </c>
      <c r="AC748" s="49">
        <f t="shared" si="188"/>
        <v>0</v>
      </c>
      <c r="AD748" s="43">
        <f t="shared" si="189"/>
        <v>45863</v>
      </c>
      <c r="AE748" s="4">
        <v>45872</v>
      </c>
      <c r="AF748" s="19">
        <f t="shared" si="195"/>
        <v>-9</v>
      </c>
      <c r="AG748" s="67"/>
      <c r="AH748" s="2"/>
      <c r="AI748" s="2"/>
      <c r="AJ748" s="2"/>
      <c r="AK748" s="2"/>
      <c r="AL748" s="2"/>
    </row>
    <row r="749" spans="1:38" ht="14.45">
      <c r="A749" s="156">
        <v>748</v>
      </c>
      <c r="B749" s="59">
        <v>45864</v>
      </c>
      <c r="C749" s="34" t="s">
        <v>1596</v>
      </c>
      <c r="D749" s="23" t="s">
        <v>1597</v>
      </c>
      <c r="E749" s="23">
        <v>4949.99</v>
      </c>
      <c r="F749" s="23" t="s">
        <v>1598</v>
      </c>
      <c r="G749" s="14" t="s">
        <v>128</v>
      </c>
      <c r="H749" s="23" t="s">
        <v>36</v>
      </c>
      <c r="I749" s="23" t="s">
        <v>62</v>
      </c>
      <c r="J749" s="97">
        <f t="shared" si="178"/>
        <v>45764</v>
      </c>
      <c r="K749" s="4">
        <v>45805</v>
      </c>
      <c r="L749" s="19">
        <f t="shared" si="194"/>
        <v>-41</v>
      </c>
      <c r="M749" s="5">
        <f t="shared" si="179"/>
        <v>45775</v>
      </c>
      <c r="N749" s="4">
        <v>45812</v>
      </c>
      <c r="O749" s="19">
        <f t="shared" si="180"/>
        <v>-37</v>
      </c>
      <c r="P749" s="5">
        <f t="shared" si="181"/>
        <v>45790</v>
      </c>
      <c r="R749" s="19" t="str">
        <f t="shared" si="182"/>
        <v/>
      </c>
      <c r="S749" s="5">
        <f t="shared" si="192"/>
        <v>45795</v>
      </c>
      <c r="T749" s="4">
        <v>45807</v>
      </c>
      <c r="U749" s="19">
        <f t="shared" si="183"/>
        <v>-12</v>
      </c>
      <c r="V749" s="5">
        <f t="shared" si="184"/>
        <v>45834</v>
      </c>
      <c r="W749" s="6">
        <v>45848</v>
      </c>
      <c r="X749" s="19">
        <f t="shared" si="185"/>
        <v>-14</v>
      </c>
      <c r="Y749" s="51">
        <f t="shared" si="177"/>
        <v>45862</v>
      </c>
      <c r="Z749" s="51">
        <v>45861</v>
      </c>
      <c r="AA749" s="49">
        <f t="shared" si="186"/>
        <v>1</v>
      </c>
      <c r="AB749" s="51">
        <f t="shared" si="187"/>
        <v>45864</v>
      </c>
      <c r="AC749" s="49">
        <f t="shared" si="188"/>
        <v>3</v>
      </c>
      <c r="AD749" s="43">
        <f t="shared" si="189"/>
        <v>45864</v>
      </c>
      <c r="AE749" s="4">
        <v>45861</v>
      </c>
      <c r="AF749" s="19">
        <f t="shared" si="195"/>
        <v>3</v>
      </c>
      <c r="AG749" s="67"/>
      <c r="AH749" s="2"/>
      <c r="AI749" s="2"/>
      <c r="AJ749" s="2"/>
      <c r="AK749" s="2"/>
      <c r="AL749" s="2"/>
    </row>
    <row r="750" spans="1:38" ht="14.45">
      <c r="A750" s="156">
        <v>749</v>
      </c>
      <c r="B750" s="59">
        <v>45864</v>
      </c>
      <c r="C750" s="34" t="s">
        <v>1599</v>
      </c>
      <c r="D750" s="23" t="s">
        <v>44</v>
      </c>
      <c r="E750" s="23">
        <v>17000</v>
      </c>
      <c r="F750" s="23" t="s">
        <v>1600</v>
      </c>
      <c r="G750" s="14" t="s">
        <v>46</v>
      </c>
      <c r="H750" s="23" t="s">
        <v>40</v>
      </c>
      <c r="I750" s="23" t="s">
        <v>62</v>
      </c>
      <c r="J750" s="97">
        <f t="shared" si="178"/>
        <v>45764</v>
      </c>
      <c r="K750" s="4">
        <v>45791</v>
      </c>
      <c r="L750" s="19">
        <f t="shared" si="194"/>
        <v>-27</v>
      </c>
      <c r="M750" s="5">
        <f t="shared" si="179"/>
        <v>45775</v>
      </c>
      <c r="N750" s="4">
        <v>45813</v>
      </c>
      <c r="O750" s="19">
        <f t="shared" si="180"/>
        <v>-38</v>
      </c>
      <c r="P750" s="5">
        <f t="shared" si="181"/>
        <v>45790</v>
      </c>
      <c r="R750" s="19" t="str">
        <f t="shared" si="182"/>
        <v/>
      </c>
      <c r="S750" s="5">
        <f t="shared" si="192"/>
        <v>45795</v>
      </c>
      <c r="T750" s="4">
        <v>45812</v>
      </c>
      <c r="U750" s="19">
        <f t="shared" si="183"/>
        <v>-17</v>
      </c>
      <c r="V750" s="5">
        <f t="shared" si="184"/>
        <v>45834</v>
      </c>
      <c r="W750" s="6">
        <v>45833</v>
      </c>
      <c r="X750" s="19">
        <f t="shared" si="185"/>
        <v>1</v>
      </c>
      <c r="Y750" s="51">
        <f t="shared" si="177"/>
        <v>45862</v>
      </c>
      <c r="Z750" s="124">
        <v>45861</v>
      </c>
      <c r="AA750" s="49">
        <f t="shared" si="186"/>
        <v>1</v>
      </c>
      <c r="AB750" s="51">
        <f t="shared" si="187"/>
        <v>45864</v>
      </c>
      <c r="AC750" s="49">
        <f t="shared" si="188"/>
        <v>3</v>
      </c>
      <c r="AD750" s="43">
        <f t="shared" si="189"/>
        <v>45864</v>
      </c>
      <c r="AE750" s="4">
        <v>45877</v>
      </c>
      <c r="AF750" s="19">
        <f t="shared" si="195"/>
        <v>-13</v>
      </c>
      <c r="AG750" s="67"/>
      <c r="AH750" s="2"/>
      <c r="AI750" s="2"/>
      <c r="AJ750" s="2"/>
      <c r="AK750" s="2"/>
      <c r="AL750" s="2"/>
    </row>
    <row r="751" spans="1:38" ht="14.45">
      <c r="A751" s="156">
        <v>750</v>
      </c>
      <c r="B751" s="59">
        <v>45864</v>
      </c>
      <c r="C751" s="34" t="s">
        <v>1601</v>
      </c>
      <c r="D751" s="23" t="s">
        <v>1602</v>
      </c>
      <c r="E751" s="23">
        <v>1424.27</v>
      </c>
      <c r="F751" s="23" t="s">
        <v>1603</v>
      </c>
      <c r="G751" s="14" t="s">
        <v>120</v>
      </c>
      <c r="H751" s="23" t="s">
        <v>40</v>
      </c>
      <c r="I751" s="23" t="s">
        <v>93</v>
      </c>
      <c r="J751" s="97">
        <f t="shared" si="178"/>
        <v>45764</v>
      </c>
      <c r="L751" s="19" t="str">
        <f t="shared" si="194"/>
        <v/>
      </c>
      <c r="M751" s="5">
        <f t="shared" si="179"/>
        <v>45775</v>
      </c>
      <c r="O751" s="19" t="str">
        <f t="shared" si="180"/>
        <v/>
      </c>
      <c r="P751" s="5">
        <f t="shared" si="181"/>
        <v>45790</v>
      </c>
      <c r="R751" s="19" t="str">
        <f t="shared" si="182"/>
        <v/>
      </c>
      <c r="S751" s="5">
        <f t="shared" si="192"/>
        <v>45795</v>
      </c>
      <c r="T751" s="4">
        <v>45782</v>
      </c>
      <c r="U751" s="19">
        <f t="shared" si="183"/>
        <v>13</v>
      </c>
      <c r="V751" s="5">
        <f t="shared" si="184"/>
        <v>45834</v>
      </c>
      <c r="W751" s="6">
        <v>45827</v>
      </c>
      <c r="X751" s="19">
        <f t="shared" si="185"/>
        <v>7</v>
      </c>
      <c r="Y751" s="51">
        <f t="shared" si="177"/>
        <v>45862</v>
      </c>
      <c r="Z751" s="51">
        <v>45859</v>
      </c>
      <c r="AA751" s="49">
        <f t="shared" si="186"/>
        <v>3</v>
      </c>
      <c r="AB751" s="51">
        <f t="shared" si="187"/>
        <v>45864</v>
      </c>
      <c r="AC751" s="49">
        <f t="shared" si="188"/>
        <v>5</v>
      </c>
      <c r="AD751" s="43">
        <f t="shared" si="189"/>
        <v>45864</v>
      </c>
      <c r="AE751" s="4">
        <v>45859</v>
      </c>
      <c r="AF751" s="19">
        <f t="shared" si="195"/>
        <v>5</v>
      </c>
      <c r="AG751" s="67"/>
      <c r="AH751" s="2"/>
      <c r="AI751" s="2"/>
      <c r="AJ751" s="2"/>
      <c r="AK751" s="2"/>
      <c r="AL751" s="2"/>
    </row>
    <row r="752" spans="1:38" ht="14.45">
      <c r="A752" s="156">
        <v>751</v>
      </c>
      <c r="B752" s="59">
        <v>45864</v>
      </c>
      <c r="C752" s="34" t="s">
        <v>1604</v>
      </c>
      <c r="D752" s="23" t="s">
        <v>1605</v>
      </c>
      <c r="E752" s="23">
        <v>49979.7</v>
      </c>
      <c r="F752" s="23" t="s">
        <v>1606</v>
      </c>
      <c r="G752" s="14" t="s">
        <v>46</v>
      </c>
      <c r="H752" s="23" t="s">
        <v>40</v>
      </c>
      <c r="I752" s="23" t="s">
        <v>62</v>
      </c>
      <c r="J752" s="97">
        <f t="shared" si="178"/>
        <v>45764</v>
      </c>
      <c r="K752" s="4">
        <v>45791</v>
      </c>
      <c r="L752" s="19">
        <f t="shared" si="194"/>
        <v>-27</v>
      </c>
      <c r="M752" s="5">
        <f t="shared" si="179"/>
        <v>45775</v>
      </c>
      <c r="N752" s="4">
        <v>45817</v>
      </c>
      <c r="O752" s="19">
        <f t="shared" si="180"/>
        <v>-42</v>
      </c>
      <c r="P752" s="5">
        <f t="shared" si="181"/>
        <v>45790</v>
      </c>
      <c r="R752" s="19" t="str">
        <f t="shared" si="182"/>
        <v/>
      </c>
      <c r="S752" s="5">
        <f t="shared" si="192"/>
        <v>45795</v>
      </c>
      <c r="T752" s="4">
        <v>45815</v>
      </c>
      <c r="U752" s="19">
        <f t="shared" si="183"/>
        <v>-20</v>
      </c>
      <c r="V752" s="5">
        <f t="shared" si="184"/>
        <v>45834</v>
      </c>
      <c r="W752" s="6">
        <v>45840</v>
      </c>
      <c r="X752" s="19">
        <f t="shared" si="185"/>
        <v>-6</v>
      </c>
      <c r="Y752" s="51">
        <f t="shared" si="177"/>
        <v>45862</v>
      </c>
      <c r="Z752" s="4">
        <v>45854</v>
      </c>
      <c r="AA752" s="49">
        <f t="shared" si="186"/>
        <v>8</v>
      </c>
      <c r="AB752" s="51">
        <f t="shared" si="187"/>
        <v>45864</v>
      </c>
      <c r="AC752" s="49">
        <f t="shared" si="188"/>
        <v>10</v>
      </c>
      <c r="AD752" s="43">
        <f t="shared" si="189"/>
        <v>45864</v>
      </c>
      <c r="AE752" s="4">
        <v>45854</v>
      </c>
      <c r="AF752" s="19">
        <f t="shared" si="195"/>
        <v>10</v>
      </c>
      <c r="AG752" s="67"/>
      <c r="AH752" s="2"/>
      <c r="AI752" s="2"/>
      <c r="AJ752" s="2"/>
      <c r="AK752" s="2"/>
      <c r="AL752" s="2"/>
    </row>
    <row r="753" spans="1:38" ht="14.45">
      <c r="A753" s="156">
        <v>752</v>
      </c>
      <c r="B753" s="59">
        <v>45865</v>
      </c>
      <c r="C753" s="34" t="s">
        <v>1607</v>
      </c>
      <c r="D753" s="23" t="s">
        <v>38</v>
      </c>
      <c r="E753" s="23">
        <v>5382.3</v>
      </c>
      <c r="F753" s="23" t="s">
        <v>1608</v>
      </c>
      <c r="G753" s="14" t="s">
        <v>190</v>
      </c>
      <c r="H753" s="23" t="s">
        <v>40</v>
      </c>
      <c r="I753" s="23" t="s">
        <v>41</v>
      </c>
      <c r="J753" s="97">
        <f t="shared" si="178"/>
        <v>45765</v>
      </c>
      <c r="K753" s="4">
        <v>45825</v>
      </c>
      <c r="L753" s="19">
        <f t="shared" si="194"/>
        <v>-60</v>
      </c>
      <c r="M753" s="5">
        <f t="shared" si="179"/>
        <v>45776</v>
      </c>
      <c r="N753" s="4">
        <v>45833</v>
      </c>
      <c r="O753" s="19">
        <f t="shared" si="180"/>
        <v>-57</v>
      </c>
      <c r="P753" s="5">
        <f t="shared" si="181"/>
        <v>45791</v>
      </c>
      <c r="Q753" s="4">
        <v>45791</v>
      </c>
      <c r="R753" s="19">
        <f t="shared" si="182"/>
        <v>0</v>
      </c>
      <c r="S753" s="5">
        <f t="shared" si="192"/>
        <v>45796</v>
      </c>
      <c r="T753" s="4">
        <v>45796</v>
      </c>
      <c r="U753" s="19">
        <f t="shared" si="183"/>
        <v>0</v>
      </c>
      <c r="V753" s="5">
        <f t="shared" si="184"/>
        <v>45835</v>
      </c>
      <c r="W753" s="4">
        <v>45831</v>
      </c>
      <c r="X753" s="19">
        <f t="shared" si="185"/>
        <v>4</v>
      </c>
      <c r="Y753" s="51">
        <f t="shared" si="177"/>
        <v>45863</v>
      </c>
      <c r="Z753" s="51">
        <v>45842</v>
      </c>
      <c r="AA753" s="49">
        <f t="shared" si="186"/>
        <v>21</v>
      </c>
      <c r="AB753" s="51">
        <f t="shared" si="187"/>
        <v>45865</v>
      </c>
      <c r="AC753" s="49">
        <f t="shared" si="188"/>
        <v>23</v>
      </c>
      <c r="AD753" s="43">
        <f t="shared" si="189"/>
        <v>45865</v>
      </c>
      <c r="AE753" s="4">
        <v>45848</v>
      </c>
      <c r="AF753" s="19">
        <f t="shared" si="195"/>
        <v>17</v>
      </c>
      <c r="AG753" s="67"/>
      <c r="AH753" s="2"/>
      <c r="AI753" s="2"/>
      <c r="AJ753" s="2"/>
      <c r="AK753" s="2"/>
      <c r="AL753" s="2"/>
    </row>
    <row r="754" spans="1:38" ht="14.45">
      <c r="A754" s="156">
        <v>753</v>
      </c>
      <c r="B754" s="59">
        <v>45865</v>
      </c>
      <c r="C754" s="34" t="s">
        <v>1609</v>
      </c>
      <c r="D754" s="23" t="s">
        <v>1610</v>
      </c>
      <c r="E754" s="23">
        <v>30000</v>
      </c>
      <c r="F754" s="23" t="s">
        <v>1611</v>
      </c>
      <c r="G754" s="14" t="s">
        <v>35</v>
      </c>
      <c r="H754" s="23" t="s">
        <v>36</v>
      </c>
      <c r="I754" s="23" t="s">
        <v>47</v>
      </c>
      <c r="J754" s="97">
        <f t="shared" si="178"/>
        <v>45765</v>
      </c>
      <c r="L754" s="19" t="str">
        <f t="shared" si="194"/>
        <v/>
      </c>
      <c r="M754" s="5">
        <f t="shared" si="179"/>
        <v>45776</v>
      </c>
      <c r="O754" s="19" t="str">
        <f t="shared" si="180"/>
        <v/>
      </c>
      <c r="P754" s="5">
        <f t="shared" si="181"/>
        <v>45791</v>
      </c>
      <c r="R754" s="19" t="str">
        <f t="shared" si="182"/>
        <v/>
      </c>
      <c r="S754" s="5">
        <f t="shared" si="192"/>
        <v>45796</v>
      </c>
      <c r="T754" s="4">
        <v>45838</v>
      </c>
      <c r="U754" s="19">
        <f t="shared" si="183"/>
        <v>-42</v>
      </c>
      <c r="V754" s="5">
        <f t="shared" si="184"/>
        <v>45835</v>
      </c>
      <c r="W754" s="6">
        <v>45853</v>
      </c>
      <c r="X754" s="19">
        <f t="shared" si="185"/>
        <v>-18</v>
      </c>
      <c r="Y754" s="51">
        <f t="shared" si="177"/>
        <v>45863</v>
      </c>
      <c r="Z754" s="51">
        <v>45863</v>
      </c>
      <c r="AA754" s="49">
        <f t="shared" si="186"/>
        <v>0</v>
      </c>
      <c r="AB754" s="51">
        <f t="shared" si="187"/>
        <v>45865</v>
      </c>
      <c r="AC754" s="49">
        <f t="shared" si="188"/>
        <v>2</v>
      </c>
      <c r="AD754" s="43">
        <f t="shared" si="189"/>
        <v>45865</v>
      </c>
      <c r="AE754" s="4">
        <v>45868</v>
      </c>
      <c r="AF754" s="19">
        <f t="shared" si="195"/>
        <v>-3</v>
      </c>
      <c r="AG754" s="67"/>
      <c r="AH754" s="2"/>
      <c r="AI754" s="2"/>
      <c r="AJ754" s="2"/>
      <c r="AK754" s="2"/>
      <c r="AL754" s="2"/>
    </row>
    <row r="755" spans="1:38" ht="14.45">
      <c r="A755" s="156">
        <v>754</v>
      </c>
      <c r="B755" s="59">
        <v>45865</v>
      </c>
      <c r="C755" s="34" t="s">
        <v>1612</v>
      </c>
      <c r="D755" s="23" t="s">
        <v>1613</v>
      </c>
      <c r="E755" s="23">
        <v>1294.02</v>
      </c>
      <c r="F755" s="23" t="s">
        <v>1614</v>
      </c>
      <c r="G755" s="14" t="s">
        <v>46</v>
      </c>
      <c r="H755" s="23" t="s">
        <v>40</v>
      </c>
      <c r="I755" s="23" t="s">
        <v>93</v>
      </c>
      <c r="J755" s="97">
        <f t="shared" si="178"/>
        <v>45765</v>
      </c>
      <c r="K755" s="4">
        <v>45791</v>
      </c>
      <c r="L755" s="19">
        <f t="shared" si="194"/>
        <v>-26</v>
      </c>
      <c r="M755" s="5">
        <f t="shared" si="179"/>
        <v>45776</v>
      </c>
      <c r="O755" s="19" t="str">
        <f t="shared" si="180"/>
        <v/>
      </c>
      <c r="P755" s="5">
        <f t="shared" si="181"/>
        <v>45791</v>
      </c>
      <c r="R755" s="19" t="str">
        <f t="shared" si="182"/>
        <v/>
      </c>
      <c r="S755" s="5">
        <f t="shared" si="192"/>
        <v>45796</v>
      </c>
      <c r="T755" s="4">
        <v>45832</v>
      </c>
      <c r="U755" s="19">
        <f t="shared" si="183"/>
        <v>-36</v>
      </c>
      <c r="V755" s="5">
        <f t="shared" si="184"/>
        <v>45835</v>
      </c>
      <c r="W755" s="6">
        <v>45835</v>
      </c>
      <c r="X755" s="19">
        <f t="shared" si="185"/>
        <v>0</v>
      </c>
      <c r="Y755" s="51">
        <f t="shared" ref="Y755:Y818" si="196">B755-2</f>
        <v>45863</v>
      </c>
      <c r="Z755" s="4">
        <v>45847</v>
      </c>
      <c r="AA755" s="49">
        <f t="shared" si="186"/>
        <v>16</v>
      </c>
      <c r="AB755" s="51">
        <f t="shared" si="187"/>
        <v>45865</v>
      </c>
      <c r="AC755" s="49">
        <f t="shared" si="188"/>
        <v>18</v>
      </c>
      <c r="AD755" s="43">
        <f t="shared" si="189"/>
        <v>45865</v>
      </c>
      <c r="AE755" s="4">
        <v>45855</v>
      </c>
      <c r="AF755" s="19">
        <f t="shared" si="195"/>
        <v>10</v>
      </c>
      <c r="AG755" s="67"/>
      <c r="AH755" s="2"/>
      <c r="AI755" s="2"/>
      <c r="AJ755" s="2"/>
      <c r="AK755" s="2"/>
      <c r="AL755" s="2"/>
    </row>
    <row r="756" spans="1:38" ht="14.45">
      <c r="A756" s="156">
        <v>755</v>
      </c>
      <c r="B756" s="59">
        <v>45865</v>
      </c>
      <c r="C756" s="34" t="s">
        <v>1615</v>
      </c>
      <c r="D756" s="23" t="s">
        <v>1452</v>
      </c>
      <c r="E756" s="23">
        <v>25179.09</v>
      </c>
      <c r="F756" s="23" t="s">
        <v>1616</v>
      </c>
      <c r="G756" s="14" t="s">
        <v>46</v>
      </c>
      <c r="H756" s="23" t="s">
        <v>36</v>
      </c>
      <c r="I756" s="23" t="s">
        <v>37</v>
      </c>
      <c r="J756" s="97">
        <f t="shared" si="178"/>
        <v>45765</v>
      </c>
      <c r="K756" s="4">
        <v>45791</v>
      </c>
      <c r="L756" s="19">
        <f t="shared" si="194"/>
        <v>-26</v>
      </c>
      <c r="M756" s="5">
        <f t="shared" si="179"/>
        <v>45776</v>
      </c>
      <c r="O756" s="19" t="str">
        <f t="shared" si="180"/>
        <v/>
      </c>
      <c r="P756" s="5">
        <f t="shared" si="181"/>
        <v>45791</v>
      </c>
      <c r="R756" s="19" t="str">
        <f t="shared" si="182"/>
        <v/>
      </c>
      <c r="S756" s="5">
        <f t="shared" si="192"/>
        <v>45796</v>
      </c>
      <c r="T756" s="4">
        <v>45813</v>
      </c>
      <c r="U756" s="19">
        <f t="shared" si="183"/>
        <v>-17</v>
      </c>
      <c r="V756" s="5">
        <f t="shared" si="184"/>
        <v>45835</v>
      </c>
      <c r="W756" s="6">
        <v>45832</v>
      </c>
      <c r="X756" s="19">
        <f t="shared" si="185"/>
        <v>3</v>
      </c>
      <c r="Y756" s="51">
        <f t="shared" si="196"/>
        <v>45863</v>
      </c>
      <c r="Z756" s="4">
        <v>45834</v>
      </c>
      <c r="AA756" s="19">
        <f t="shared" si="186"/>
        <v>29</v>
      </c>
      <c r="AB756" s="51">
        <f t="shared" si="187"/>
        <v>45865</v>
      </c>
      <c r="AC756" s="49">
        <f t="shared" si="188"/>
        <v>31</v>
      </c>
      <c r="AD756" s="43">
        <f t="shared" si="189"/>
        <v>45865</v>
      </c>
      <c r="AE756" s="4">
        <v>45834</v>
      </c>
      <c r="AF756" s="19">
        <f t="shared" si="195"/>
        <v>31</v>
      </c>
      <c r="AG756" s="67"/>
      <c r="AH756" s="2"/>
      <c r="AI756" s="2"/>
      <c r="AJ756" s="2"/>
      <c r="AK756" s="2"/>
      <c r="AL756" s="2"/>
    </row>
    <row r="757" spans="1:38" ht="14.45">
      <c r="A757" s="156">
        <v>756</v>
      </c>
      <c r="B757" s="59">
        <v>45866</v>
      </c>
      <c r="C757" s="34">
        <v>111723789</v>
      </c>
      <c r="D757" s="23" t="s">
        <v>1617</v>
      </c>
      <c r="E757" s="23">
        <v>7196.59</v>
      </c>
      <c r="F757" s="23" t="s">
        <v>1618</v>
      </c>
      <c r="G757" s="14" t="s">
        <v>190</v>
      </c>
      <c r="H757" s="23" t="s">
        <v>40</v>
      </c>
      <c r="I757" s="23" t="s">
        <v>37</v>
      </c>
      <c r="J757" s="97">
        <f t="shared" si="178"/>
        <v>45766</v>
      </c>
      <c r="L757" s="19" t="str">
        <f t="shared" si="194"/>
        <v/>
      </c>
      <c r="M757" s="5">
        <f t="shared" si="179"/>
        <v>45777</v>
      </c>
      <c r="O757" s="19" t="str">
        <f t="shared" si="180"/>
        <v/>
      </c>
      <c r="P757" s="5">
        <f t="shared" si="181"/>
        <v>45792</v>
      </c>
      <c r="R757" s="19" t="str">
        <f t="shared" si="182"/>
        <v/>
      </c>
      <c r="S757" s="5">
        <f t="shared" si="192"/>
        <v>45797</v>
      </c>
      <c r="T757" s="4">
        <v>45819</v>
      </c>
      <c r="U757" s="19">
        <f t="shared" si="183"/>
        <v>-22</v>
      </c>
      <c r="V757" s="5">
        <f t="shared" si="184"/>
        <v>45836</v>
      </c>
      <c r="W757" s="6">
        <v>45846</v>
      </c>
      <c r="X757" s="19">
        <f t="shared" si="185"/>
        <v>-10</v>
      </c>
      <c r="Y757" s="51">
        <f t="shared" si="196"/>
        <v>45864</v>
      </c>
      <c r="Z757" s="51">
        <v>45866</v>
      </c>
      <c r="AA757" s="49">
        <f t="shared" si="186"/>
        <v>-2</v>
      </c>
      <c r="AB757" s="51">
        <f t="shared" si="187"/>
        <v>45866</v>
      </c>
      <c r="AC757" s="49">
        <f t="shared" si="188"/>
        <v>0</v>
      </c>
      <c r="AD757" s="43">
        <f t="shared" si="189"/>
        <v>45866</v>
      </c>
      <c r="AE757" s="4">
        <v>45870</v>
      </c>
      <c r="AF757" s="19">
        <f t="shared" si="195"/>
        <v>-4</v>
      </c>
      <c r="AG757" s="67"/>
      <c r="AH757" s="2"/>
      <c r="AI757" s="2"/>
      <c r="AJ757" s="2"/>
      <c r="AK757" s="2"/>
      <c r="AL757" s="2"/>
    </row>
    <row r="758" spans="1:38" ht="14.45">
      <c r="A758" s="156">
        <v>757</v>
      </c>
      <c r="B758" s="59">
        <v>45866</v>
      </c>
      <c r="C758" s="34" t="s">
        <v>1619</v>
      </c>
      <c r="D758" s="23" t="s">
        <v>38</v>
      </c>
      <c r="E758" s="23">
        <v>193.48</v>
      </c>
      <c r="F758" s="23" t="s">
        <v>1620</v>
      </c>
      <c r="G758" s="14" t="s">
        <v>190</v>
      </c>
      <c r="H758" s="23" t="s">
        <v>40</v>
      </c>
      <c r="I758" s="23" t="s">
        <v>41</v>
      </c>
      <c r="J758" s="97">
        <f t="shared" si="178"/>
        <v>45766</v>
      </c>
      <c r="K758" s="4">
        <v>45825</v>
      </c>
      <c r="L758" s="19">
        <f t="shared" si="194"/>
        <v>-59</v>
      </c>
      <c r="M758" s="5">
        <f t="shared" si="179"/>
        <v>45777</v>
      </c>
      <c r="N758" s="4">
        <v>45833</v>
      </c>
      <c r="O758" s="19">
        <f t="shared" si="180"/>
        <v>-56</v>
      </c>
      <c r="P758" s="5">
        <f t="shared" si="181"/>
        <v>45792</v>
      </c>
      <c r="Q758" s="4">
        <v>45792</v>
      </c>
      <c r="R758" s="19">
        <f t="shared" si="182"/>
        <v>0</v>
      </c>
      <c r="S758" s="5">
        <f t="shared" si="192"/>
        <v>45797</v>
      </c>
      <c r="T758" s="4">
        <v>45797</v>
      </c>
      <c r="U758" s="19">
        <f t="shared" si="183"/>
        <v>0</v>
      </c>
      <c r="V758" s="5">
        <f t="shared" si="184"/>
        <v>45836</v>
      </c>
      <c r="W758" s="4">
        <v>45831</v>
      </c>
      <c r="X758" s="19">
        <f t="shared" si="185"/>
        <v>5</v>
      </c>
      <c r="Y758" s="51">
        <f t="shared" si="196"/>
        <v>45864</v>
      </c>
      <c r="Z758" s="51">
        <v>45842</v>
      </c>
      <c r="AA758" s="49">
        <f t="shared" si="186"/>
        <v>22</v>
      </c>
      <c r="AB758" s="51">
        <f t="shared" si="187"/>
        <v>45866</v>
      </c>
      <c r="AC758" s="49">
        <f t="shared" si="188"/>
        <v>24</v>
      </c>
      <c r="AD758" s="43">
        <f t="shared" si="189"/>
        <v>45866</v>
      </c>
      <c r="AE758" s="4">
        <v>45848</v>
      </c>
      <c r="AF758" s="19">
        <f t="shared" si="195"/>
        <v>18</v>
      </c>
      <c r="AG758" s="67"/>
      <c r="AH758" s="2"/>
      <c r="AI758" s="2"/>
      <c r="AJ758" s="2"/>
      <c r="AK758" s="2"/>
      <c r="AL758" s="2"/>
    </row>
    <row r="759" spans="1:38" s="9" customFormat="1" ht="14.45">
      <c r="A759" s="156">
        <v>758</v>
      </c>
      <c r="B759" s="60">
        <v>45866</v>
      </c>
      <c r="C759" s="41">
        <v>6150084060</v>
      </c>
      <c r="D759" s="24" t="s">
        <v>44</v>
      </c>
      <c r="E759" s="24">
        <v>16857.37</v>
      </c>
      <c r="F759" s="24" t="s">
        <v>1621</v>
      </c>
      <c r="G759" s="14" t="s">
        <v>46</v>
      </c>
      <c r="H759" s="24" t="s">
        <v>36</v>
      </c>
      <c r="I759" s="24" t="s">
        <v>62</v>
      </c>
      <c r="J759" s="98">
        <f t="shared" si="178"/>
        <v>45766</v>
      </c>
      <c r="K759" s="7">
        <v>45791</v>
      </c>
      <c r="L759" s="99">
        <f t="shared" si="194"/>
        <v>-25</v>
      </c>
      <c r="M759" s="20">
        <f t="shared" si="179"/>
        <v>45777</v>
      </c>
      <c r="N759" s="7"/>
      <c r="O759" s="99" t="str">
        <f t="shared" si="180"/>
        <v/>
      </c>
      <c r="P759" s="20">
        <f t="shared" si="181"/>
        <v>45792</v>
      </c>
      <c r="Q759" s="7"/>
      <c r="R759" s="99" t="str">
        <f t="shared" si="182"/>
        <v/>
      </c>
      <c r="S759" s="20">
        <f t="shared" si="192"/>
        <v>45797</v>
      </c>
      <c r="T759" s="7"/>
      <c r="U759" s="99" t="str">
        <f t="shared" si="183"/>
        <v/>
      </c>
      <c r="V759" s="20">
        <f t="shared" si="184"/>
        <v>45836</v>
      </c>
      <c r="W759" s="47"/>
      <c r="X759" s="99" t="str">
        <f t="shared" si="185"/>
        <v/>
      </c>
      <c r="Y759" s="51">
        <f t="shared" si="196"/>
        <v>45864</v>
      </c>
      <c r="Z759" s="126"/>
      <c r="AA759" s="49" t="str">
        <f t="shared" si="186"/>
        <v/>
      </c>
      <c r="AB759" s="51">
        <f t="shared" si="187"/>
        <v>45866</v>
      </c>
      <c r="AC759" s="49" t="str">
        <f t="shared" si="188"/>
        <v/>
      </c>
      <c r="AD759" s="100">
        <f t="shared" si="189"/>
        <v>45866</v>
      </c>
      <c r="AE759" s="7"/>
      <c r="AF759" s="99" t="str">
        <f t="shared" si="195"/>
        <v/>
      </c>
      <c r="AG759" s="68" t="s">
        <v>367</v>
      </c>
      <c r="AH759" s="8"/>
      <c r="AI759" s="8"/>
      <c r="AJ759" s="8"/>
      <c r="AK759" s="8"/>
      <c r="AL759" s="8"/>
    </row>
    <row r="760" spans="1:38" ht="14.45">
      <c r="A760" s="156">
        <v>759</v>
      </c>
      <c r="B760" s="59">
        <v>45866</v>
      </c>
      <c r="C760" s="34" t="s">
        <v>1622</v>
      </c>
      <c r="D760" s="23" t="s">
        <v>1623</v>
      </c>
      <c r="E760" s="23">
        <v>27055.29</v>
      </c>
      <c r="F760" s="23" t="s">
        <v>1624</v>
      </c>
      <c r="G760" s="37" t="s">
        <v>128</v>
      </c>
      <c r="H760" s="23" t="s">
        <v>40</v>
      </c>
      <c r="I760" s="23" t="s">
        <v>93</v>
      </c>
      <c r="J760" s="97">
        <f t="shared" si="178"/>
        <v>45766</v>
      </c>
      <c r="K760" s="4">
        <v>45805</v>
      </c>
      <c r="L760" s="19">
        <f t="shared" si="194"/>
        <v>-39</v>
      </c>
      <c r="M760" s="5">
        <f t="shared" si="179"/>
        <v>45777</v>
      </c>
      <c r="N760" s="4">
        <v>45770</v>
      </c>
      <c r="O760" s="19">
        <f t="shared" si="180"/>
        <v>7</v>
      </c>
      <c r="P760" s="5">
        <f t="shared" si="181"/>
        <v>45792</v>
      </c>
      <c r="R760" s="19" t="str">
        <f t="shared" si="182"/>
        <v/>
      </c>
      <c r="S760" s="5">
        <f t="shared" si="192"/>
        <v>45797</v>
      </c>
      <c r="T760" s="4">
        <v>45810</v>
      </c>
      <c r="U760" s="19">
        <f t="shared" si="183"/>
        <v>-13</v>
      </c>
      <c r="V760" s="5">
        <f t="shared" si="184"/>
        <v>45836</v>
      </c>
      <c r="W760" s="6"/>
      <c r="X760" s="19" t="str">
        <f t="shared" si="185"/>
        <v/>
      </c>
      <c r="Y760" s="51">
        <f t="shared" si="196"/>
        <v>45864</v>
      </c>
      <c r="Z760" s="4">
        <v>45866</v>
      </c>
      <c r="AA760" s="49">
        <f t="shared" si="186"/>
        <v>-2</v>
      </c>
      <c r="AB760" s="51">
        <f t="shared" si="187"/>
        <v>45866</v>
      </c>
      <c r="AC760" s="49">
        <f t="shared" si="188"/>
        <v>0</v>
      </c>
      <c r="AD760" s="43">
        <f t="shared" si="189"/>
        <v>45866</v>
      </c>
      <c r="AE760" s="4">
        <v>45866</v>
      </c>
      <c r="AF760" s="19">
        <f t="shared" si="195"/>
        <v>0</v>
      </c>
      <c r="AG760" s="67"/>
      <c r="AH760" s="2"/>
      <c r="AI760" s="2"/>
      <c r="AJ760" s="2"/>
      <c r="AK760" s="2"/>
      <c r="AL760" s="2"/>
    </row>
    <row r="761" spans="1:38" ht="14.45">
      <c r="A761" s="156">
        <v>760</v>
      </c>
      <c r="B761" s="59">
        <v>45866</v>
      </c>
      <c r="C761" s="34" t="s">
        <v>1625</v>
      </c>
      <c r="D761" s="23" t="s">
        <v>1452</v>
      </c>
      <c r="E761" s="23">
        <v>21744.01</v>
      </c>
      <c r="F761" s="23" t="s">
        <v>1626</v>
      </c>
      <c r="G761" s="14" t="s">
        <v>46</v>
      </c>
      <c r="H761" s="23" t="s">
        <v>36</v>
      </c>
      <c r="I761" s="23" t="s">
        <v>37</v>
      </c>
      <c r="J761" s="97">
        <f t="shared" si="178"/>
        <v>45766</v>
      </c>
      <c r="K761" s="4">
        <v>45791</v>
      </c>
      <c r="L761" s="19">
        <f t="shared" si="194"/>
        <v>-25</v>
      </c>
      <c r="M761" s="5">
        <f t="shared" si="179"/>
        <v>45777</v>
      </c>
      <c r="O761" s="19" t="str">
        <f t="shared" si="180"/>
        <v/>
      </c>
      <c r="P761" s="5">
        <f t="shared" si="181"/>
        <v>45792</v>
      </c>
      <c r="R761" s="19" t="str">
        <f t="shared" si="182"/>
        <v/>
      </c>
      <c r="S761" s="5">
        <f t="shared" si="192"/>
        <v>45797</v>
      </c>
      <c r="T761" s="4">
        <v>45813</v>
      </c>
      <c r="U761" s="19">
        <f t="shared" si="183"/>
        <v>-16</v>
      </c>
      <c r="V761" s="5">
        <f t="shared" si="184"/>
        <v>45836</v>
      </c>
      <c r="W761" s="6">
        <v>45832</v>
      </c>
      <c r="X761" s="19">
        <f t="shared" si="185"/>
        <v>4</v>
      </c>
      <c r="Y761" s="51">
        <f t="shared" si="196"/>
        <v>45864</v>
      </c>
      <c r="Z761" s="4">
        <v>45834</v>
      </c>
      <c r="AA761" s="19">
        <f t="shared" si="186"/>
        <v>30</v>
      </c>
      <c r="AB761" s="51">
        <f t="shared" si="187"/>
        <v>45866</v>
      </c>
      <c r="AC761" s="49">
        <f t="shared" si="188"/>
        <v>32</v>
      </c>
      <c r="AD761" s="43">
        <f t="shared" si="189"/>
        <v>45866</v>
      </c>
      <c r="AE761" s="4">
        <v>45834</v>
      </c>
      <c r="AF761" s="19">
        <f t="shared" si="195"/>
        <v>32</v>
      </c>
      <c r="AG761" s="67"/>
      <c r="AH761" s="2"/>
      <c r="AI761" s="2"/>
      <c r="AJ761" s="2"/>
      <c r="AK761" s="2"/>
      <c r="AL761" s="2"/>
    </row>
    <row r="762" spans="1:38" ht="14.45">
      <c r="A762" s="156">
        <v>761</v>
      </c>
      <c r="B762" s="59">
        <v>45866</v>
      </c>
      <c r="C762" s="34" t="s">
        <v>1627</v>
      </c>
      <c r="D762" s="24" t="s">
        <v>1628</v>
      </c>
      <c r="E762" s="23">
        <v>9344.5</v>
      </c>
      <c r="F762" s="23" t="s">
        <v>1629</v>
      </c>
      <c r="G762" s="14" t="s">
        <v>110</v>
      </c>
      <c r="H762" s="23" t="s">
        <v>36</v>
      </c>
      <c r="I762" s="23" t="s">
        <v>93</v>
      </c>
      <c r="J762" s="97">
        <f t="shared" si="178"/>
        <v>45766</v>
      </c>
      <c r="L762" s="19" t="str">
        <f t="shared" si="194"/>
        <v/>
      </c>
      <c r="M762" s="5">
        <f t="shared" si="179"/>
        <v>45777</v>
      </c>
      <c r="O762" s="19" t="str">
        <f t="shared" si="180"/>
        <v/>
      </c>
      <c r="P762" s="5">
        <f t="shared" si="181"/>
        <v>45792</v>
      </c>
      <c r="R762" s="19" t="str">
        <f t="shared" si="182"/>
        <v/>
      </c>
      <c r="S762" s="5">
        <f t="shared" si="192"/>
        <v>45797</v>
      </c>
      <c r="U762" s="19" t="str">
        <f t="shared" si="183"/>
        <v/>
      </c>
      <c r="V762" s="5">
        <f t="shared" si="184"/>
        <v>45836</v>
      </c>
      <c r="W762" s="6"/>
      <c r="X762" s="19" t="str">
        <f t="shared" si="185"/>
        <v/>
      </c>
      <c r="Y762" s="51">
        <f t="shared" si="196"/>
        <v>45864</v>
      </c>
      <c r="Z762" s="51"/>
      <c r="AA762" s="49" t="str">
        <f t="shared" si="186"/>
        <v/>
      </c>
      <c r="AB762" s="51">
        <f t="shared" si="187"/>
        <v>45866</v>
      </c>
      <c r="AC762" s="49" t="str">
        <f t="shared" si="188"/>
        <v/>
      </c>
      <c r="AD762" s="43">
        <f t="shared" si="189"/>
        <v>45866</v>
      </c>
      <c r="AF762" s="19" t="str">
        <f t="shared" si="195"/>
        <v/>
      </c>
      <c r="AG762" s="67" t="s">
        <v>367</v>
      </c>
      <c r="AH762" s="2"/>
      <c r="AI762" s="2"/>
      <c r="AJ762" s="2"/>
      <c r="AK762" s="2"/>
      <c r="AL762" s="2"/>
    </row>
    <row r="763" spans="1:38" ht="14.45">
      <c r="A763" s="156">
        <v>762</v>
      </c>
      <c r="B763" s="59">
        <v>45867</v>
      </c>
      <c r="C763" s="34" t="s">
        <v>1630</v>
      </c>
      <c r="D763" s="23" t="s">
        <v>678</v>
      </c>
      <c r="E763" s="23">
        <v>97768.36</v>
      </c>
      <c r="F763" s="23" t="s">
        <v>1631</v>
      </c>
      <c r="G763" s="14" t="s">
        <v>35</v>
      </c>
      <c r="H763" s="23" t="s">
        <v>40</v>
      </c>
      <c r="I763" s="23" t="s">
        <v>37</v>
      </c>
      <c r="J763" s="97">
        <f t="shared" si="178"/>
        <v>45767</v>
      </c>
      <c r="L763" s="19" t="str">
        <f t="shared" si="194"/>
        <v/>
      </c>
      <c r="M763" s="5">
        <f t="shared" si="179"/>
        <v>45778</v>
      </c>
      <c r="O763" s="19" t="str">
        <f t="shared" si="180"/>
        <v/>
      </c>
      <c r="P763" s="5">
        <f t="shared" si="181"/>
        <v>45793</v>
      </c>
      <c r="R763" s="19" t="str">
        <f t="shared" si="182"/>
        <v/>
      </c>
      <c r="S763" s="5">
        <f t="shared" si="192"/>
        <v>45798</v>
      </c>
      <c r="T763" s="4">
        <v>45800</v>
      </c>
      <c r="U763" s="19">
        <f t="shared" si="183"/>
        <v>-2</v>
      </c>
      <c r="V763" s="5">
        <f t="shared" si="184"/>
        <v>45837</v>
      </c>
      <c r="W763" s="6">
        <v>45848</v>
      </c>
      <c r="X763" s="19">
        <f t="shared" si="185"/>
        <v>-11</v>
      </c>
      <c r="Y763" s="51">
        <f t="shared" si="196"/>
        <v>45865</v>
      </c>
      <c r="Z763" s="51">
        <v>45863</v>
      </c>
      <c r="AA763" s="49">
        <f t="shared" si="186"/>
        <v>2</v>
      </c>
      <c r="AB763" s="51">
        <f t="shared" si="187"/>
        <v>45867</v>
      </c>
      <c r="AC763" s="49">
        <f t="shared" si="188"/>
        <v>4</v>
      </c>
      <c r="AD763" s="43">
        <f t="shared" si="189"/>
        <v>45867</v>
      </c>
      <c r="AE763" s="4">
        <v>45891</v>
      </c>
      <c r="AF763" s="19">
        <f t="shared" si="195"/>
        <v>-24</v>
      </c>
      <c r="AG763" s="67"/>
      <c r="AH763" s="2"/>
      <c r="AI763" s="2"/>
      <c r="AJ763" s="2"/>
      <c r="AK763" s="2"/>
      <c r="AL763" s="2"/>
    </row>
    <row r="764" spans="1:38" ht="14.45">
      <c r="A764" s="156">
        <v>763</v>
      </c>
      <c r="B764" s="60">
        <v>45867</v>
      </c>
      <c r="C764" s="41" t="s">
        <v>1632</v>
      </c>
      <c r="D764" s="24" t="s">
        <v>1633</v>
      </c>
      <c r="E764" s="24">
        <v>1262.94</v>
      </c>
      <c r="F764" s="24" t="s">
        <v>1634</v>
      </c>
      <c r="G764" s="14" t="s">
        <v>128</v>
      </c>
      <c r="H764" s="24" t="s">
        <v>40</v>
      </c>
      <c r="I764" s="24" t="s">
        <v>93</v>
      </c>
      <c r="J764" s="98">
        <f t="shared" si="178"/>
        <v>45767</v>
      </c>
      <c r="K764" s="7">
        <v>45805</v>
      </c>
      <c r="L764" s="99">
        <f t="shared" si="194"/>
        <v>-38</v>
      </c>
      <c r="M764" s="20">
        <f t="shared" si="179"/>
        <v>45778</v>
      </c>
      <c r="N764" s="7"/>
      <c r="O764" s="99" t="str">
        <f t="shared" si="180"/>
        <v/>
      </c>
      <c r="P764" s="20">
        <f t="shared" si="181"/>
        <v>45793</v>
      </c>
      <c r="Q764" s="7"/>
      <c r="R764" s="99" t="str">
        <f t="shared" si="182"/>
        <v/>
      </c>
      <c r="S764" s="20">
        <f t="shared" si="192"/>
        <v>45798</v>
      </c>
      <c r="T764" s="7">
        <v>45812</v>
      </c>
      <c r="U764" s="99">
        <f t="shared" si="183"/>
        <v>-14</v>
      </c>
      <c r="V764" s="20">
        <f t="shared" si="184"/>
        <v>45837</v>
      </c>
      <c r="W764" s="47"/>
      <c r="X764" s="99" t="str">
        <f t="shared" si="185"/>
        <v/>
      </c>
      <c r="Y764" s="66">
        <f t="shared" si="196"/>
        <v>45865</v>
      </c>
      <c r="Z764" s="50"/>
      <c r="AA764" s="50" t="str">
        <f t="shared" si="186"/>
        <v/>
      </c>
      <c r="AB764" s="51">
        <f t="shared" si="187"/>
        <v>45867</v>
      </c>
      <c r="AC764" s="49" t="str">
        <f t="shared" si="188"/>
        <v/>
      </c>
      <c r="AD764" s="100">
        <f t="shared" si="189"/>
        <v>45867</v>
      </c>
      <c r="AE764" s="7"/>
      <c r="AF764" s="99" t="str">
        <f t="shared" si="195"/>
        <v/>
      </c>
      <c r="AG764" s="68" t="s">
        <v>367</v>
      </c>
      <c r="AH764" s="2"/>
      <c r="AI764" s="2"/>
      <c r="AJ764" s="2"/>
      <c r="AK764" s="2"/>
      <c r="AL764" s="2"/>
    </row>
    <row r="765" spans="1:38" ht="14.45">
      <c r="A765" s="156">
        <v>764</v>
      </c>
      <c r="B765" s="59">
        <v>45867</v>
      </c>
      <c r="C765" s="34" t="s">
        <v>1635</v>
      </c>
      <c r="D765" s="23" t="s">
        <v>38</v>
      </c>
      <c r="E765" s="23">
        <v>382.68</v>
      </c>
      <c r="F765" s="23" t="s">
        <v>1636</v>
      </c>
      <c r="G765" s="14" t="s">
        <v>190</v>
      </c>
      <c r="H765" s="23" t="s">
        <v>40</v>
      </c>
      <c r="I765" s="23" t="s">
        <v>41</v>
      </c>
      <c r="J765" s="97">
        <f t="shared" si="178"/>
        <v>45767</v>
      </c>
      <c r="K765" s="4">
        <v>45825</v>
      </c>
      <c r="L765" s="19">
        <f t="shared" si="194"/>
        <v>-58</v>
      </c>
      <c r="M765" s="5">
        <f t="shared" si="179"/>
        <v>45778</v>
      </c>
      <c r="N765" s="4">
        <v>45833</v>
      </c>
      <c r="O765" s="19">
        <f t="shared" si="180"/>
        <v>-55</v>
      </c>
      <c r="P765" s="5">
        <f t="shared" si="181"/>
        <v>45793</v>
      </c>
      <c r="Q765" s="4">
        <v>45793</v>
      </c>
      <c r="R765" s="19">
        <f t="shared" si="182"/>
        <v>0</v>
      </c>
      <c r="S765" s="5">
        <f t="shared" si="192"/>
        <v>45798</v>
      </c>
      <c r="T765" s="4">
        <v>45798</v>
      </c>
      <c r="U765" s="19">
        <f t="shared" si="183"/>
        <v>0</v>
      </c>
      <c r="V765" s="5">
        <f t="shared" si="184"/>
        <v>45837</v>
      </c>
      <c r="W765" s="4">
        <v>45831</v>
      </c>
      <c r="X765" s="19">
        <f t="shared" si="185"/>
        <v>6</v>
      </c>
      <c r="Y765" s="51">
        <f t="shared" si="196"/>
        <v>45865</v>
      </c>
      <c r="Z765" s="51">
        <v>45842</v>
      </c>
      <c r="AA765" s="49">
        <f t="shared" si="186"/>
        <v>23</v>
      </c>
      <c r="AB765" s="51">
        <f t="shared" si="187"/>
        <v>45867</v>
      </c>
      <c r="AC765" s="49">
        <f t="shared" si="188"/>
        <v>25</v>
      </c>
      <c r="AD765" s="43">
        <f t="shared" si="189"/>
        <v>45867</v>
      </c>
      <c r="AE765" s="4">
        <v>45848</v>
      </c>
      <c r="AF765" s="19">
        <f t="shared" si="195"/>
        <v>19</v>
      </c>
      <c r="AG765" s="67"/>
      <c r="AH765" s="2"/>
      <c r="AI765" s="2"/>
      <c r="AJ765" s="2"/>
      <c r="AK765" s="2"/>
      <c r="AL765" s="2"/>
    </row>
    <row r="766" spans="1:38" ht="14.45">
      <c r="A766" s="156">
        <v>765</v>
      </c>
      <c r="B766" s="59">
        <v>45867</v>
      </c>
      <c r="C766" s="34" t="s">
        <v>1637</v>
      </c>
      <c r="D766" s="23" t="s">
        <v>38</v>
      </c>
      <c r="E766" s="23">
        <v>160.68</v>
      </c>
      <c r="F766" s="23" t="s">
        <v>1638</v>
      </c>
      <c r="G766" s="14" t="s">
        <v>190</v>
      </c>
      <c r="H766" s="23" t="s">
        <v>40</v>
      </c>
      <c r="I766" s="23" t="s">
        <v>41</v>
      </c>
      <c r="J766" s="97">
        <f t="shared" si="178"/>
        <v>45767</v>
      </c>
      <c r="K766" s="4">
        <v>45825</v>
      </c>
      <c r="L766" s="19">
        <f t="shared" si="194"/>
        <v>-58</v>
      </c>
      <c r="M766" s="5">
        <f t="shared" si="179"/>
        <v>45778</v>
      </c>
      <c r="N766" s="4">
        <v>45833</v>
      </c>
      <c r="O766" s="19">
        <f t="shared" si="180"/>
        <v>-55</v>
      </c>
      <c r="P766" s="5">
        <f t="shared" si="181"/>
        <v>45793</v>
      </c>
      <c r="Q766" s="4">
        <v>45793</v>
      </c>
      <c r="R766" s="19">
        <f t="shared" si="182"/>
        <v>0</v>
      </c>
      <c r="S766" s="5">
        <f t="shared" si="192"/>
        <v>45798</v>
      </c>
      <c r="T766" s="4">
        <v>45798</v>
      </c>
      <c r="U766" s="19">
        <f t="shared" si="183"/>
        <v>0</v>
      </c>
      <c r="V766" s="5">
        <f t="shared" si="184"/>
        <v>45837</v>
      </c>
      <c r="W766" s="4">
        <v>45831</v>
      </c>
      <c r="X766" s="19">
        <f t="shared" si="185"/>
        <v>6</v>
      </c>
      <c r="Y766" s="51">
        <f t="shared" si="196"/>
        <v>45865</v>
      </c>
      <c r="Z766" s="4">
        <v>45841</v>
      </c>
      <c r="AA766" s="49">
        <f t="shared" si="186"/>
        <v>24</v>
      </c>
      <c r="AB766" s="51">
        <f t="shared" si="187"/>
        <v>45867</v>
      </c>
      <c r="AC766" s="49">
        <f t="shared" si="188"/>
        <v>26</v>
      </c>
      <c r="AD766" s="43">
        <f t="shared" si="189"/>
        <v>45867</v>
      </c>
      <c r="AE766" s="4">
        <v>45841</v>
      </c>
      <c r="AF766" s="19">
        <f t="shared" si="195"/>
        <v>26</v>
      </c>
      <c r="AG766" s="67" t="s">
        <v>367</v>
      </c>
      <c r="AH766" s="2"/>
      <c r="AI766" s="2"/>
      <c r="AJ766" s="2"/>
      <c r="AK766" s="2"/>
      <c r="AL766" s="2"/>
    </row>
    <row r="767" spans="1:38" ht="14.45">
      <c r="A767" s="156">
        <v>766</v>
      </c>
      <c r="B767" s="59">
        <v>45867</v>
      </c>
      <c r="C767" s="34" t="s">
        <v>1639</v>
      </c>
      <c r="D767" s="23" t="s">
        <v>38</v>
      </c>
      <c r="E767" s="23">
        <v>333.73</v>
      </c>
      <c r="F767" s="23" t="s">
        <v>1640</v>
      </c>
      <c r="G767" s="14" t="s">
        <v>190</v>
      </c>
      <c r="H767" s="23" t="s">
        <v>40</v>
      </c>
      <c r="I767" s="23" t="s">
        <v>41</v>
      </c>
      <c r="J767" s="97">
        <f t="shared" si="178"/>
        <v>45767</v>
      </c>
      <c r="K767" s="4">
        <v>45825</v>
      </c>
      <c r="L767" s="19">
        <f t="shared" si="194"/>
        <v>-58</v>
      </c>
      <c r="M767" s="5">
        <f t="shared" si="179"/>
        <v>45778</v>
      </c>
      <c r="N767" s="4">
        <v>45833</v>
      </c>
      <c r="O767" s="19">
        <f t="shared" si="180"/>
        <v>-55</v>
      </c>
      <c r="P767" s="5">
        <f t="shared" si="181"/>
        <v>45793</v>
      </c>
      <c r="Q767" s="4">
        <v>45793</v>
      </c>
      <c r="R767" s="19">
        <f t="shared" si="182"/>
        <v>0</v>
      </c>
      <c r="S767" s="5">
        <f t="shared" si="192"/>
        <v>45798</v>
      </c>
      <c r="T767" s="4">
        <v>45798</v>
      </c>
      <c r="U767" s="19">
        <f t="shared" si="183"/>
        <v>0</v>
      </c>
      <c r="V767" s="5">
        <f t="shared" si="184"/>
        <v>45837</v>
      </c>
      <c r="W767" s="4">
        <v>45831</v>
      </c>
      <c r="X767" s="19">
        <f t="shared" si="185"/>
        <v>6</v>
      </c>
      <c r="Y767" s="51">
        <f t="shared" si="196"/>
        <v>45865</v>
      </c>
      <c r="Z767" s="4">
        <v>45841</v>
      </c>
      <c r="AA767" s="49">
        <f t="shared" si="186"/>
        <v>24</v>
      </c>
      <c r="AB767" s="51">
        <f t="shared" si="187"/>
        <v>45867</v>
      </c>
      <c r="AC767" s="49">
        <f t="shared" si="188"/>
        <v>26</v>
      </c>
      <c r="AD767" s="43">
        <f t="shared" si="189"/>
        <v>45867</v>
      </c>
      <c r="AE767" s="4">
        <v>45841</v>
      </c>
      <c r="AF767" s="19">
        <f t="shared" si="195"/>
        <v>26</v>
      </c>
      <c r="AG767" s="67" t="s">
        <v>367</v>
      </c>
      <c r="AH767" s="2"/>
      <c r="AI767" s="2"/>
      <c r="AJ767" s="2"/>
      <c r="AK767" s="2"/>
      <c r="AL767" s="2"/>
    </row>
    <row r="768" spans="1:38" ht="14.45">
      <c r="A768" s="156">
        <v>767</v>
      </c>
      <c r="B768" s="59">
        <v>45867</v>
      </c>
      <c r="C768" s="34" t="s">
        <v>1641</v>
      </c>
      <c r="D768" s="23" t="s">
        <v>1642</v>
      </c>
      <c r="E768" s="23">
        <v>4362.3999999999996</v>
      </c>
      <c r="F768" s="23" t="s">
        <v>1643</v>
      </c>
      <c r="G768" s="14" t="s">
        <v>120</v>
      </c>
      <c r="H768" s="23" t="s">
        <v>40</v>
      </c>
      <c r="I768" s="23" t="s">
        <v>62</v>
      </c>
      <c r="J768" s="97">
        <f t="shared" si="178"/>
        <v>45767</v>
      </c>
      <c r="L768" s="19" t="str">
        <f t="shared" si="194"/>
        <v/>
      </c>
      <c r="M768" s="5">
        <f t="shared" si="179"/>
        <v>45778</v>
      </c>
      <c r="O768" s="19" t="str">
        <f t="shared" si="180"/>
        <v/>
      </c>
      <c r="P768" s="5">
        <f t="shared" si="181"/>
        <v>45793</v>
      </c>
      <c r="R768" s="19" t="str">
        <f t="shared" si="182"/>
        <v/>
      </c>
      <c r="S768" s="5">
        <f t="shared" si="192"/>
        <v>45798</v>
      </c>
      <c r="T768" s="4">
        <v>45810</v>
      </c>
      <c r="U768" s="19">
        <f t="shared" si="183"/>
        <v>-12</v>
      </c>
      <c r="V768" s="5">
        <f t="shared" si="184"/>
        <v>45837</v>
      </c>
      <c r="W768" s="6">
        <v>45846</v>
      </c>
      <c r="X768" s="19">
        <f t="shared" si="185"/>
        <v>-9</v>
      </c>
      <c r="Y768" s="51">
        <f t="shared" si="196"/>
        <v>45865</v>
      </c>
      <c r="Z768" s="49"/>
      <c r="AA768" s="49" t="str">
        <f t="shared" si="186"/>
        <v/>
      </c>
      <c r="AB768" s="51">
        <f t="shared" si="187"/>
        <v>45867</v>
      </c>
      <c r="AC768" s="49" t="str">
        <f t="shared" si="188"/>
        <v/>
      </c>
      <c r="AD768" s="43">
        <f t="shared" si="189"/>
        <v>45867</v>
      </c>
      <c r="AF768" s="19" t="str">
        <f t="shared" si="195"/>
        <v/>
      </c>
      <c r="AG768" s="67" t="s">
        <v>367</v>
      </c>
      <c r="AH768" s="2"/>
      <c r="AI768" s="2"/>
      <c r="AJ768" s="2"/>
      <c r="AK768" s="2"/>
      <c r="AL768" s="2"/>
    </row>
    <row r="769" spans="1:38" ht="14.45">
      <c r="A769" s="156">
        <v>768</v>
      </c>
      <c r="B769" s="59">
        <v>45867</v>
      </c>
      <c r="C769" s="34">
        <v>111738472</v>
      </c>
      <c r="D769" s="23" t="s">
        <v>1644</v>
      </c>
      <c r="E769" s="23">
        <v>21441.03</v>
      </c>
      <c r="F769" s="23" t="s">
        <v>1645</v>
      </c>
      <c r="G769" s="14" t="s">
        <v>128</v>
      </c>
      <c r="H769" s="23" t="s">
        <v>36</v>
      </c>
      <c r="I769" s="23" t="s">
        <v>93</v>
      </c>
      <c r="J769" s="97">
        <f t="shared" si="178"/>
        <v>45767</v>
      </c>
      <c r="K769" s="4">
        <v>45805</v>
      </c>
      <c r="L769" s="19">
        <f t="shared" si="194"/>
        <v>-38</v>
      </c>
      <c r="M769" s="5">
        <f t="shared" si="179"/>
        <v>45778</v>
      </c>
      <c r="O769" s="19" t="str">
        <f t="shared" si="180"/>
        <v/>
      </c>
      <c r="P769" s="5">
        <f t="shared" si="181"/>
        <v>45793</v>
      </c>
      <c r="R769" s="19" t="str">
        <f t="shared" si="182"/>
        <v/>
      </c>
      <c r="S769" s="5">
        <f t="shared" si="192"/>
        <v>45798</v>
      </c>
      <c r="T769" s="4">
        <v>45811</v>
      </c>
      <c r="U769" s="19">
        <f t="shared" si="183"/>
        <v>-13</v>
      </c>
      <c r="V769" s="5">
        <f t="shared" si="184"/>
        <v>45837</v>
      </c>
      <c r="W769" s="6">
        <v>45839</v>
      </c>
      <c r="X769" s="19">
        <f t="shared" si="185"/>
        <v>-2</v>
      </c>
      <c r="Y769" s="51">
        <f t="shared" si="196"/>
        <v>45865</v>
      </c>
      <c r="Z769" s="4">
        <v>45842</v>
      </c>
      <c r="AA769" s="49">
        <f t="shared" si="186"/>
        <v>23</v>
      </c>
      <c r="AB769" s="51">
        <f t="shared" si="187"/>
        <v>45867</v>
      </c>
      <c r="AC769" s="49">
        <f t="shared" si="188"/>
        <v>25</v>
      </c>
      <c r="AD769" s="43">
        <f t="shared" si="189"/>
        <v>45867</v>
      </c>
      <c r="AE769" s="4">
        <v>45842</v>
      </c>
      <c r="AF769" s="19">
        <f t="shared" si="195"/>
        <v>25</v>
      </c>
      <c r="AG769" s="10"/>
      <c r="AH769" s="1"/>
      <c r="AI769" s="1"/>
      <c r="AJ769" s="1"/>
      <c r="AK769" s="1"/>
      <c r="AL769" s="1"/>
    </row>
    <row r="770" spans="1:38" ht="14.45">
      <c r="A770" s="156">
        <v>769</v>
      </c>
      <c r="B770" s="59">
        <v>45868</v>
      </c>
      <c r="C770" s="34" t="s">
        <v>1646</v>
      </c>
      <c r="D770" s="23" t="s">
        <v>1363</v>
      </c>
      <c r="E770" s="23">
        <v>1646.08</v>
      </c>
      <c r="F770" s="23" t="s">
        <v>1647</v>
      </c>
      <c r="G770" s="10" t="s">
        <v>120</v>
      </c>
      <c r="H770" s="23" t="s">
        <v>36</v>
      </c>
      <c r="I770" s="23" t="s">
        <v>41</v>
      </c>
      <c r="J770" s="97">
        <f t="shared" ref="J770:J833" si="197">B770-100</f>
        <v>45768</v>
      </c>
      <c r="L770" s="19" t="str">
        <f t="shared" si="194"/>
        <v/>
      </c>
      <c r="M770" s="5">
        <f t="shared" ref="M770:M833" si="198">B770-89</f>
        <v>45779</v>
      </c>
      <c r="O770" s="19" t="str">
        <f t="shared" ref="O770:O836" si="199">IF(OR(M770="", N770=""), "", M770-N770)</f>
        <v/>
      </c>
      <c r="P770" s="5">
        <f t="shared" ref="P770:P833" si="200">B770-74</f>
        <v>45794</v>
      </c>
      <c r="R770" s="19" t="str">
        <f t="shared" ref="R770:R836" si="201">IF(OR(P770="", Q770=""), "", P770-Q770)</f>
        <v/>
      </c>
      <c r="S770" s="5">
        <f t="shared" si="192"/>
        <v>45799</v>
      </c>
      <c r="T770" s="4">
        <v>45839</v>
      </c>
      <c r="U770" s="19">
        <f t="shared" ref="U770:U836" si="202">IF(OR(S770="", T770=""), "", S770-T770)</f>
        <v>-40</v>
      </c>
      <c r="V770" s="5">
        <f t="shared" ref="V770:V833" si="203">B770-30</f>
        <v>45838</v>
      </c>
      <c r="W770" s="6">
        <v>45841</v>
      </c>
      <c r="X770" s="19">
        <f t="shared" ref="X770:X836" si="204">IF(OR(V770="", W770=""), "", V770-W770)</f>
        <v>-3</v>
      </c>
      <c r="Y770" s="51">
        <f t="shared" si="196"/>
        <v>45866</v>
      </c>
      <c r="Z770" s="4">
        <v>45842</v>
      </c>
      <c r="AA770" s="49">
        <f t="shared" ref="AA770:AA836" si="205">IF(OR(Y770="", Z770=""), "", Y770-Z770)</f>
        <v>24</v>
      </c>
      <c r="AB770" s="51">
        <f t="shared" ref="AB770:AB833" si="206">IF(B770&lt;&gt;"", B770, "")</f>
        <v>45868</v>
      </c>
      <c r="AC770" s="49">
        <f t="shared" ref="AC770:AC833" si="207">IF(OR(AB770="", Z770=""), "", AB770-Z770)</f>
        <v>26</v>
      </c>
      <c r="AD770" s="43">
        <f t="shared" ref="AD770:AD833" si="208">IF(B770&lt;&gt;"", B770, "")</f>
        <v>45868</v>
      </c>
      <c r="AE770" s="4">
        <v>45842</v>
      </c>
      <c r="AF770" s="19">
        <f t="shared" si="195"/>
        <v>26</v>
      </c>
      <c r="AG770" s="10"/>
      <c r="AH770" s="1"/>
      <c r="AI770" s="1"/>
      <c r="AJ770" s="1"/>
      <c r="AK770" s="1"/>
      <c r="AL770" s="1"/>
    </row>
    <row r="771" spans="1:38" ht="14.45">
      <c r="A771" s="156">
        <v>770</v>
      </c>
      <c r="B771" s="59">
        <v>45868</v>
      </c>
      <c r="C771" s="34" t="s">
        <v>1648</v>
      </c>
      <c r="D771" s="23" t="s">
        <v>1649</v>
      </c>
      <c r="E771" s="23">
        <v>270000</v>
      </c>
      <c r="F771" s="23" t="s">
        <v>1650</v>
      </c>
      <c r="G771" s="14" t="s">
        <v>46</v>
      </c>
      <c r="H771" s="23" t="s">
        <v>36</v>
      </c>
      <c r="I771" s="23" t="s">
        <v>252</v>
      </c>
      <c r="J771" s="97">
        <f t="shared" si="197"/>
        <v>45768</v>
      </c>
      <c r="K771" s="4">
        <v>45791</v>
      </c>
      <c r="L771" s="19">
        <f t="shared" si="194"/>
        <v>-23</v>
      </c>
      <c r="M771" s="5">
        <f t="shared" si="198"/>
        <v>45779</v>
      </c>
      <c r="N771" s="4">
        <v>45838</v>
      </c>
      <c r="O771" s="19">
        <f t="shared" si="199"/>
        <v>-59</v>
      </c>
      <c r="P771" s="5">
        <f t="shared" si="200"/>
        <v>45794</v>
      </c>
      <c r="R771" s="19" t="str">
        <f t="shared" si="201"/>
        <v/>
      </c>
      <c r="S771" s="5">
        <f t="shared" si="192"/>
        <v>45799</v>
      </c>
      <c r="T771" s="4">
        <v>45817</v>
      </c>
      <c r="U771" s="19">
        <f t="shared" si="202"/>
        <v>-18</v>
      </c>
      <c r="V771" s="5">
        <f t="shared" si="203"/>
        <v>45838</v>
      </c>
      <c r="W771" s="6">
        <v>45842</v>
      </c>
      <c r="X771" s="19">
        <f t="shared" si="204"/>
        <v>-4</v>
      </c>
      <c r="Y771" s="51">
        <f t="shared" si="196"/>
        <v>45866</v>
      </c>
      <c r="Z771" s="4">
        <v>45868</v>
      </c>
      <c r="AA771" s="49">
        <f t="shared" si="205"/>
        <v>-2</v>
      </c>
      <c r="AB771" s="51">
        <f t="shared" si="206"/>
        <v>45868</v>
      </c>
      <c r="AC771" s="49">
        <f t="shared" si="207"/>
        <v>0</v>
      </c>
      <c r="AD771" s="43">
        <f t="shared" si="208"/>
        <v>45868</v>
      </c>
      <c r="AE771" s="4">
        <v>45868</v>
      </c>
      <c r="AF771" s="19">
        <f t="shared" si="195"/>
        <v>0</v>
      </c>
      <c r="AG771" s="10"/>
      <c r="AH771" s="1"/>
      <c r="AI771" s="1"/>
      <c r="AJ771" s="1"/>
      <c r="AK771" s="1"/>
      <c r="AL771" s="1"/>
    </row>
    <row r="772" spans="1:38" ht="14.45">
      <c r="A772" s="156">
        <v>771</v>
      </c>
      <c r="B772" s="59">
        <v>45868</v>
      </c>
      <c r="C772" s="34" t="s">
        <v>1651</v>
      </c>
      <c r="D772" s="23" t="s">
        <v>1652</v>
      </c>
      <c r="E772" s="23">
        <v>20248.73</v>
      </c>
      <c r="F772" s="23" t="s">
        <v>1653</v>
      </c>
      <c r="G772" s="14" t="s">
        <v>46</v>
      </c>
      <c r="H772" s="23" t="s">
        <v>40</v>
      </c>
      <c r="I772" s="23" t="s">
        <v>93</v>
      </c>
      <c r="J772" s="97">
        <f t="shared" si="197"/>
        <v>45768</v>
      </c>
      <c r="K772" s="4">
        <v>45791</v>
      </c>
      <c r="L772" s="19">
        <f t="shared" ref="L772:L778" si="209">IF(OR(J772="", K772=""), "", J772-K772)</f>
        <v>-23</v>
      </c>
      <c r="M772" s="5">
        <f t="shared" si="198"/>
        <v>45779</v>
      </c>
      <c r="O772" s="19" t="str">
        <f t="shared" si="199"/>
        <v/>
      </c>
      <c r="P772" s="5">
        <f t="shared" si="200"/>
        <v>45794</v>
      </c>
      <c r="R772" s="19" t="str">
        <f t="shared" si="201"/>
        <v/>
      </c>
      <c r="S772" s="5">
        <f t="shared" si="192"/>
        <v>45799</v>
      </c>
      <c r="T772" s="4">
        <v>45833</v>
      </c>
      <c r="U772" s="19">
        <f t="shared" si="202"/>
        <v>-34</v>
      </c>
      <c r="V772" s="5">
        <f t="shared" si="203"/>
        <v>45838</v>
      </c>
      <c r="W772" s="6">
        <v>45838</v>
      </c>
      <c r="X772" s="19">
        <f t="shared" si="204"/>
        <v>0</v>
      </c>
      <c r="Y772" s="51">
        <f t="shared" si="196"/>
        <v>45866</v>
      </c>
      <c r="Z772" s="4">
        <v>45868</v>
      </c>
      <c r="AA772" s="49">
        <f t="shared" si="205"/>
        <v>-2</v>
      </c>
      <c r="AB772" s="51">
        <f t="shared" si="206"/>
        <v>45868</v>
      </c>
      <c r="AC772" s="49">
        <f t="shared" si="207"/>
        <v>0</v>
      </c>
      <c r="AD772" s="43">
        <f t="shared" si="208"/>
        <v>45868</v>
      </c>
      <c r="AE772" s="4">
        <v>45876</v>
      </c>
      <c r="AF772" s="19">
        <f t="shared" si="195"/>
        <v>-8</v>
      </c>
      <c r="AG772" s="10"/>
      <c r="AH772" s="1"/>
      <c r="AI772" s="1"/>
      <c r="AJ772" s="1"/>
      <c r="AK772" s="1"/>
      <c r="AL772" s="1"/>
    </row>
    <row r="773" spans="1:38" ht="14.45">
      <c r="A773" s="156">
        <v>772</v>
      </c>
      <c r="B773" s="59">
        <v>45868</v>
      </c>
      <c r="C773" s="34" t="s">
        <v>1654</v>
      </c>
      <c r="D773" s="23" t="s">
        <v>983</v>
      </c>
      <c r="E773" s="23">
        <v>532.83000000000004</v>
      </c>
      <c r="F773" s="23" t="s">
        <v>1655</v>
      </c>
      <c r="G773" s="10" t="s">
        <v>120</v>
      </c>
      <c r="H773" s="23" t="s">
        <v>40</v>
      </c>
      <c r="I773" s="23" t="s">
        <v>41</v>
      </c>
      <c r="J773" s="97">
        <f t="shared" si="197"/>
        <v>45768</v>
      </c>
      <c r="L773" s="19" t="str">
        <f t="shared" si="209"/>
        <v/>
      </c>
      <c r="M773" s="5">
        <f t="shared" si="198"/>
        <v>45779</v>
      </c>
      <c r="O773" s="19" t="str">
        <f t="shared" si="199"/>
        <v/>
      </c>
      <c r="P773" s="5">
        <f t="shared" si="200"/>
        <v>45794</v>
      </c>
      <c r="R773" s="19" t="str">
        <f t="shared" si="201"/>
        <v/>
      </c>
      <c r="S773" s="5">
        <f t="shared" ref="S773:S836" si="210">B773-69</f>
        <v>45799</v>
      </c>
      <c r="T773" s="4">
        <v>45839</v>
      </c>
      <c r="U773" s="19">
        <f t="shared" si="202"/>
        <v>-40</v>
      </c>
      <c r="V773" s="5">
        <f t="shared" si="203"/>
        <v>45838</v>
      </c>
      <c r="W773" s="6">
        <v>45841</v>
      </c>
      <c r="X773" s="19">
        <f t="shared" si="204"/>
        <v>-3</v>
      </c>
      <c r="Y773" s="51">
        <f t="shared" si="196"/>
        <v>45866</v>
      </c>
      <c r="Z773" s="4">
        <v>45842</v>
      </c>
      <c r="AA773" s="49">
        <f t="shared" si="205"/>
        <v>24</v>
      </c>
      <c r="AB773" s="51">
        <f t="shared" si="206"/>
        <v>45868</v>
      </c>
      <c r="AC773" s="49">
        <f t="shared" si="207"/>
        <v>26</v>
      </c>
      <c r="AD773" s="43">
        <f t="shared" si="208"/>
        <v>45868</v>
      </c>
      <c r="AE773" s="4">
        <v>45842</v>
      </c>
      <c r="AF773" s="19">
        <f t="shared" si="195"/>
        <v>26</v>
      </c>
      <c r="AG773" s="10"/>
      <c r="AH773" s="1"/>
      <c r="AI773" s="1"/>
      <c r="AJ773" s="1"/>
      <c r="AK773" s="1"/>
      <c r="AL773" s="1"/>
    </row>
    <row r="774" spans="1:38" ht="14.45">
      <c r="A774" s="156">
        <v>773</v>
      </c>
      <c r="B774" s="59">
        <v>45868</v>
      </c>
      <c r="C774" s="34" t="s">
        <v>1656</v>
      </c>
      <c r="D774" s="23" t="s">
        <v>1657</v>
      </c>
      <c r="E774" s="23">
        <v>47448.09</v>
      </c>
      <c r="F774" s="23" t="s">
        <v>1658</v>
      </c>
      <c r="G774" s="14" t="s">
        <v>120</v>
      </c>
      <c r="H774" s="23" t="s">
        <v>40</v>
      </c>
      <c r="I774" s="23" t="s">
        <v>93</v>
      </c>
      <c r="J774" s="97">
        <f t="shared" si="197"/>
        <v>45768</v>
      </c>
      <c r="L774" s="19" t="str">
        <f t="shared" si="209"/>
        <v/>
      </c>
      <c r="M774" s="5">
        <f t="shared" si="198"/>
        <v>45779</v>
      </c>
      <c r="O774" s="19" t="str">
        <f t="shared" si="199"/>
        <v/>
      </c>
      <c r="P774" s="5">
        <f t="shared" si="200"/>
        <v>45794</v>
      </c>
      <c r="R774" s="19" t="str">
        <f t="shared" si="201"/>
        <v/>
      </c>
      <c r="S774" s="5">
        <f t="shared" si="210"/>
        <v>45799</v>
      </c>
      <c r="T774" s="4">
        <v>45782</v>
      </c>
      <c r="U774" s="19">
        <f t="shared" si="202"/>
        <v>17</v>
      </c>
      <c r="V774" s="5">
        <f t="shared" si="203"/>
        <v>45838</v>
      </c>
      <c r="W774" s="6">
        <v>45839</v>
      </c>
      <c r="X774" s="19">
        <f t="shared" si="204"/>
        <v>-1</v>
      </c>
      <c r="Y774" s="51">
        <f t="shared" si="196"/>
        <v>45866</v>
      </c>
      <c r="Z774" s="4">
        <v>45868</v>
      </c>
      <c r="AA774" s="49">
        <f t="shared" si="205"/>
        <v>-2</v>
      </c>
      <c r="AB774" s="51">
        <f t="shared" si="206"/>
        <v>45868</v>
      </c>
      <c r="AC774" s="49">
        <f t="shared" si="207"/>
        <v>0</v>
      </c>
      <c r="AD774" s="43">
        <f t="shared" si="208"/>
        <v>45868</v>
      </c>
      <c r="AE774" s="4">
        <v>45870</v>
      </c>
      <c r="AF774" s="19">
        <f t="shared" si="195"/>
        <v>-2</v>
      </c>
      <c r="AG774" s="10"/>
      <c r="AH774" s="1"/>
      <c r="AI774" s="1"/>
      <c r="AJ774" s="1"/>
      <c r="AK774" s="1"/>
      <c r="AL774" s="1"/>
    </row>
    <row r="775" spans="1:38" ht="14.45">
      <c r="A775" s="156">
        <v>774</v>
      </c>
      <c r="B775" s="59">
        <v>45868</v>
      </c>
      <c r="C775" s="34" t="s">
        <v>1659</v>
      </c>
      <c r="D775" s="23" t="s">
        <v>1660</v>
      </c>
      <c r="E775" s="23">
        <v>2320.65</v>
      </c>
      <c r="F775" s="23" t="s">
        <v>1661</v>
      </c>
      <c r="G775" s="14" t="s">
        <v>128</v>
      </c>
      <c r="H775" s="23" t="s">
        <v>40</v>
      </c>
      <c r="I775" s="23" t="s">
        <v>93</v>
      </c>
      <c r="J775" s="97">
        <f t="shared" si="197"/>
        <v>45768</v>
      </c>
      <c r="K775" s="4">
        <v>45805</v>
      </c>
      <c r="L775" s="19">
        <f t="shared" si="209"/>
        <v>-37</v>
      </c>
      <c r="M775" s="5">
        <f t="shared" si="198"/>
        <v>45779</v>
      </c>
      <c r="O775" s="19" t="str">
        <f t="shared" si="199"/>
        <v/>
      </c>
      <c r="P775" s="5">
        <f t="shared" si="200"/>
        <v>45794</v>
      </c>
      <c r="R775" s="19" t="str">
        <f t="shared" si="201"/>
        <v/>
      </c>
      <c r="S775" s="5">
        <f t="shared" si="210"/>
        <v>45799</v>
      </c>
      <c r="T775" s="4">
        <v>45818</v>
      </c>
      <c r="U775" s="19">
        <f t="shared" si="202"/>
        <v>-19</v>
      </c>
      <c r="V775" s="5">
        <f t="shared" si="203"/>
        <v>45838</v>
      </c>
      <c r="W775" s="6"/>
      <c r="X775" s="19" t="str">
        <f t="shared" si="204"/>
        <v/>
      </c>
      <c r="Y775" s="51">
        <f t="shared" si="196"/>
        <v>45866</v>
      </c>
      <c r="AA775" s="49" t="str">
        <f t="shared" si="205"/>
        <v/>
      </c>
      <c r="AB775" s="51">
        <f t="shared" si="206"/>
        <v>45868</v>
      </c>
      <c r="AC775" s="49" t="str">
        <f t="shared" si="207"/>
        <v/>
      </c>
      <c r="AD775" s="43">
        <f t="shared" si="208"/>
        <v>45868</v>
      </c>
      <c r="AE775" s="4">
        <v>45859</v>
      </c>
      <c r="AF775" s="19">
        <f t="shared" si="195"/>
        <v>9</v>
      </c>
      <c r="AG775" s="10" t="s">
        <v>367</v>
      </c>
      <c r="AH775" s="1"/>
      <c r="AI775" s="1"/>
      <c r="AJ775" s="1"/>
      <c r="AK775" s="1"/>
      <c r="AL775" s="1"/>
    </row>
    <row r="776" spans="1:38" ht="14.45">
      <c r="A776" s="156">
        <v>775</v>
      </c>
      <c r="B776" s="59">
        <v>45869</v>
      </c>
      <c r="C776" s="34" t="s">
        <v>1662</v>
      </c>
      <c r="D776" s="23" t="s">
        <v>423</v>
      </c>
      <c r="E776" s="23">
        <v>304.69</v>
      </c>
      <c r="F776" s="23" t="s">
        <v>1663</v>
      </c>
      <c r="G776" s="14" t="s">
        <v>35</v>
      </c>
      <c r="H776" s="23" t="s">
        <v>40</v>
      </c>
      <c r="I776" s="23" t="s">
        <v>93</v>
      </c>
      <c r="J776" s="97">
        <f t="shared" si="197"/>
        <v>45769</v>
      </c>
      <c r="L776" s="19" t="str">
        <f t="shared" si="209"/>
        <v/>
      </c>
      <c r="M776" s="5">
        <f t="shared" si="198"/>
        <v>45780</v>
      </c>
      <c r="O776" s="19" t="str">
        <f t="shared" si="199"/>
        <v/>
      </c>
      <c r="P776" s="5">
        <f t="shared" si="200"/>
        <v>45795</v>
      </c>
      <c r="R776" s="19" t="str">
        <f t="shared" si="201"/>
        <v/>
      </c>
      <c r="S776" s="5">
        <f t="shared" si="210"/>
        <v>45800</v>
      </c>
      <c r="T776" s="4">
        <v>45837</v>
      </c>
      <c r="U776" s="19">
        <f t="shared" si="202"/>
        <v>-37</v>
      </c>
      <c r="V776" s="5">
        <f t="shared" si="203"/>
        <v>45839</v>
      </c>
      <c r="W776" s="6">
        <v>45854</v>
      </c>
      <c r="X776" s="19">
        <f t="shared" si="204"/>
        <v>-15</v>
      </c>
      <c r="Y776" s="51">
        <f t="shared" si="196"/>
        <v>45867</v>
      </c>
      <c r="Z776" s="51">
        <v>45868</v>
      </c>
      <c r="AA776" s="49">
        <f t="shared" si="205"/>
        <v>-1</v>
      </c>
      <c r="AB776" s="51">
        <f t="shared" si="206"/>
        <v>45869</v>
      </c>
      <c r="AC776" s="49">
        <f t="shared" si="207"/>
        <v>1</v>
      </c>
      <c r="AD776" s="43">
        <f t="shared" si="208"/>
        <v>45869</v>
      </c>
      <c r="AE776" s="4">
        <v>45868</v>
      </c>
      <c r="AF776" s="19">
        <f t="shared" si="195"/>
        <v>1</v>
      </c>
      <c r="AG776" s="10"/>
      <c r="AH776" s="1"/>
      <c r="AI776" s="1"/>
      <c r="AJ776" s="1"/>
      <c r="AK776" s="1"/>
      <c r="AL776" s="1"/>
    </row>
    <row r="777" spans="1:38" ht="14.45">
      <c r="A777" s="156">
        <v>776</v>
      </c>
      <c r="B777" s="59">
        <v>45869</v>
      </c>
      <c r="C777" s="34" t="s">
        <v>1664</v>
      </c>
      <c r="D777" s="23" t="s">
        <v>1665</v>
      </c>
      <c r="E777" s="23">
        <v>17526.37</v>
      </c>
      <c r="F777" s="23" t="s">
        <v>1666</v>
      </c>
      <c r="G777" s="14" t="s">
        <v>190</v>
      </c>
      <c r="H777" s="23" t="s">
        <v>40</v>
      </c>
      <c r="I777" s="23" t="s">
        <v>93</v>
      </c>
      <c r="J777" s="97">
        <f t="shared" si="197"/>
        <v>45769</v>
      </c>
      <c r="L777" s="19" t="str">
        <f t="shared" si="209"/>
        <v/>
      </c>
      <c r="M777" s="5">
        <f t="shared" si="198"/>
        <v>45780</v>
      </c>
      <c r="O777" s="19" t="str">
        <f t="shared" si="199"/>
        <v/>
      </c>
      <c r="P777" s="5">
        <f t="shared" si="200"/>
        <v>45795</v>
      </c>
      <c r="R777" s="19" t="str">
        <f t="shared" si="201"/>
        <v/>
      </c>
      <c r="S777" s="5">
        <f t="shared" si="210"/>
        <v>45800</v>
      </c>
      <c r="T777" s="4">
        <v>45821</v>
      </c>
      <c r="U777" s="19">
        <f t="shared" si="202"/>
        <v>-21</v>
      </c>
      <c r="V777" s="5">
        <f t="shared" si="203"/>
        <v>45839</v>
      </c>
      <c r="W777" s="6">
        <v>45845</v>
      </c>
      <c r="X777" s="19">
        <f t="shared" si="204"/>
        <v>-6</v>
      </c>
      <c r="Y777" s="51">
        <f t="shared" si="196"/>
        <v>45867</v>
      </c>
      <c r="Z777" s="4">
        <v>45869</v>
      </c>
      <c r="AA777" s="49">
        <f t="shared" si="205"/>
        <v>-2</v>
      </c>
      <c r="AB777" s="51">
        <f t="shared" si="206"/>
        <v>45869</v>
      </c>
      <c r="AC777" s="49">
        <f t="shared" si="207"/>
        <v>0</v>
      </c>
      <c r="AD777" s="43">
        <f t="shared" si="208"/>
        <v>45869</v>
      </c>
      <c r="AE777" s="4">
        <v>45898</v>
      </c>
      <c r="AF777" s="19">
        <f t="shared" si="195"/>
        <v>-29</v>
      </c>
      <c r="AG777" s="10"/>
      <c r="AH777" s="1"/>
      <c r="AI777" s="1"/>
      <c r="AJ777" s="1"/>
      <c r="AK777" s="1"/>
      <c r="AL777" s="1"/>
    </row>
    <row r="778" spans="1:38" ht="14.45">
      <c r="A778" s="156">
        <v>777</v>
      </c>
      <c r="B778" s="59">
        <v>45869</v>
      </c>
      <c r="C778" s="34" t="s">
        <v>1667</v>
      </c>
      <c r="D778" s="23" t="s">
        <v>1668</v>
      </c>
      <c r="E778" s="23">
        <v>322.89</v>
      </c>
      <c r="F778" s="23" t="s">
        <v>1669</v>
      </c>
      <c r="G778" s="14" t="s">
        <v>51</v>
      </c>
      <c r="H778" s="23" t="s">
        <v>40</v>
      </c>
      <c r="I778" s="23" t="s">
        <v>37</v>
      </c>
      <c r="J778" s="97">
        <f t="shared" si="197"/>
        <v>45769</v>
      </c>
      <c r="K778" s="4">
        <v>45772</v>
      </c>
      <c r="L778" s="19">
        <f t="shared" si="209"/>
        <v>-3</v>
      </c>
      <c r="M778" s="5">
        <f t="shared" si="198"/>
        <v>45780</v>
      </c>
      <c r="N778" s="4">
        <v>45770</v>
      </c>
      <c r="O778" s="19">
        <f t="shared" si="199"/>
        <v>10</v>
      </c>
      <c r="P778" s="5">
        <f t="shared" si="200"/>
        <v>45795</v>
      </c>
      <c r="R778" s="19" t="str">
        <f t="shared" si="201"/>
        <v/>
      </c>
      <c r="S778" s="5">
        <f t="shared" si="210"/>
        <v>45800</v>
      </c>
      <c r="T778" s="4">
        <v>45810</v>
      </c>
      <c r="U778" s="19">
        <f t="shared" si="202"/>
        <v>-10</v>
      </c>
      <c r="V778" s="5">
        <f t="shared" si="203"/>
        <v>45839</v>
      </c>
      <c r="W778" s="51">
        <v>45852</v>
      </c>
      <c r="X778" s="19">
        <f t="shared" si="204"/>
        <v>-13</v>
      </c>
      <c r="Y778" s="51">
        <f t="shared" si="196"/>
        <v>45867</v>
      </c>
      <c r="Z778" s="4">
        <v>45863</v>
      </c>
      <c r="AA778" s="49">
        <f t="shared" si="205"/>
        <v>4</v>
      </c>
      <c r="AB778" s="51">
        <f t="shared" si="206"/>
        <v>45869</v>
      </c>
      <c r="AC778" s="49">
        <f t="shared" si="207"/>
        <v>6</v>
      </c>
      <c r="AD778" s="43">
        <f t="shared" si="208"/>
        <v>45869</v>
      </c>
      <c r="AE778" s="4">
        <v>45863</v>
      </c>
      <c r="AF778" s="19">
        <f t="shared" si="195"/>
        <v>6</v>
      </c>
      <c r="AG778" s="10"/>
      <c r="AH778" s="1"/>
      <c r="AI778" s="1"/>
      <c r="AJ778" s="1"/>
      <c r="AK778" s="1"/>
      <c r="AL778" s="1"/>
    </row>
    <row r="779" spans="1:38" ht="14.45">
      <c r="A779" s="156">
        <v>778</v>
      </c>
      <c r="B779" s="59">
        <v>45869</v>
      </c>
      <c r="C779" s="34" t="s">
        <v>1088</v>
      </c>
      <c r="D779" s="23" t="s">
        <v>1089</v>
      </c>
      <c r="E779" s="23">
        <v>11575.87</v>
      </c>
      <c r="F779" s="23" t="s">
        <v>1090</v>
      </c>
      <c r="G779" s="14" t="s">
        <v>190</v>
      </c>
      <c r="H779" s="23" t="s">
        <v>36</v>
      </c>
      <c r="I779" s="23" t="s">
        <v>62</v>
      </c>
      <c r="J779" s="97">
        <f t="shared" si="197"/>
        <v>45769</v>
      </c>
      <c r="M779" s="5">
        <f t="shared" si="198"/>
        <v>45780</v>
      </c>
      <c r="N779" s="4">
        <v>45819</v>
      </c>
      <c r="O779" s="19">
        <f t="shared" si="199"/>
        <v>-39</v>
      </c>
      <c r="P779" s="5">
        <f t="shared" si="200"/>
        <v>45795</v>
      </c>
      <c r="Q779" s="4">
        <v>45819</v>
      </c>
      <c r="R779" s="19">
        <f t="shared" si="201"/>
        <v>-24</v>
      </c>
      <c r="S779" s="5">
        <f t="shared" si="210"/>
        <v>45800</v>
      </c>
      <c r="T779" s="4">
        <v>45819</v>
      </c>
      <c r="U779" s="19">
        <f t="shared" si="202"/>
        <v>-19</v>
      </c>
      <c r="V779" s="5">
        <f t="shared" si="203"/>
        <v>45839</v>
      </c>
      <c r="W779" s="6">
        <v>45831</v>
      </c>
      <c r="X779" s="19">
        <f t="shared" si="204"/>
        <v>8</v>
      </c>
      <c r="Y779" s="51">
        <f t="shared" si="196"/>
        <v>45867</v>
      </c>
      <c r="Z779" s="4">
        <v>45832</v>
      </c>
      <c r="AA779" s="49">
        <f t="shared" si="205"/>
        <v>35</v>
      </c>
      <c r="AB779" s="51">
        <f t="shared" si="206"/>
        <v>45869</v>
      </c>
      <c r="AC779" s="49">
        <f t="shared" si="207"/>
        <v>37</v>
      </c>
      <c r="AD779" s="43">
        <f t="shared" si="208"/>
        <v>45869</v>
      </c>
      <c r="AE779" s="4">
        <v>45832</v>
      </c>
      <c r="AF779" s="19">
        <f t="shared" si="195"/>
        <v>37</v>
      </c>
      <c r="AG779" s="10"/>
      <c r="AH779" s="1"/>
      <c r="AI779" s="1"/>
      <c r="AJ779" s="1"/>
      <c r="AK779" s="1"/>
      <c r="AL779" s="1"/>
    </row>
    <row r="780" spans="1:38" ht="14.45">
      <c r="A780" s="156">
        <v>779</v>
      </c>
      <c r="B780" s="59">
        <v>45870</v>
      </c>
      <c r="C780" s="34" t="s">
        <v>1670</v>
      </c>
      <c r="D780" s="23" t="s">
        <v>1671</v>
      </c>
      <c r="E780" s="23">
        <v>397.22</v>
      </c>
      <c r="F780" s="23" t="s">
        <v>1672</v>
      </c>
      <c r="G780" s="14" t="s">
        <v>120</v>
      </c>
      <c r="H780" s="23" t="s">
        <v>40</v>
      </c>
      <c r="I780" s="23" t="s">
        <v>93</v>
      </c>
      <c r="J780" s="97">
        <f t="shared" si="197"/>
        <v>45770</v>
      </c>
      <c r="L780" s="19" t="str">
        <f t="shared" ref="L780:L846" si="211">IF(OR(J780="", K780=""), "", J780-K780)</f>
        <v/>
      </c>
      <c r="M780" s="5">
        <f t="shared" si="198"/>
        <v>45781</v>
      </c>
      <c r="O780" s="19" t="str">
        <f t="shared" si="199"/>
        <v/>
      </c>
      <c r="P780" s="5">
        <f t="shared" si="200"/>
        <v>45796</v>
      </c>
      <c r="R780" s="19" t="str">
        <f t="shared" si="201"/>
        <v/>
      </c>
      <c r="S780" s="5">
        <f t="shared" si="210"/>
        <v>45801</v>
      </c>
      <c r="T780" s="4">
        <v>45782</v>
      </c>
      <c r="U780" s="19">
        <f t="shared" si="202"/>
        <v>19</v>
      </c>
      <c r="V780" s="5">
        <f t="shared" si="203"/>
        <v>45840</v>
      </c>
      <c r="W780" s="6">
        <v>45840</v>
      </c>
      <c r="X780" s="19">
        <f t="shared" si="204"/>
        <v>0</v>
      </c>
      <c r="Y780" s="51">
        <f t="shared" si="196"/>
        <v>45868</v>
      </c>
      <c r="Z780" s="4">
        <v>45868</v>
      </c>
      <c r="AA780" s="49">
        <f t="shared" si="205"/>
        <v>0</v>
      </c>
      <c r="AB780" s="51">
        <f t="shared" si="206"/>
        <v>45870</v>
      </c>
      <c r="AC780" s="49">
        <f t="shared" si="207"/>
        <v>2</v>
      </c>
      <c r="AD780" s="43">
        <f t="shared" si="208"/>
        <v>45870</v>
      </c>
      <c r="AF780" s="19" t="str">
        <f t="shared" si="195"/>
        <v/>
      </c>
      <c r="AG780" s="10"/>
      <c r="AH780" s="1"/>
      <c r="AI780" s="1"/>
      <c r="AJ780" s="1"/>
      <c r="AK780" s="1"/>
      <c r="AL780" s="1"/>
    </row>
    <row r="781" spans="1:38" ht="14.45">
      <c r="A781" s="156">
        <v>780</v>
      </c>
      <c r="B781" s="59">
        <v>45870</v>
      </c>
      <c r="C781" s="34" t="s">
        <v>1673</v>
      </c>
      <c r="D781" s="23" t="s">
        <v>542</v>
      </c>
      <c r="E781" s="23">
        <v>5967</v>
      </c>
      <c r="F781" s="23" t="s">
        <v>1674</v>
      </c>
      <c r="G781" s="14" t="s">
        <v>51</v>
      </c>
      <c r="H781" s="23" t="s">
        <v>40</v>
      </c>
      <c r="I781" s="23" t="s">
        <v>252</v>
      </c>
      <c r="J781" s="97">
        <f t="shared" si="197"/>
        <v>45770</v>
      </c>
      <c r="L781" s="19" t="str">
        <f t="shared" si="211"/>
        <v/>
      </c>
      <c r="M781" s="5">
        <f t="shared" si="198"/>
        <v>45781</v>
      </c>
      <c r="O781" s="19" t="str">
        <f t="shared" si="199"/>
        <v/>
      </c>
      <c r="P781" s="5">
        <f t="shared" si="200"/>
        <v>45796</v>
      </c>
      <c r="R781" s="19" t="str">
        <f t="shared" si="201"/>
        <v/>
      </c>
      <c r="S781" s="5">
        <f t="shared" si="210"/>
        <v>45801</v>
      </c>
      <c r="T781" s="4">
        <v>45811</v>
      </c>
      <c r="U781" s="19">
        <f t="shared" si="202"/>
        <v>-10</v>
      </c>
      <c r="V781" s="5">
        <f t="shared" si="203"/>
        <v>45840</v>
      </c>
      <c r="W781" s="6">
        <v>45855</v>
      </c>
      <c r="X781" s="19">
        <f t="shared" si="204"/>
        <v>-15</v>
      </c>
      <c r="Y781" s="51">
        <f t="shared" si="196"/>
        <v>45868</v>
      </c>
      <c r="Z781" s="4">
        <v>45868</v>
      </c>
      <c r="AA781" s="49">
        <f>IF(OR(Y781="", Z781=""), "", Y781-Z781)</f>
        <v>0</v>
      </c>
      <c r="AB781" s="51">
        <f t="shared" si="206"/>
        <v>45870</v>
      </c>
      <c r="AC781" s="49">
        <f t="shared" si="207"/>
        <v>2</v>
      </c>
      <c r="AD781" s="43">
        <f t="shared" si="208"/>
        <v>45870</v>
      </c>
      <c r="AE781" s="4">
        <v>45868</v>
      </c>
      <c r="AF781" s="19">
        <f t="shared" si="195"/>
        <v>2</v>
      </c>
      <c r="AG781" s="10"/>
      <c r="AH781" s="1"/>
      <c r="AI781" s="1"/>
      <c r="AJ781" s="1"/>
      <c r="AK781" s="1"/>
      <c r="AL781" s="1"/>
    </row>
    <row r="782" spans="1:38" ht="14.45">
      <c r="A782" s="156">
        <v>781</v>
      </c>
      <c r="B782" s="59">
        <v>45870</v>
      </c>
      <c r="C782" s="34" t="s">
        <v>1675</v>
      </c>
      <c r="D782" s="23" t="s">
        <v>38</v>
      </c>
      <c r="E782" s="23">
        <v>409.72</v>
      </c>
      <c r="F782" s="23" t="s">
        <v>1676</v>
      </c>
      <c r="G782" s="14" t="s">
        <v>190</v>
      </c>
      <c r="H782" s="23" t="s">
        <v>40</v>
      </c>
      <c r="I782" s="23" t="s">
        <v>41</v>
      </c>
      <c r="J782" s="97">
        <f t="shared" si="197"/>
        <v>45770</v>
      </c>
      <c r="K782" s="4">
        <v>45842</v>
      </c>
      <c r="L782" s="19">
        <f t="shared" si="211"/>
        <v>-72</v>
      </c>
      <c r="M782" s="5">
        <f t="shared" si="198"/>
        <v>45781</v>
      </c>
      <c r="N782" s="4">
        <v>45862</v>
      </c>
      <c r="O782" s="19">
        <f t="shared" si="199"/>
        <v>-81</v>
      </c>
      <c r="P782" s="5">
        <f t="shared" si="200"/>
        <v>45796</v>
      </c>
      <c r="Q782" s="4">
        <v>45870</v>
      </c>
      <c r="R782" s="19">
        <f t="shared" si="201"/>
        <v>-74</v>
      </c>
      <c r="S782" s="5">
        <f t="shared" si="210"/>
        <v>45801</v>
      </c>
      <c r="T782" s="4">
        <v>45870</v>
      </c>
      <c r="U782" s="19">
        <f t="shared" si="202"/>
        <v>-69</v>
      </c>
      <c r="V782" s="5">
        <f t="shared" si="203"/>
        <v>45840</v>
      </c>
      <c r="W782" s="6">
        <v>45870</v>
      </c>
      <c r="X782" s="19">
        <f t="shared" si="204"/>
        <v>-30</v>
      </c>
      <c r="Y782" s="51">
        <f t="shared" si="196"/>
        <v>45868</v>
      </c>
      <c r="Z782" s="51">
        <v>45870</v>
      </c>
      <c r="AA782" s="49">
        <f t="shared" si="205"/>
        <v>-2</v>
      </c>
      <c r="AB782" s="51">
        <f t="shared" si="206"/>
        <v>45870</v>
      </c>
      <c r="AC782" s="49">
        <f t="shared" si="207"/>
        <v>0</v>
      </c>
      <c r="AD782" s="43">
        <f t="shared" si="208"/>
        <v>45870</v>
      </c>
      <c r="AE782" s="4">
        <v>45891</v>
      </c>
      <c r="AF782" s="19">
        <f t="shared" si="195"/>
        <v>-21</v>
      </c>
      <c r="AG782" s="10"/>
      <c r="AH782" s="1"/>
      <c r="AI782" s="1"/>
      <c r="AJ782" s="1"/>
      <c r="AK782" s="1"/>
      <c r="AL782" s="1"/>
    </row>
    <row r="783" spans="1:38" ht="14.45">
      <c r="A783" s="156">
        <v>782</v>
      </c>
      <c r="B783" s="59">
        <v>45870</v>
      </c>
      <c r="C783" s="34" t="s">
        <v>1677</v>
      </c>
      <c r="D783" s="23" t="s">
        <v>38</v>
      </c>
      <c r="E783" s="23">
        <v>118.36</v>
      </c>
      <c r="F783" s="23" t="s">
        <v>1678</v>
      </c>
      <c r="G783" s="14" t="s">
        <v>190</v>
      </c>
      <c r="H783" s="23" t="s">
        <v>40</v>
      </c>
      <c r="I783" s="23" t="s">
        <v>41</v>
      </c>
      <c r="J783" s="97">
        <f t="shared" si="197"/>
        <v>45770</v>
      </c>
      <c r="K783" s="4">
        <v>45842</v>
      </c>
      <c r="L783" s="19">
        <f t="shared" si="211"/>
        <v>-72</v>
      </c>
      <c r="M783" s="5">
        <f t="shared" si="198"/>
        <v>45781</v>
      </c>
      <c r="N783" s="4">
        <v>45862</v>
      </c>
      <c r="O783" s="19">
        <f t="shared" si="199"/>
        <v>-81</v>
      </c>
      <c r="P783" s="5">
        <f t="shared" si="200"/>
        <v>45796</v>
      </c>
      <c r="Q783" s="4">
        <v>45870</v>
      </c>
      <c r="R783" s="19">
        <f t="shared" si="201"/>
        <v>-74</v>
      </c>
      <c r="S783" s="5">
        <f t="shared" si="210"/>
        <v>45801</v>
      </c>
      <c r="T783" s="4">
        <v>45870</v>
      </c>
      <c r="U783" s="19">
        <f t="shared" si="202"/>
        <v>-69</v>
      </c>
      <c r="V783" s="5">
        <f t="shared" si="203"/>
        <v>45840</v>
      </c>
      <c r="W783" s="6">
        <v>45870</v>
      </c>
      <c r="X783" s="19">
        <f t="shared" si="204"/>
        <v>-30</v>
      </c>
      <c r="Y783" s="51">
        <f t="shared" si="196"/>
        <v>45868</v>
      </c>
      <c r="Z783" s="51">
        <v>45870</v>
      </c>
      <c r="AA783" s="49">
        <f t="shared" si="205"/>
        <v>-2</v>
      </c>
      <c r="AB783" s="51">
        <f t="shared" si="206"/>
        <v>45870</v>
      </c>
      <c r="AC783" s="49">
        <f t="shared" si="207"/>
        <v>0</v>
      </c>
      <c r="AD783" s="43">
        <f t="shared" si="208"/>
        <v>45870</v>
      </c>
      <c r="AE783" s="4">
        <v>45891</v>
      </c>
      <c r="AF783" s="19">
        <f t="shared" si="195"/>
        <v>-21</v>
      </c>
      <c r="AG783" s="10"/>
      <c r="AH783" s="1"/>
      <c r="AI783" s="1"/>
      <c r="AJ783" s="1"/>
      <c r="AK783" s="1"/>
      <c r="AL783" s="1"/>
    </row>
    <row r="784" spans="1:38" ht="14.45">
      <c r="A784" s="156">
        <v>783</v>
      </c>
      <c r="B784" s="60">
        <v>45870</v>
      </c>
      <c r="C784" s="41" t="s">
        <v>1679</v>
      </c>
      <c r="D784" s="24" t="s">
        <v>38</v>
      </c>
      <c r="E784" s="24">
        <v>223.19</v>
      </c>
      <c r="F784" s="24" t="s">
        <v>1680</v>
      </c>
      <c r="G784" s="14" t="s">
        <v>190</v>
      </c>
      <c r="H784" s="24" t="s">
        <v>40</v>
      </c>
      <c r="I784" s="24" t="s">
        <v>41</v>
      </c>
      <c r="J784" s="98">
        <f t="shared" si="197"/>
        <v>45770</v>
      </c>
      <c r="K784" s="7">
        <v>45842</v>
      </c>
      <c r="L784" s="99">
        <f t="shared" si="211"/>
        <v>-72</v>
      </c>
      <c r="M784" s="20">
        <f t="shared" si="198"/>
        <v>45781</v>
      </c>
      <c r="N784" s="7">
        <v>45862</v>
      </c>
      <c r="O784" s="99">
        <f t="shared" si="199"/>
        <v>-81</v>
      </c>
      <c r="P784" s="20">
        <f t="shared" si="200"/>
        <v>45796</v>
      </c>
      <c r="Q784" s="4">
        <v>45870</v>
      </c>
      <c r="R784" s="99">
        <f t="shared" si="201"/>
        <v>-74</v>
      </c>
      <c r="S784" s="20">
        <f t="shared" si="210"/>
        <v>45801</v>
      </c>
      <c r="T784" s="7"/>
      <c r="U784" s="99" t="str">
        <f t="shared" si="202"/>
        <v/>
      </c>
      <c r="V784" s="20">
        <f t="shared" si="203"/>
        <v>45840</v>
      </c>
      <c r="W784" s="47"/>
      <c r="X784" s="99" t="str">
        <f t="shared" si="204"/>
        <v/>
      </c>
      <c r="Y784" s="66">
        <f t="shared" si="196"/>
        <v>45868</v>
      </c>
      <c r="Z784" s="66"/>
      <c r="AA784" s="50" t="str">
        <f t="shared" si="205"/>
        <v/>
      </c>
      <c r="AB784" s="51">
        <f t="shared" si="206"/>
        <v>45870</v>
      </c>
      <c r="AC784" s="49" t="str">
        <f t="shared" si="207"/>
        <v/>
      </c>
      <c r="AD784" s="100">
        <f t="shared" si="208"/>
        <v>45870</v>
      </c>
      <c r="AE784" s="7">
        <v>45873</v>
      </c>
      <c r="AF784" s="99">
        <f t="shared" si="195"/>
        <v>-3</v>
      </c>
      <c r="AG784" s="36" t="s">
        <v>367</v>
      </c>
      <c r="AH784" s="1"/>
      <c r="AI784" s="1"/>
      <c r="AJ784" s="1"/>
      <c r="AK784" s="1"/>
      <c r="AL784" s="1"/>
    </row>
    <row r="785" spans="1:38" ht="14.45">
      <c r="A785" s="156">
        <v>784</v>
      </c>
      <c r="B785" s="59">
        <v>45870</v>
      </c>
      <c r="C785" s="34" t="s">
        <v>1681</v>
      </c>
      <c r="D785" s="23" t="s">
        <v>1682</v>
      </c>
      <c r="E785" s="23">
        <v>5500</v>
      </c>
      <c r="F785" s="23" t="s">
        <v>1683</v>
      </c>
      <c r="G785" s="14" t="s">
        <v>128</v>
      </c>
      <c r="H785" s="23" t="s">
        <v>40</v>
      </c>
      <c r="I785" s="23" t="s">
        <v>62</v>
      </c>
      <c r="J785" s="97">
        <f t="shared" si="197"/>
        <v>45770</v>
      </c>
      <c r="K785" s="4">
        <v>45805</v>
      </c>
      <c r="L785" s="19">
        <f t="shared" si="211"/>
        <v>-35</v>
      </c>
      <c r="M785" s="5">
        <f t="shared" si="198"/>
        <v>45781</v>
      </c>
      <c r="O785" s="19" t="str">
        <f t="shared" si="199"/>
        <v/>
      </c>
      <c r="P785" s="5">
        <f t="shared" si="200"/>
        <v>45796</v>
      </c>
      <c r="R785" s="19" t="str">
        <f t="shared" si="201"/>
        <v/>
      </c>
      <c r="S785" s="5">
        <f t="shared" si="210"/>
        <v>45801</v>
      </c>
      <c r="T785" s="4">
        <v>45813</v>
      </c>
      <c r="U785" s="19">
        <f t="shared" si="202"/>
        <v>-12</v>
      </c>
      <c r="V785" s="5">
        <f t="shared" si="203"/>
        <v>45840</v>
      </c>
      <c r="W785" s="6">
        <v>45848</v>
      </c>
      <c r="X785" s="19">
        <f t="shared" si="204"/>
        <v>-8</v>
      </c>
      <c r="Y785" s="51">
        <f t="shared" si="196"/>
        <v>45868</v>
      </c>
      <c r="Z785" s="4">
        <v>45870</v>
      </c>
      <c r="AA785" s="49">
        <f t="shared" si="205"/>
        <v>-2</v>
      </c>
      <c r="AB785" s="51">
        <f t="shared" si="206"/>
        <v>45870</v>
      </c>
      <c r="AC785" s="49">
        <f t="shared" si="207"/>
        <v>0</v>
      </c>
      <c r="AD785" s="43">
        <f t="shared" si="208"/>
        <v>45870</v>
      </c>
      <c r="AE785" s="4">
        <v>45870</v>
      </c>
      <c r="AF785" s="19">
        <f t="shared" si="195"/>
        <v>0</v>
      </c>
      <c r="AG785" s="10" t="s">
        <v>1684</v>
      </c>
      <c r="AH785" s="1"/>
      <c r="AI785" s="1"/>
      <c r="AJ785" s="1"/>
      <c r="AK785" s="1"/>
      <c r="AL785" s="1"/>
    </row>
    <row r="786" spans="1:38" ht="14.45">
      <c r="A786" s="156">
        <v>785</v>
      </c>
      <c r="B786" s="59">
        <v>45873</v>
      </c>
      <c r="C786" s="34" t="s">
        <v>1685</v>
      </c>
      <c r="D786" s="23" t="s">
        <v>1686</v>
      </c>
      <c r="E786" s="23">
        <v>16550</v>
      </c>
      <c r="F786" s="23" t="s">
        <v>1687</v>
      </c>
      <c r="G786" s="14" t="s">
        <v>46</v>
      </c>
      <c r="H786" s="23" t="s">
        <v>36</v>
      </c>
      <c r="I786" s="23" t="s">
        <v>323</v>
      </c>
      <c r="J786" s="97">
        <f t="shared" si="197"/>
        <v>45773</v>
      </c>
      <c r="K786" s="4">
        <v>45791</v>
      </c>
      <c r="L786" s="19">
        <f t="shared" si="211"/>
        <v>-18</v>
      </c>
      <c r="M786" s="5">
        <f t="shared" si="198"/>
        <v>45784</v>
      </c>
      <c r="O786" s="19" t="str">
        <f t="shared" si="199"/>
        <v/>
      </c>
      <c r="P786" s="5">
        <f t="shared" si="200"/>
        <v>45799</v>
      </c>
      <c r="R786" s="19" t="str">
        <f t="shared" si="201"/>
        <v/>
      </c>
      <c r="S786" s="5">
        <f t="shared" si="210"/>
        <v>45804</v>
      </c>
      <c r="T786" s="4">
        <v>45834</v>
      </c>
      <c r="U786" s="19">
        <f t="shared" si="202"/>
        <v>-30</v>
      </c>
      <c r="V786" s="5">
        <f t="shared" si="203"/>
        <v>45843</v>
      </c>
      <c r="W786" s="6">
        <v>45845</v>
      </c>
      <c r="X786" s="19">
        <f t="shared" si="204"/>
        <v>-2</v>
      </c>
      <c r="Y786" s="51">
        <f t="shared" si="196"/>
        <v>45871</v>
      </c>
      <c r="Z786" s="4">
        <v>45848</v>
      </c>
      <c r="AA786" s="49">
        <f t="shared" si="205"/>
        <v>23</v>
      </c>
      <c r="AB786" s="51">
        <f t="shared" si="206"/>
        <v>45873</v>
      </c>
      <c r="AC786" s="49">
        <f t="shared" si="207"/>
        <v>25</v>
      </c>
      <c r="AD786" s="43">
        <f t="shared" si="208"/>
        <v>45873</v>
      </c>
      <c r="AE786" s="4">
        <v>45863</v>
      </c>
      <c r="AF786" s="19">
        <f t="shared" si="195"/>
        <v>10</v>
      </c>
      <c r="AG786" s="10"/>
      <c r="AH786" s="1"/>
      <c r="AI786" s="1"/>
      <c r="AJ786" s="1"/>
      <c r="AK786" s="1"/>
      <c r="AL786" s="1"/>
    </row>
    <row r="787" spans="1:38" ht="14.45">
      <c r="A787" s="156">
        <v>786</v>
      </c>
      <c r="B787" s="59">
        <v>45870</v>
      </c>
      <c r="C787" s="39" t="s">
        <v>1688</v>
      </c>
      <c r="D787" s="23" t="s">
        <v>38</v>
      </c>
      <c r="E787" s="44">
        <v>682.82</v>
      </c>
      <c r="F787" s="35" t="s">
        <v>42</v>
      </c>
      <c r="G787" s="23" t="s">
        <v>190</v>
      </c>
      <c r="H787" s="23" t="s">
        <v>40</v>
      </c>
      <c r="I787" s="23" t="s">
        <v>41</v>
      </c>
      <c r="J787" s="97">
        <f t="shared" si="197"/>
        <v>45770</v>
      </c>
      <c r="K787" s="4">
        <v>45842</v>
      </c>
      <c r="L787" s="19">
        <f t="shared" ref="L787:L788" si="212">IF(OR(J787="", K787=""), "", J787-K787)</f>
        <v>-72</v>
      </c>
      <c r="M787" s="5">
        <f t="shared" si="198"/>
        <v>45781</v>
      </c>
      <c r="N787" s="4">
        <v>45862</v>
      </c>
      <c r="O787" s="19">
        <f t="shared" ref="O787:O788" si="213">IF(OR(M787="", N787=""), "", M787-N787)</f>
        <v>-81</v>
      </c>
      <c r="P787" s="5">
        <f t="shared" si="200"/>
        <v>45796</v>
      </c>
      <c r="Q787" s="4">
        <v>45870</v>
      </c>
      <c r="R787" s="19">
        <f t="shared" ref="R787:R788" si="214">IF(OR(P787="", Q787=""), "", P787-Q787)</f>
        <v>-74</v>
      </c>
      <c r="S787" s="5">
        <f t="shared" si="210"/>
        <v>45801</v>
      </c>
      <c r="T787" s="4">
        <v>45870</v>
      </c>
      <c r="U787" s="19">
        <f t="shared" ref="U787:U788" si="215">IF(OR(S787="", T787=""), "", S787-T787)</f>
        <v>-69</v>
      </c>
      <c r="V787" s="5">
        <f t="shared" si="203"/>
        <v>45840</v>
      </c>
      <c r="W787" s="6">
        <v>45870</v>
      </c>
      <c r="X787" s="19">
        <f t="shared" ref="X787:X788" si="216">IF(OR(V787="", W787=""), "", V787-W787)</f>
        <v>-30</v>
      </c>
      <c r="Y787" s="51">
        <f t="shared" si="196"/>
        <v>45868</v>
      </c>
      <c r="Z787" s="51">
        <v>45870</v>
      </c>
      <c r="AA787" s="49">
        <f t="shared" ref="AA787:AA788" si="217">IF(OR(Y787="", Z787=""), "", Y787-Z787)</f>
        <v>-2</v>
      </c>
      <c r="AB787" s="51">
        <f t="shared" si="206"/>
        <v>45870</v>
      </c>
      <c r="AC787" s="49">
        <f t="shared" si="207"/>
        <v>0</v>
      </c>
      <c r="AD787" s="43">
        <f t="shared" si="208"/>
        <v>45870</v>
      </c>
      <c r="AE787" s="4">
        <v>45891</v>
      </c>
      <c r="AF787" s="19">
        <f t="shared" si="195"/>
        <v>-21</v>
      </c>
      <c r="AG787" s="10"/>
      <c r="AH787" s="1"/>
      <c r="AI787" s="1"/>
      <c r="AJ787" s="1"/>
      <c r="AK787" s="1"/>
      <c r="AL787" s="1"/>
    </row>
    <row r="788" spans="1:38" ht="14.45">
      <c r="A788" s="156">
        <v>787</v>
      </c>
      <c r="B788" s="59">
        <v>45870</v>
      </c>
      <c r="C788" s="39" t="s">
        <v>1689</v>
      </c>
      <c r="D788" s="23" t="s">
        <v>38</v>
      </c>
      <c r="E788" s="44">
        <v>987.22</v>
      </c>
      <c r="F788" s="35" t="s">
        <v>39</v>
      </c>
      <c r="G788" s="23" t="s">
        <v>190</v>
      </c>
      <c r="H788" s="23" t="s">
        <v>40</v>
      </c>
      <c r="I788" s="23" t="s">
        <v>41</v>
      </c>
      <c r="J788" s="97">
        <f t="shared" si="197"/>
        <v>45770</v>
      </c>
      <c r="K788" s="4">
        <v>45842</v>
      </c>
      <c r="L788" s="19">
        <f t="shared" si="212"/>
        <v>-72</v>
      </c>
      <c r="M788" s="5">
        <f t="shared" si="198"/>
        <v>45781</v>
      </c>
      <c r="N788" s="4">
        <v>45862</v>
      </c>
      <c r="O788" s="19">
        <f t="shared" si="213"/>
        <v>-81</v>
      </c>
      <c r="P788" s="5">
        <f t="shared" si="200"/>
        <v>45796</v>
      </c>
      <c r="Q788" s="4">
        <v>45870</v>
      </c>
      <c r="R788" s="19">
        <f t="shared" si="214"/>
        <v>-74</v>
      </c>
      <c r="S788" s="5">
        <f t="shared" si="210"/>
        <v>45801</v>
      </c>
      <c r="T788" s="4">
        <v>45870</v>
      </c>
      <c r="U788" s="19">
        <f t="shared" si="215"/>
        <v>-69</v>
      </c>
      <c r="V788" s="5">
        <f t="shared" si="203"/>
        <v>45840</v>
      </c>
      <c r="W788" s="6">
        <v>45870</v>
      </c>
      <c r="X788" s="19">
        <f t="shared" si="216"/>
        <v>-30</v>
      </c>
      <c r="Y788" s="51">
        <f t="shared" si="196"/>
        <v>45868</v>
      </c>
      <c r="Z788" s="51">
        <v>45870</v>
      </c>
      <c r="AA788" s="49">
        <f t="shared" si="217"/>
        <v>-2</v>
      </c>
      <c r="AB788" s="51">
        <f t="shared" si="206"/>
        <v>45870</v>
      </c>
      <c r="AC788" s="49">
        <f t="shared" si="207"/>
        <v>0</v>
      </c>
      <c r="AD788" s="43">
        <f t="shared" si="208"/>
        <v>45870</v>
      </c>
      <c r="AE788" s="4">
        <v>45891</v>
      </c>
      <c r="AF788" s="19">
        <f t="shared" si="195"/>
        <v>-21</v>
      </c>
      <c r="AG788" s="10"/>
      <c r="AH788" s="1"/>
      <c r="AI788" s="1"/>
      <c r="AJ788" s="1"/>
      <c r="AK788" s="1"/>
      <c r="AL788" s="1"/>
    </row>
    <row r="789" spans="1:38" ht="14.45">
      <c r="A789" s="156">
        <v>788</v>
      </c>
      <c r="B789" s="59">
        <v>45873</v>
      </c>
      <c r="C789" s="34" t="s">
        <v>1690</v>
      </c>
      <c r="D789" s="23" t="s">
        <v>38</v>
      </c>
      <c r="E789" s="23">
        <v>11642.09</v>
      </c>
      <c r="F789" s="23" t="s">
        <v>1691</v>
      </c>
      <c r="G789" s="14" t="s">
        <v>190</v>
      </c>
      <c r="H789" s="23" t="s">
        <v>40</v>
      </c>
      <c r="I789" s="23" t="s">
        <v>41</v>
      </c>
      <c r="J789" s="97">
        <f t="shared" si="197"/>
        <v>45773</v>
      </c>
      <c r="K789" s="4">
        <v>45842</v>
      </c>
      <c r="L789" s="19">
        <f t="shared" si="211"/>
        <v>-69</v>
      </c>
      <c r="M789" s="5">
        <f t="shared" si="198"/>
        <v>45784</v>
      </c>
      <c r="N789" s="4">
        <v>45862</v>
      </c>
      <c r="O789" s="19">
        <f t="shared" si="199"/>
        <v>-78</v>
      </c>
      <c r="P789" s="5">
        <f t="shared" si="200"/>
        <v>45799</v>
      </c>
      <c r="Q789" s="4">
        <v>45870</v>
      </c>
      <c r="R789" s="19">
        <f t="shared" si="201"/>
        <v>-71</v>
      </c>
      <c r="S789" s="5">
        <f t="shared" si="210"/>
        <v>45804</v>
      </c>
      <c r="T789" s="4">
        <v>45870</v>
      </c>
      <c r="U789" s="19">
        <f t="shared" si="202"/>
        <v>-66</v>
      </c>
      <c r="V789" s="5">
        <f t="shared" si="203"/>
        <v>45843</v>
      </c>
      <c r="W789" s="6">
        <v>45870</v>
      </c>
      <c r="X789" s="19">
        <f t="shared" si="204"/>
        <v>-27</v>
      </c>
      <c r="Y789" s="51">
        <f t="shared" si="196"/>
        <v>45871</v>
      </c>
      <c r="Z789" s="51">
        <v>45870</v>
      </c>
      <c r="AA789" s="49">
        <f t="shared" si="205"/>
        <v>1</v>
      </c>
      <c r="AB789" s="51">
        <f t="shared" si="206"/>
        <v>45873</v>
      </c>
      <c r="AC789" s="49">
        <f t="shared" si="207"/>
        <v>3</v>
      </c>
      <c r="AD789" s="43">
        <f t="shared" si="208"/>
        <v>45873</v>
      </c>
      <c r="AE789" s="4">
        <v>45891</v>
      </c>
      <c r="AF789" s="19">
        <f t="shared" si="195"/>
        <v>-18</v>
      </c>
      <c r="AG789" s="10"/>
      <c r="AH789" s="1"/>
      <c r="AI789" s="1"/>
      <c r="AJ789" s="1"/>
      <c r="AK789" s="1"/>
      <c r="AL789" s="1"/>
    </row>
    <row r="790" spans="1:38" ht="14.45">
      <c r="A790" s="156">
        <v>789</v>
      </c>
      <c r="B790" s="59">
        <v>45873</v>
      </c>
      <c r="C790" s="34" t="s">
        <v>1692</v>
      </c>
      <c r="D790" s="23" t="s">
        <v>1693</v>
      </c>
      <c r="E790" s="23">
        <v>13173.16</v>
      </c>
      <c r="F790" s="23" t="s">
        <v>1694</v>
      </c>
      <c r="G790" s="14" t="s">
        <v>128</v>
      </c>
      <c r="H790" s="23" t="s">
        <v>40</v>
      </c>
      <c r="I790" s="23" t="s">
        <v>93</v>
      </c>
      <c r="J790" s="97">
        <f t="shared" si="197"/>
        <v>45773</v>
      </c>
      <c r="K790" s="4">
        <v>45805</v>
      </c>
      <c r="L790" s="19">
        <f t="shared" si="211"/>
        <v>-32</v>
      </c>
      <c r="M790" s="5">
        <f t="shared" si="198"/>
        <v>45784</v>
      </c>
      <c r="O790" s="19" t="str">
        <f t="shared" si="199"/>
        <v/>
      </c>
      <c r="P790" s="5">
        <f t="shared" si="200"/>
        <v>45799</v>
      </c>
      <c r="R790" s="19" t="str">
        <f t="shared" si="201"/>
        <v/>
      </c>
      <c r="S790" s="5">
        <f t="shared" si="210"/>
        <v>45804</v>
      </c>
      <c r="T790" s="4">
        <v>45819</v>
      </c>
      <c r="U790" s="19">
        <f t="shared" si="202"/>
        <v>-15</v>
      </c>
      <c r="V790" s="5">
        <f t="shared" si="203"/>
        <v>45843</v>
      </c>
      <c r="W790" s="6">
        <v>45862</v>
      </c>
      <c r="X790" s="19">
        <f t="shared" si="204"/>
        <v>-19</v>
      </c>
      <c r="Y790" s="51">
        <f t="shared" si="196"/>
        <v>45871</v>
      </c>
      <c r="Z790" s="51">
        <v>45873</v>
      </c>
      <c r="AA790" s="49">
        <f t="shared" si="205"/>
        <v>-2</v>
      </c>
      <c r="AB790" s="51">
        <f t="shared" si="206"/>
        <v>45873</v>
      </c>
      <c r="AC790" s="49">
        <f t="shared" si="207"/>
        <v>0</v>
      </c>
      <c r="AD790" s="43">
        <f t="shared" si="208"/>
        <v>45873</v>
      </c>
      <c r="AE790" s="4">
        <v>45898</v>
      </c>
      <c r="AF790" s="19">
        <f t="shared" si="195"/>
        <v>-25</v>
      </c>
      <c r="AG790" s="10"/>
      <c r="AH790" s="1"/>
      <c r="AI790" s="1"/>
      <c r="AJ790" s="1"/>
      <c r="AK790" s="1"/>
      <c r="AL790" s="1"/>
    </row>
    <row r="791" spans="1:38" ht="14.45">
      <c r="A791" s="156">
        <v>790</v>
      </c>
      <c r="B791" s="59">
        <v>45874</v>
      </c>
      <c r="C791" s="34" t="s">
        <v>1695</v>
      </c>
      <c r="D791" s="23" t="s">
        <v>1696</v>
      </c>
      <c r="E791" s="23">
        <v>18950.009999999998</v>
      </c>
      <c r="F791" s="23" t="s">
        <v>1697</v>
      </c>
      <c r="G791" s="14" t="s">
        <v>51</v>
      </c>
      <c r="H791" s="23" t="s">
        <v>40</v>
      </c>
      <c r="I791" s="23" t="s">
        <v>62</v>
      </c>
      <c r="J791" s="97">
        <f t="shared" si="197"/>
        <v>45774</v>
      </c>
      <c r="L791" s="19" t="str">
        <f t="shared" si="211"/>
        <v/>
      </c>
      <c r="M791" s="5">
        <f t="shared" si="198"/>
        <v>45785</v>
      </c>
      <c r="N791" s="4">
        <v>45812</v>
      </c>
      <c r="O791" s="19">
        <f t="shared" si="199"/>
        <v>-27</v>
      </c>
      <c r="P791" s="5">
        <f t="shared" si="200"/>
        <v>45800</v>
      </c>
      <c r="Q791" s="4">
        <v>45831</v>
      </c>
      <c r="R791" s="19">
        <f t="shared" si="201"/>
        <v>-31</v>
      </c>
      <c r="S791" s="5">
        <f t="shared" si="210"/>
        <v>45805</v>
      </c>
      <c r="T791" s="4">
        <v>45840</v>
      </c>
      <c r="U791" s="19">
        <f t="shared" si="202"/>
        <v>-35</v>
      </c>
      <c r="V791" s="5">
        <f t="shared" si="203"/>
        <v>45844</v>
      </c>
      <c r="W791" s="6">
        <v>45856</v>
      </c>
      <c r="X791" s="19">
        <f t="shared" si="204"/>
        <v>-12</v>
      </c>
      <c r="Y791" s="51">
        <f t="shared" si="196"/>
        <v>45872</v>
      </c>
      <c r="Z791" s="4">
        <v>45874</v>
      </c>
      <c r="AA791" s="49">
        <f t="shared" si="205"/>
        <v>-2</v>
      </c>
      <c r="AB791" s="51">
        <f t="shared" si="206"/>
        <v>45874</v>
      </c>
      <c r="AC791" s="49">
        <f t="shared" si="207"/>
        <v>0</v>
      </c>
      <c r="AD791" s="43">
        <f t="shared" si="208"/>
        <v>45874</v>
      </c>
      <c r="AE791" s="4">
        <v>45880</v>
      </c>
      <c r="AF791" s="19">
        <f t="shared" si="195"/>
        <v>-6</v>
      </c>
      <c r="AG791" s="10"/>
      <c r="AH791" s="1"/>
      <c r="AI791" s="1"/>
      <c r="AJ791" s="1"/>
      <c r="AK791" s="1"/>
      <c r="AL791" s="1"/>
    </row>
    <row r="792" spans="1:38" ht="14.45">
      <c r="A792" s="156">
        <v>791</v>
      </c>
      <c r="B792" s="59">
        <v>45876</v>
      </c>
      <c r="C792" s="34" t="s">
        <v>1698</v>
      </c>
      <c r="D792" s="23" t="s">
        <v>38</v>
      </c>
      <c r="E792" s="23">
        <v>189.94</v>
      </c>
      <c r="F792" s="23" t="s">
        <v>1699</v>
      </c>
      <c r="G792" s="14" t="s">
        <v>190</v>
      </c>
      <c r="H792" s="23" t="s">
        <v>40</v>
      </c>
      <c r="I792" s="23" t="s">
        <v>41</v>
      </c>
      <c r="J792" s="97">
        <f t="shared" si="197"/>
        <v>45776</v>
      </c>
      <c r="K792" s="4">
        <v>45842</v>
      </c>
      <c r="L792" s="19">
        <f t="shared" si="211"/>
        <v>-66</v>
      </c>
      <c r="M792" s="5">
        <f t="shared" si="198"/>
        <v>45787</v>
      </c>
      <c r="N792" s="4">
        <v>45862</v>
      </c>
      <c r="O792" s="19">
        <f t="shared" si="199"/>
        <v>-75</v>
      </c>
      <c r="P792" s="5">
        <f t="shared" si="200"/>
        <v>45802</v>
      </c>
      <c r="Q792" s="4">
        <v>45870</v>
      </c>
      <c r="R792" s="19">
        <f t="shared" si="201"/>
        <v>-68</v>
      </c>
      <c r="S792" s="5">
        <f t="shared" si="210"/>
        <v>45807</v>
      </c>
      <c r="T792" s="4">
        <v>45873</v>
      </c>
      <c r="U792" s="19">
        <f t="shared" si="202"/>
        <v>-66</v>
      </c>
      <c r="V792" s="5">
        <f t="shared" si="203"/>
        <v>45846</v>
      </c>
      <c r="W792" s="4">
        <v>45873</v>
      </c>
      <c r="X792" s="19">
        <f t="shared" si="204"/>
        <v>-27</v>
      </c>
      <c r="Y792" s="51">
        <f t="shared" si="196"/>
        <v>45874</v>
      </c>
      <c r="Z792" s="4">
        <v>45873</v>
      </c>
      <c r="AA792" s="49">
        <f t="shared" si="205"/>
        <v>1</v>
      </c>
      <c r="AB792" s="51">
        <f t="shared" si="206"/>
        <v>45876</v>
      </c>
      <c r="AC792" s="49">
        <f t="shared" si="207"/>
        <v>3</v>
      </c>
      <c r="AD792" s="43">
        <f t="shared" si="208"/>
        <v>45876</v>
      </c>
      <c r="AE792" s="4">
        <v>45891</v>
      </c>
      <c r="AF792" s="19">
        <f t="shared" si="195"/>
        <v>-15</v>
      </c>
      <c r="AG792" s="10"/>
      <c r="AH792" s="1"/>
      <c r="AI792" s="1"/>
      <c r="AJ792" s="1"/>
      <c r="AK792" s="1"/>
      <c r="AL792" s="1"/>
    </row>
    <row r="793" spans="1:38" s="9" customFormat="1" ht="14.45">
      <c r="A793" s="156">
        <v>792</v>
      </c>
      <c r="B793" s="60">
        <v>45877</v>
      </c>
      <c r="C793" s="41" t="s">
        <v>1700</v>
      </c>
      <c r="D793" s="24" t="s">
        <v>1701</v>
      </c>
      <c r="E793" s="24">
        <v>66692</v>
      </c>
      <c r="F793" s="24" t="s">
        <v>1702</v>
      </c>
      <c r="G793" s="14" t="s">
        <v>46</v>
      </c>
      <c r="H793" s="24" t="s">
        <v>40</v>
      </c>
      <c r="I793" s="24" t="s">
        <v>323</v>
      </c>
      <c r="J793" s="98">
        <f t="shared" si="197"/>
        <v>45777</v>
      </c>
      <c r="K793" s="7">
        <v>45791</v>
      </c>
      <c r="L793" s="99">
        <f t="shared" si="211"/>
        <v>-14</v>
      </c>
      <c r="M793" s="20">
        <f t="shared" si="198"/>
        <v>45788</v>
      </c>
      <c r="N793" s="7">
        <v>45790</v>
      </c>
      <c r="O793" s="99">
        <f t="shared" si="199"/>
        <v>-2</v>
      </c>
      <c r="P793" s="20">
        <f t="shared" si="200"/>
        <v>45803</v>
      </c>
      <c r="Q793" s="7">
        <v>45790</v>
      </c>
      <c r="R793" s="99">
        <f t="shared" si="201"/>
        <v>13</v>
      </c>
      <c r="S793" s="20">
        <f t="shared" si="210"/>
        <v>45808</v>
      </c>
      <c r="T793" s="7">
        <v>45790</v>
      </c>
      <c r="U793" s="99">
        <f t="shared" si="202"/>
        <v>18</v>
      </c>
      <c r="V793" s="20">
        <f t="shared" si="203"/>
        <v>45847</v>
      </c>
      <c r="W793" s="47">
        <v>45790</v>
      </c>
      <c r="X793" s="99">
        <f t="shared" si="204"/>
        <v>57</v>
      </c>
      <c r="Y793" s="51">
        <f t="shared" si="196"/>
        <v>45875</v>
      </c>
      <c r="Z793" s="7">
        <v>45821</v>
      </c>
      <c r="AA793" s="49">
        <f t="shared" si="205"/>
        <v>54</v>
      </c>
      <c r="AB793" s="51">
        <f t="shared" si="206"/>
        <v>45877</v>
      </c>
      <c r="AC793" s="49">
        <f t="shared" si="207"/>
        <v>56</v>
      </c>
      <c r="AD793" s="100">
        <f t="shared" si="208"/>
        <v>45877</v>
      </c>
      <c r="AE793" s="7">
        <v>45821</v>
      </c>
      <c r="AF793" s="99">
        <f t="shared" si="195"/>
        <v>56</v>
      </c>
      <c r="AG793" s="36" t="s">
        <v>367</v>
      </c>
      <c r="AH793" s="48"/>
      <c r="AI793" s="48"/>
      <c r="AJ793" s="48"/>
      <c r="AK793" s="48"/>
      <c r="AL793" s="48"/>
    </row>
    <row r="794" spans="1:38" ht="14.45">
      <c r="A794" s="156">
        <v>793</v>
      </c>
      <c r="B794" s="59">
        <v>45878</v>
      </c>
      <c r="C794" s="34" t="s">
        <v>1703</v>
      </c>
      <c r="D794" s="23" t="s">
        <v>1704</v>
      </c>
      <c r="E794" s="23">
        <v>1768.38</v>
      </c>
      <c r="F794" s="23" t="s">
        <v>1705</v>
      </c>
      <c r="G794" s="23" t="s">
        <v>46</v>
      </c>
      <c r="H794" s="23" t="s">
        <v>36</v>
      </c>
      <c r="I794" s="23" t="s">
        <v>62</v>
      </c>
      <c r="J794" s="97">
        <f t="shared" si="197"/>
        <v>45778</v>
      </c>
      <c r="K794" s="4">
        <v>45791</v>
      </c>
      <c r="L794" s="19">
        <f t="shared" si="211"/>
        <v>-13</v>
      </c>
      <c r="M794" s="5">
        <f t="shared" si="198"/>
        <v>45789</v>
      </c>
      <c r="O794" s="19" t="str">
        <f t="shared" si="199"/>
        <v/>
      </c>
      <c r="P794" s="5">
        <f t="shared" si="200"/>
        <v>45804</v>
      </c>
      <c r="R794" s="19" t="str">
        <f t="shared" si="201"/>
        <v/>
      </c>
      <c r="S794" s="5">
        <f t="shared" si="210"/>
        <v>45809</v>
      </c>
      <c r="T794" s="4">
        <v>45840</v>
      </c>
      <c r="U794" s="19">
        <f t="shared" si="202"/>
        <v>-31</v>
      </c>
      <c r="V794" s="5">
        <f t="shared" si="203"/>
        <v>45848</v>
      </c>
      <c r="W794" s="6">
        <v>45846</v>
      </c>
      <c r="X794" s="19">
        <f t="shared" si="204"/>
        <v>2</v>
      </c>
      <c r="Y794" s="51">
        <f t="shared" si="196"/>
        <v>45876</v>
      </c>
      <c r="Z794" s="4">
        <v>45852</v>
      </c>
      <c r="AA794" s="49">
        <f t="shared" si="205"/>
        <v>24</v>
      </c>
      <c r="AB794" s="51">
        <f t="shared" si="206"/>
        <v>45878</v>
      </c>
      <c r="AC794" s="49">
        <f t="shared" si="207"/>
        <v>26</v>
      </c>
      <c r="AD794" s="43">
        <f t="shared" si="208"/>
        <v>45878</v>
      </c>
      <c r="AE794" s="4">
        <v>45852</v>
      </c>
      <c r="AF794" s="19">
        <f t="shared" si="195"/>
        <v>26</v>
      </c>
      <c r="AG794" s="10"/>
      <c r="AH794" s="1"/>
      <c r="AI794" s="1"/>
      <c r="AJ794" s="1"/>
      <c r="AK794" s="1"/>
      <c r="AL794" s="1"/>
    </row>
    <row r="795" spans="1:38" ht="14.45">
      <c r="A795" s="156">
        <v>794</v>
      </c>
      <c r="B795" s="59">
        <v>45878</v>
      </c>
      <c r="C795" s="34" t="s">
        <v>1706</v>
      </c>
      <c r="D795" s="23" t="s">
        <v>1707</v>
      </c>
      <c r="E795" s="23">
        <v>1538.83</v>
      </c>
      <c r="F795" s="23" t="s">
        <v>1708</v>
      </c>
      <c r="G795" s="14" t="s">
        <v>120</v>
      </c>
      <c r="H795" s="23" t="s">
        <v>40</v>
      </c>
      <c r="I795" s="23" t="s">
        <v>93</v>
      </c>
      <c r="J795" s="97">
        <f t="shared" si="197"/>
        <v>45778</v>
      </c>
      <c r="L795" s="19" t="str">
        <f t="shared" si="211"/>
        <v/>
      </c>
      <c r="M795" s="5">
        <f t="shared" si="198"/>
        <v>45789</v>
      </c>
      <c r="O795" s="19" t="str">
        <f t="shared" si="199"/>
        <v/>
      </c>
      <c r="P795" s="5">
        <f t="shared" si="200"/>
        <v>45804</v>
      </c>
      <c r="R795" s="19" t="str">
        <f t="shared" si="201"/>
        <v/>
      </c>
      <c r="S795" s="5">
        <f t="shared" si="210"/>
        <v>45809</v>
      </c>
      <c r="T795" s="4">
        <v>45782</v>
      </c>
      <c r="U795" s="19">
        <f t="shared" si="202"/>
        <v>27</v>
      </c>
      <c r="V795" s="5">
        <f t="shared" si="203"/>
        <v>45848</v>
      </c>
      <c r="W795" s="6">
        <v>45846</v>
      </c>
      <c r="X795" s="19">
        <f t="shared" si="204"/>
        <v>2</v>
      </c>
      <c r="Y795" s="51">
        <f t="shared" si="196"/>
        <v>45876</v>
      </c>
      <c r="Z795" s="6">
        <v>45876</v>
      </c>
      <c r="AA795" s="49">
        <f t="shared" si="205"/>
        <v>0</v>
      </c>
      <c r="AB795" s="51">
        <f t="shared" si="206"/>
        <v>45878</v>
      </c>
      <c r="AC795" s="49">
        <f t="shared" si="207"/>
        <v>2</v>
      </c>
      <c r="AD795" s="43">
        <f t="shared" si="208"/>
        <v>45878</v>
      </c>
      <c r="AF795" s="19" t="str">
        <f t="shared" si="195"/>
        <v/>
      </c>
      <c r="AG795" s="10"/>
      <c r="AH795" s="1"/>
      <c r="AI795" s="1"/>
      <c r="AJ795" s="1"/>
      <c r="AK795" s="1"/>
      <c r="AL795" s="1"/>
    </row>
    <row r="796" spans="1:38" ht="14.45">
      <c r="A796" s="156">
        <v>795</v>
      </c>
      <c r="B796" s="59">
        <v>45878</v>
      </c>
      <c r="C796" s="34" t="s">
        <v>1709</v>
      </c>
      <c r="D796" s="23" t="s">
        <v>1710</v>
      </c>
      <c r="E796" s="23">
        <v>4050.1</v>
      </c>
      <c r="F796" s="23" t="s">
        <v>1711</v>
      </c>
      <c r="G796" s="14" t="s">
        <v>128</v>
      </c>
      <c r="H796" s="23" t="s">
        <v>40</v>
      </c>
      <c r="I796" s="23" t="s">
        <v>93</v>
      </c>
      <c r="J796" s="97">
        <f t="shared" si="197"/>
        <v>45778</v>
      </c>
      <c r="K796" s="4">
        <v>45805</v>
      </c>
      <c r="L796" s="19">
        <f t="shared" si="211"/>
        <v>-27</v>
      </c>
      <c r="M796" s="5">
        <f t="shared" si="198"/>
        <v>45789</v>
      </c>
      <c r="O796" s="19" t="str">
        <f t="shared" si="199"/>
        <v/>
      </c>
      <c r="P796" s="5">
        <f t="shared" si="200"/>
        <v>45804</v>
      </c>
      <c r="R796" s="19" t="str">
        <f t="shared" si="201"/>
        <v/>
      </c>
      <c r="S796" s="5">
        <f t="shared" si="210"/>
        <v>45809</v>
      </c>
      <c r="T796" s="4">
        <v>45840</v>
      </c>
      <c r="U796" s="19">
        <f t="shared" si="202"/>
        <v>-31</v>
      </c>
      <c r="V796" s="5">
        <f t="shared" si="203"/>
        <v>45848</v>
      </c>
      <c r="W796" s="6">
        <v>45873</v>
      </c>
      <c r="X796" s="19">
        <f t="shared" si="204"/>
        <v>-25</v>
      </c>
      <c r="Y796" s="51">
        <f t="shared" si="196"/>
        <v>45876</v>
      </c>
      <c r="Z796" s="51">
        <v>45877</v>
      </c>
      <c r="AA796" s="49">
        <f t="shared" si="205"/>
        <v>-1</v>
      </c>
      <c r="AB796" s="51">
        <f t="shared" si="206"/>
        <v>45878</v>
      </c>
      <c r="AC796" s="49">
        <f t="shared" si="207"/>
        <v>1</v>
      </c>
      <c r="AD796" s="43">
        <f t="shared" si="208"/>
        <v>45878</v>
      </c>
      <c r="AE796" s="4">
        <v>45903</v>
      </c>
      <c r="AF796" s="19">
        <f t="shared" si="195"/>
        <v>-25</v>
      </c>
      <c r="AG796" s="10"/>
      <c r="AH796" s="1"/>
      <c r="AI796" s="1"/>
      <c r="AJ796" s="1"/>
      <c r="AK796" s="1"/>
      <c r="AL796" s="1"/>
    </row>
    <row r="797" spans="1:38" ht="14.45">
      <c r="A797" s="156">
        <v>796</v>
      </c>
      <c r="B797" s="59">
        <v>45879</v>
      </c>
      <c r="C797" s="34" t="s">
        <v>1712</v>
      </c>
      <c r="D797" s="23" t="s">
        <v>207</v>
      </c>
      <c r="E797" s="23">
        <v>26261</v>
      </c>
      <c r="F797" s="23" t="s">
        <v>1713</v>
      </c>
      <c r="G797" s="14" t="s">
        <v>35</v>
      </c>
      <c r="H797" s="23" t="s">
        <v>40</v>
      </c>
      <c r="I797" s="23" t="s">
        <v>62</v>
      </c>
      <c r="J797" s="97">
        <f t="shared" si="197"/>
        <v>45779</v>
      </c>
      <c r="L797" s="19" t="str">
        <f t="shared" si="211"/>
        <v/>
      </c>
      <c r="M797" s="5">
        <f t="shared" si="198"/>
        <v>45790</v>
      </c>
      <c r="O797" s="19" t="str">
        <f t="shared" si="199"/>
        <v/>
      </c>
      <c r="P797" s="5">
        <f t="shared" si="200"/>
        <v>45805</v>
      </c>
      <c r="R797" s="19" t="str">
        <f t="shared" si="201"/>
        <v/>
      </c>
      <c r="S797" s="5">
        <f t="shared" si="210"/>
        <v>45810</v>
      </c>
      <c r="T797" s="4">
        <v>45840</v>
      </c>
      <c r="U797" s="19">
        <f t="shared" si="202"/>
        <v>-30</v>
      </c>
      <c r="V797" s="5">
        <f t="shared" si="203"/>
        <v>45849</v>
      </c>
      <c r="W797" s="6">
        <v>45854</v>
      </c>
      <c r="X797" s="19">
        <f t="shared" si="204"/>
        <v>-5</v>
      </c>
      <c r="Y797" s="51">
        <f t="shared" si="196"/>
        <v>45877</v>
      </c>
      <c r="Z797" s="51">
        <v>45861</v>
      </c>
      <c r="AA797" s="49">
        <f t="shared" si="205"/>
        <v>16</v>
      </c>
      <c r="AB797" s="51">
        <f t="shared" si="206"/>
        <v>45879</v>
      </c>
      <c r="AC797" s="49">
        <f t="shared" si="207"/>
        <v>18</v>
      </c>
      <c r="AD797" s="43">
        <f t="shared" si="208"/>
        <v>45879</v>
      </c>
      <c r="AE797" s="4">
        <v>45874</v>
      </c>
      <c r="AF797" s="19">
        <f t="shared" si="195"/>
        <v>5</v>
      </c>
      <c r="AG797" s="10"/>
      <c r="AH797" s="1"/>
      <c r="AI797" s="1"/>
      <c r="AJ797" s="1"/>
      <c r="AK797" s="1"/>
      <c r="AL797" s="1"/>
    </row>
    <row r="798" spans="1:38" ht="14.45">
      <c r="A798" s="156">
        <v>797</v>
      </c>
      <c r="B798" s="60">
        <v>45879</v>
      </c>
      <c r="C798" s="41" t="s">
        <v>1714</v>
      </c>
      <c r="D798" s="24" t="s">
        <v>1715</v>
      </c>
      <c r="E798" s="24">
        <v>6768.57</v>
      </c>
      <c r="F798" s="24" t="s">
        <v>1716</v>
      </c>
      <c r="G798" s="14" t="s">
        <v>128</v>
      </c>
      <c r="H798" s="24" t="s">
        <v>40</v>
      </c>
      <c r="I798" s="24" t="s">
        <v>93</v>
      </c>
      <c r="J798" s="98">
        <f t="shared" si="197"/>
        <v>45779</v>
      </c>
      <c r="K798" s="7">
        <v>45805</v>
      </c>
      <c r="L798" s="99">
        <f t="shared" si="211"/>
        <v>-26</v>
      </c>
      <c r="M798" s="20">
        <f t="shared" si="198"/>
        <v>45790</v>
      </c>
      <c r="N798" s="7"/>
      <c r="O798" s="99" t="str">
        <f t="shared" si="199"/>
        <v/>
      </c>
      <c r="P798" s="20">
        <f t="shared" si="200"/>
        <v>45805</v>
      </c>
      <c r="Q798" s="7">
        <v>45832</v>
      </c>
      <c r="R798" s="99">
        <f t="shared" si="201"/>
        <v>-27</v>
      </c>
      <c r="S798" s="20">
        <f t="shared" si="210"/>
        <v>45810</v>
      </c>
      <c r="T798" s="7">
        <v>45832</v>
      </c>
      <c r="U798" s="99">
        <f t="shared" si="202"/>
        <v>-22</v>
      </c>
      <c r="V798" s="20">
        <f t="shared" si="203"/>
        <v>45849</v>
      </c>
      <c r="W798" s="66">
        <v>45868</v>
      </c>
      <c r="X798" s="99">
        <f t="shared" si="204"/>
        <v>-19</v>
      </c>
      <c r="Y798" s="66">
        <f t="shared" si="196"/>
        <v>45877</v>
      </c>
      <c r="Z798" s="66"/>
      <c r="AA798" s="50" t="str">
        <f t="shared" si="205"/>
        <v/>
      </c>
      <c r="AB798" s="51">
        <f t="shared" si="206"/>
        <v>45879</v>
      </c>
      <c r="AC798" s="49" t="str">
        <f t="shared" si="207"/>
        <v/>
      </c>
      <c r="AD798" s="100">
        <f t="shared" si="208"/>
        <v>45879</v>
      </c>
      <c r="AE798" s="7"/>
      <c r="AF798" s="99" t="str">
        <f t="shared" si="195"/>
        <v/>
      </c>
      <c r="AG798" s="36" t="s">
        <v>367</v>
      </c>
      <c r="AH798" s="1"/>
      <c r="AI798" s="1"/>
      <c r="AJ798" s="1"/>
      <c r="AK798" s="1"/>
      <c r="AL798" s="1"/>
    </row>
    <row r="799" spans="1:38" ht="14.45">
      <c r="A799" s="156">
        <v>798</v>
      </c>
      <c r="B799" s="60">
        <v>45880</v>
      </c>
      <c r="C799" s="41" t="s">
        <v>1717</v>
      </c>
      <c r="D799" s="24" t="s">
        <v>38</v>
      </c>
      <c r="E799" s="24">
        <v>491.26</v>
      </c>
      <c r="F799" s="24" t="s">
        <v>1718</v>
      </c>
      <c r="G799" s="14" t="s">
        <v>190</v>
      </c>
      <c r="H799" s="24" t="s">
        <v>40</v>
      </c>
      <c r="I799" s="24" t="s">
        <v>41</v>
      </c>
      <c r="J799" s="98">
        <f t="shared" si="197"/>
        <v>45780</v>
      </c>
      <c r="K799" s="7">
        <v>45842</v>
      </c>
      <c r="L799" s="99">
        <f t="shared" si="211"/>
        <v>-62</v>
      </c>
      <c r="M799" s="20">
        <f t="shared" si="198"/>
        <v>45791</v>
      </c>
      <c r="N799" s="7">
        <v>45862</v>
      </c>
      <c r="O799" s="99">
        <f t="shared" si="199"/>
        <v>-71</v>
      </c>
      <c r="P799" s="20">
        <f t="shared" si="200"/>
        <v>45806</v>
      </c>
      <c r="Q799" s="4">
        <v>45870</v>
      </c>
      <c r="R799" s="99">
        <f t="shared" si="201"/>
        <v>-64</v>
      </c>
      <c r="S799" s="20">
        <f t="shared" si="210"/>
        <v>45811</v>
      </c>
      <c r="T799" s="7"/>
      <c r="U799" s="99" t="str">
        <f t="shared" si="202"/>
        <v/>
      </c>
      <c r="V799" s="20">
        <f t="shared" si="203"/>
        <v>45850</v>
      </c>
      <c r="W799" s="47"/>
      <c r="X799" s="99" t="str">
        <f t="shared" si="204"/>
        <v/>
      </c>
      <c r="Y799" s="66">
        <f t="shared" si="196"/>
        <v>45878</v>
      </c>
      <c r="Z799" s="66"/>
      <c r="AA799" s="50" t="str">
        <f t="shared" si="205"/>
        <v/>
      </c>
      <c r="AB799" s="51">
        <f t="shared" si="206"/>
        <v>45880</v>
      </c>
      <c r="AC799" s="49" t="str">
        <f t="shared" si="207"/>
        <v/>
      </c>
      <c r="AD799" s="100">
        <f t="shared" si="208"/>
        <v>45880</v>
      </c>
      <c r="AE799" s="7">
        <v>45873</v>
      </c>
      <c r="AF799" s="99">
        <f t="shared" si="195"/>
        <v>7</v>
      </c>
      <c r="AG799" s="36" t="s">
        <v>367</v>
      </c>
      <c r="AH799" s="1"/>
      <c r="AI799" s="1"/>
      <c r="AJ799" s="1"/>
      <c r="AK799" s="1"/>
      <c r="AL799" s="1"/>
    </row>
    <row r="800" spans="1:38" ht="14.45">
      <c r="A800" s="156">
        <v>799</v>
      </c>
      <c r="B800" s="60">
        <v>45880</v>
      </c>
      <c r="C800" s="41" t="s">
        <v>1719</v>
      </c>
      <c r="D800" s="24" t="s">
        <v>38</v>
      </c>
      <c r="E800" s="24">
        <v>594</v>
      </c>
      <c r="F800" s="24" t="s">
        <v>1720</v>
      </c>
      <c r="G800" s="14" t="s">
        <v>190</v>
      </c>
      <c r="H800" s="24" t="s">
        <v>40</v>
      </c>
      <c r="I800" s="24" t="s">
        <v>41</v>
      </c>
      <c r="J800" s="98">
        <f t="shared" si="197"/>
        <v>45780</v>
      </c>
      <c r="K800" s="7">
        <v>45842</v>
      </c>
      <c r="L800" s="99">
        <f t="shared" si="211"/>
        <v>-62</v>
      </c>
      <c r="M800" s="20">
        <f t="shared" si="198"/>
        <v>45791</v>
      </c>
      <c r="N800" s="7">
        <v>45862</v>
      </c>
      <c r="O800" s="99">
        <f t="shared" si="199"/>
        <v>-71</v>
      </c>
      <c r="P800" s="20">
        <f t="shared" si="200"/>
        <v>45806</v>
      </c>
      <c r="Q800" s="4">
        <v>45870</v>
      </c>
      <c r="R800" s="99">
        <f t="shared" si="201"/>
        <v>-64</v>
      </c>
      <c r="S800" s="20">
        <f t="shared" si="210"/>
        <v>45811</v>
      </c>
      <c r="T800" s="7"/>
      <c r="U800" s="99" t="str">
        <f t="shared" si="202"/>
        <v/>
      </c>
      <c r="V800" s="20">
        <f t="shared" si="203"/>
        <v>45850</v>
      </c>
      <c r="W800" s="47"/>
      <c r="X800" s="99" t="str">
        <f t="shared" si="204"/>
        <v/>
      </c>
      <c r="Y800" s="66">
        <f t="shared" si="196"/>
        <v>45878</v>
      </c>
      <c r="Z800" s="66"/>
      <c r="AA800" s="50" t="str">
        <f t="shared" si="205"/>
        <v/>
      </c>
      <c r="AB800" s="51">
        <f t="shared" si="206"/>
        <v>45880</v>
      </c>
      <c r="AC800" s="49" t="str">
        <f t="shared" si="207"/>
        <v/>
      </c>
      <c r="AD800" s="100">
        <f t="shared" si="208"/>
        <v>45880</v>
      </c>
      <c r="AE800" s="7">
        <v>45873</v>
      </c>
      <c r="AF800" s="99">
        <f t="shared" si="195"/>
        <v>7</v>
      </c>
      <c r="AG800" s="36" t="s">
        <v>367</v>
      </c>
      <c r="AH800" s="1"/>
      <c r="AI800" s="1"/>
      <c r="AJ800" s="1"/>
      <c r="AK800" s="1"/>
      <c r="AL800" s="1"/>
    </row>
    <row r="801" spans="1:38" ht="14.45">
      <c r="A801" s="156">
        <v>800</v>
      </c>
      <c r="B801" s="60">
        <v>45880</v>
      </c>
      <c r="C801" s="41" t="s">
        <v>1721</v>
      </c>
      <c r="D801" s="24" t="s">
        <v>38</v>
      </c>
      <c r="E801" s="24">
        <v>1818</v>
      </c>
      <c r="F801" s="24" t="s">
        <v>1722</v>
      </c>
      <c r="G801" s="14" t="s">
        <v>190</v>
      </c>
      <c r="H801" s="24" t="s">
        <v>40</v>
      </c>
      <c r="I801" s="24" t="s">
        <v>41</v>
      </c>
      <c r="J801" s="98">
        <f t="shared" si="197"/>
        <v>45780</v>
      </c>
      <c r="K801" s="7">
        <v>45842</v>
      </c>
      <c r="L801" s="99">
        <f t="shared" si="211"/>
        <v>-62</v>
      </c>
      <c r="M801" s="20">
        <f t="shared" si="198"/>
        <v>45791</v>
      </c>
      <c r="N801" s="7">
        <v>45862</v>
      </c>
      <c r="O801" s="99">
        <f t="shared" si="199"/>
        <v>-71</v>
      </c>
      <c r="P801" s="20">
        <f t="shared" si="200"/>
        <v>45806</v>
      </c>
      <c r="Q801" s="4">
        <v>45870</v>
      </c>
      <c r="R801" s="99">
        <f t="shared" si="201"/>
        <v>-64</v>
      </c>
      <c r="S801" s="20">
        <f t="shared" si="210"/>
        <v>45811</v>
      </c>
      <c r="T801" s="7"/>
      <c r="U801" s="99" t="str">
        <f t="shared" si="202"/>
        <v/>
      </c>
      <c r="V801" s="20">
        <f t="shared" si="203"/>
        <v>45850</v>
      </c>
      <c r="W801" s="47"/>
      <c r="X801" s="99" t="str">
        <f t="shared" si="204"/>
        <v/>
      </c>
      <c r="Y801" s="66">
        <f t="shared" si="196"/>
        <v>45878</v>
      </c>
      <c r="Z801" s="66"/>
      <c r="AA801" s="50" t="str">
        <f t="shared" si="205"/>
        <v/>
      </c>
      <c r="AB801" s="51">
        <f t="shared" si="206"/>
        <v>45880</v>
      </c>
      <c r="AC801" s="49" t="str">
        <f t="shared" si="207"/>
        <v/>
      </c>
      <c r="AD801" s="100">
        <f t="shared" si="208"/>
        <v>45880</v>
      </c>
      <c r="AE801" s="7">
        <v>45873</v>
      </c>
      <c r="AF801" s="99">
        <f t="shared" si="195"/>
        <v>7</v>
      </c>
      <c r="AG801" s="36" t="s">
        <v>367</v>
      </c>
      <c r="AH801" s="1"/>
      <c r="AI801" s="1"/>
      <c r="AJ801" s="1"/>
      <c r="AK801" s="1"/>
      <c r="AL801" s="1"/>
    </row>
    <row r="802" spans="1:38" ht="14.45">
      <c r="A802" s="156">
        <v>801</v>
      </c>
      <c r="B802" s="59">
        <v>45881</v>
      </c>
      <c r="C802" s="34" t="s">
        <v>1723</v>
      </c>
      <c r="D802" s="23" t="s">
        <v>1724</v>
      </c>
      <c r="E802" s="23">
        <v>2591.16</v>
      </c>
      <c r="F802" s="23" t="s">
        <v>1725</v>
      </c>
      <c r="G802" s="23" t="s">
        <v>35</v>
      </c>
      <c r="H802" s="23" t="s">
        <v>40</v>
      </c>
      <c r="I802" s="23" t="s">
        <v>428</v>
      </c>
      <c r="J802" s="97">
        <f t="shared" si="197"/>
        <v>45781</v>
      </c>
      <c r="L802" s="19" t="str">
        <f t="shared" si="211"/>
        <v/>
      </c>
      <c r="M802" s="5">
        <f t="shared" si="198"/>
        <v>45792</v>
      </c>
      <c r="O802" s="19" t="str">
        <f t="shared" si="199"/>
        <v/>
      </c>
      <c r="P802" s="5">
        <f t="shared" si="200"/>
        <v>45807</v>
      </c>
      <c r="R802" s="19" t="str">
        <f t="shared" si="201"/>
        <v/>
      </c>
      <c r="S802" s="5">
        <f t="shared" si="210"/>
        <v>45812</v>
      </c>
      <c r="T802" s="4">
        <v>45841</v>
      </c>
      <c r="U802" s="19">
        <f t="shared" si="202"/>
        <v>-29</v>
      </c>
      <c r="V802" s="5">
        <f t="shared" si="203"/>
        <v>45851</v>
      </c>
      <c r="W802" s="6">
        <v>45856</v>
      </c>
      <c r="X802" s="19">
        <f t="shared" si="204"/>
        <v>-5</v>
      </c>
      <c r="Y802" s="51">
        <f t="shared" si="196"/>
        <v>45879</v>
      </c>
      <c r="Z802" s="51">
        <v>45864</v>
      </c>
      <c r="AA802" s="49">
        <f t="shared" si="205"/>
        <v>15</v>
      </c>
      <c r="AB802" s="51">
        <f t="shared" si="206"/>
        <v>45881</v>
      </c>
      <c r="AC802" s="49">
        <f t="shared" si="207"/>
        <v>17</v>
      </c>
      <c r="AD802" s="43">
        <f t="shared" si="208"/>
        <v>45881</v>
      </c>
      <c r="AE802" s="4">
        <v>45869</v>
      </c>
      <c r="AF802" s="19">
        <f t="shared" si="195"/>
        <v>12</v>
      </c>
      <c r="AG802" s="10"/>
      <c r="AH802" s="1"/>
      <c r="AI802" s="1"/>
      <c r="AJ802" s="1"/>
      <c r="AK802" s="1"/>
      <c r="AL802" s="1"/>
    </row>
    <row r="803" spans="1:38" ht="14.45">
      <c r="A803" s="156">
        <v>802</v>
      </c>
      <c r="B803" s="59">
        <v>45881</v>
      </c>
      <c r="C803" s="34" t="s">
        <v>1726</v>
      </c>
      <c r="D803" s="23" t="s">
        <v>1727</v>
      </c>
      <c r="E803" s="23">
        <v>58236.35</v>
      </c>
      <c r="F803" s="23" t="s">
        <v>1728</v>
      </c>
      <c r="G803" s="14" t="s">
        <v>120</v>
      </c>
      <c r="H803" s="23" t="s">
        <v>36</v>
      </c>
      <c r="I803" s="23" t="s">
        <v>93</v>
      </c>
      <c r="J803" s="97">
        <f t="shared" si="197"/>
        <v>45781</v>
      </c>
      <c r="L803" s="19" t="str">
        <f t="shared" si="211"/>
        <v/>
      </c>
      <c r="M803" s="5">
        <f t="shared" si="198"/>
        <v>45792</v>
      </c>
      <c r="O803" s="19" t="str">
        <f t="shared" si="199"/>
        <v/>
      </c>
      <c r="P803" s="5">
        <f t="shared" si="200"/>
        <v>45807</v>
      </c>
      <c r="R803" s="19" t="str">
        <f t="shared" si="201"/>
        <v/>
      </c>
      <c r="S803" s="5">
        <f t="shared" si="210"/>
        <v>45812</v>
      </c>
      <c r="T803" s="4">
        <v>45839</v>
      </c>
      <c r="U803" s="19">
        <f t="shared" si="202"/>
        <v>-27</v>
      </c>
      <c r="V803" s="5">
        <f t="shared" si="203"/>
        <v>45851</v>
      </c>
      <c r="W803" s="6">
        <v>45846</v>
      </c>
      <c r="X803" s="19">
        <f t="shared" si="204"/>
        <v>5</v>
      </c>
      <c r="Y803" s="51">
        <f t="shared" si="196"/>
        <v>45879</v>
      </c>
      <c r="Z803" s="51">
        <v>45853</v>
      </c>
      <c r="AA803" s="49">
        <f t="shared" si="205"/>
        <v>26</v>
      </c>
      <c r="AB803" s="51">
        <f t="shared" si="206"/>
        <v>45881</v>
      </c>
      <c r="AC803" s="49">
        <f t="shared" si="207"/>
        <v>28</v>
      </c>
      <c r="AD803" s="43">
        <f t="shared" si="208"/>
        <v>45881</v>
      </c>
      <c r="AE803" s="4">
        <v>45854</v>
      </c>
      <c r="AF803" s="19">
        <f t="shared" si="195"/>
        <v>27</v>
      </c>
      <c r="AG803" s="10"/>
      <c r="AH803" s="1"/>
      <c r="AI803" s="1"/>
      <c r="AJ803" s="1"/>
      <c r="AK803" s="1"/>
      <c r="AL803" s="1"/>
    </row>
    <row r="804" spans="1:38" ht="14.45">
      <c r="A804" s="156">
        <v>803</v>
      </c>
      <c r="B804" s="59">
        <v>45881</v>
      </c>
      <c r="C804" s="34" t="s">
        <v>1729</v>
      </c>
      <c r="D804" s="23" t="s">
        <v>1730</v>
      </c>
      <c r="E804" s="23">
        <v>1820.82</v>
      </c>
      <c r="F804" s="23" t="s">
        <v>1731</v>
      </c>
      <c r="G804" s="14" t="s">
        <v>46</v>
      </c>
      <c r="H804" s="23" t="s">
        <v>36</v>
      </c>
      <c r="I804" s="23" t="s">
        <v>93</v>
      </c>
      <c r="J804" s="97">
        <f t="shared" si="197"/>
        <v>45781</v>
      </c>
      <c r="K804" s="4">
        <v>45791</v>
      </c>
      <c r="L804" s="19">
        <f t="shared" si="211"/>
        <v>-10</v>
      </c>
      <c r="M804" s="5">
        <f t="shared" si="198"/>
        <v>45792</v>
      </c>
      <c r="O804" s="19" t="str">
        <f t="shared" si="199"/>
        <v/>
      </c>
      <c r="P804" s="5">
        <f t="shared" si="200"/>
        <v>45807</v>
      </c>
      <c r="R804" s="19" t="str">
        <f t="shared" si="201"/>
        <v/>
      </c>
      <c r="S804" s="5">
        <f t="shared" si="210"/>
        <v>45812</v>
      </c>
      <c r="T804" s="4">
        <v>45840</v>
      </c>
      <c r="U804" s="19">
        <f t="shared" si="202"/>
        <v>-28</v>
      </c>
      <c r="V804" s="5">
        <f t="shared" si="203"/>
        <v>45851</v>
      </c>
      <c r="W804" s="6">
        <v>45856</v>
      </c>
      <c r="X804" s="19">
        <f t="shared" si="204"/>
        <v>-5</v>
      </c>
      <c r="Y804" s="51">
        <f t="shared" si="196"/>
        <v>45879</v>
      </c>
      <c r="Z804" s="4">
        <v>45881</v>
      </c>
      <c r="AA804" s="49">
        <f t="shared" si="205"/>
        <v>-2</v>
      </c>
      <c r="AB804" s="51">
        <f t="shared" si="206"/>
        <v>45881</v>
      </c>
      <c r="AC804" s="49">
        <f t="shared" si="207"/>
        <v>0</v>
      </c>
      <c r="AD804" s="43">
        <f t="shared" si="208"/>
        <v>45881</v>
      </c>
      <c r="AE804" s="4">
        <v>45887</v>
      </c>
      <c r="AF804" s="19">
        <f t="shared" si="195"/>
        <v>-6</v>
      </c>
      <c r="AG804" s="10"/>
      <c r="AH804" s="1"/>
      <c r="AI804" s="1"/>
      <c r="AJ804" s="1"/>
      <c r="AK804" s="1"/>
      <c r="AL804" s="1"/>
    </row>
    <row r="805" spans="1:38" ht="14.45">
      <c r="A805" s="156">
        <v>804</v>
      </c>
      <c r="B805" s="60">
        <v>45882</v>
      </c>
      <c r="C805" s="41" t="s">
        <v>1732</v>
      </c>
      <c r="D805" s="24" t="s">
        <v>1733</v>
      </c>
      <c r="E805" s="24">
        <v>18589.349999999999</v>
      </c>
      <c r="F805" s="24" t="s">
        <v>1734</v>
      </c>
      <c r="G805" s="14" t="s">
        <v>190</v>
      </c>
      <c r="H805" s="24" t="s">
        <v>40</v>
      </c>
      <c r="I805" s="24" t="s">
        <v>93</v>
      </c>
      <c r="J805" s="98">
        <f t="shared" si="197"/>
        <v>45782</v>
      </c>
      <c r="K805" s="7">
        <v>45818</v>
      </c>
      <c r="L805" s="99">
        <f t="shared" si="211"/>
        <v>-36</v>
      </c>
      <c r="M805" s="20">
        <f t="shared" si="198"/>
        <v>45793</v>
      </c>
      <c r="N805" s="7">
        <v>45819</v>
      </c>
      <c r="O805" s="99">
        <f t="shared" si="199"/>
        <v>-26</v>
      </c>
      <c r="P805" s="20">
        <f t="shared" si="200"/>
        <v>45808</v>
      </c>
      <c r="Q805" s="7"/>
      <c r="R805" s="99" t="str">
        <f t="shared" si="201"/>
        <v/>
      </c>
      <c r="S805" s="20">
        <f t="shared" si="210"/>
        <v>45813</v>
      </c>
      <c r="T805" s="7">
        <v>45831</v>
      </c>
      <c r="U805" s="99">
        <f t="shared" si="202"/>
        <v>-18</v>
      </c>
      <c r="V805" s="20">
        <f t="shared" si="203"/>
        <v>45852</v>
      </c>
      <c r="W805" s="47"/>
      <c r="X805" s="99" t="str">
        <f t="shared" si="204"/>
        <v/>
      </c>
      <c r="Y805" s="66">
        <f t="shared" si="196"/>
        <v>45880</v>
      </c>
      <c r="Z805" s="66"/>
      <c r="AA805" s="50" t="str">
        <f t="shared" si="205"/>
        <v/>
      </c>
      <c r="AB805" s="51">
        <f t="shared" si="206"/>
        <v>45882</v>
      </c>
      <c r="AC805" s="49" t="str">
        <f t="shared" si="207"/>
        <v/>
      </c>
      <c r="AD805" s="100">
        <f t="shared" si="208"/>
        <v>45882</v>
      </c>
      <c r="AE805" s="7">
        <v>45873</v>
      </c>
      <c r="AF805" s="99">
        <f t="shared" si="195"/>
        <v>9</v>
      </c>
      <c r="AG805" s="36" t="s">
        <v>367</v>
      </c>
      <c r="AH805" s="1"/>
      <c r="AI805" s="1"/>
      <c r="AJ805" s="1"/>
      <c r="AK805" s="1"/>
      <c r="AL805" s="1"/>
    </row>
    <row r="806" spans="1:38" ht="14.45">
      <c r="A806" s="156">
        <v>805</v>
      </c>
      <c r="B806" s="60">
        <v>45882</v>
      </c>
      <c r="C806" s="41" t="s">
        <v>1735</v>
      </c>
      <c r="D806" s="24" t="s">
        <v>38</v>
      </c>
      <c r="E806" s="24">
        <v>13156.3</v>
      </c>
      <c r="F806" s="24" t="s">
        <v>1736</v>
      </c>
      <c r="G806" s="14" t="s">
        <v>190</v>
      </c>
      <c r="H806" s="24" t="s">
        <v>36</v>
      </c>
      <c r="I806" s="24" t="s">
        <v>41</v>
      </c>
      <c r="J806" s="98">
        <f t="shared" si="197"/>
        <v>45782</v>
      </c>
      <c r="K806" s="7">
        <v>45842</v>
      </c>
      <c r="L806" s="99">
        <f t="shared" si="211"/>
        <v>-60</v>
      </c>
      <c r="M806" s="20">
        <f t="shared" si="198"/>
        <v>45793</v>
      </c>
      <c r="N806" s="7">
        <v>45862</v>
      </c>
      <c r="O806" s="99">
        <f t="shared" si="199"/>
        <v>-69</v>
      </c>
      <c r="P806" s="20">
        <f t="shared" si="200"/>
        <v>45808</v>
      </c>
      <c r="Q806" s="4">
        <v>45870</v>
      </c>
      <c r="R806" s="99">
        <f t="shared" si="201"/>
        <v>-62</v>
      </c>
      <c r="S806" s="20">
        <f t="shared" si="210"/>
        <v>45813</v>
      </c>
      <c r="T806" s="7"/>
      <c r="U806" s="99" t="str">
        <f t="shared" si="202"/>
        <v/>
      </c>
      <c r="V806" s="20">
        <f t="shared" si="203"/>
        <v>45852</v>
      </c>
      <c r="W806" s="47"/>
      <c r="X806" s="99" t="str">
        <f t="shared" si="204"/>
        <v/>
      </c>
      <c r="Y806" s="66">
        <f t="shared" si="196"/>
        <v>45880</v>
      </c>
      <c r="Z806" s="66"/>
      <c r="AA806" s="50" t="str">
        <f t="shared" si="205"/>
        <v/>
      </c>
      <c r="AB806" s="51">
        <f t="shared" si="206"/>
        <v>45882</v>
      </c>
      <c r="AC806" s="49" t="str">
        <f t="shared" si="207"/>
        <v/>
      </c>
      <c r="AD806" s="100">
        <f t="shared" si="208"/>
        <v>45882</v>
      </c>
      <c r="AE806" s="7">
        <v>45873</v>
      </c>
      <c r="AF806" s="99">
        <f t="shared" si="195"/>
        <v>9</v>
      </c>
      <c r="AG806" s="36" t="s">
        <v>367</v>
      </c>
      <c r="AH806" s="1"/>
      <c r="AI806" s="1"/>
      <c r="AJ806" s="1"/>
      <c r="AK806" s="1"/>
      <c r="AL806" s="1"/>
    </row>
    <row r="807" spans="1:38" ht="14.45">
      <c r="A807" s="156">
        <v>806</v>
      </c>
      <c r="B807" s="59">
        <v>45882</v>
      </c>
      <c r="C807" s="34" t="s">
        <v>1737</v>
      </c>
      <c r="D807" s="23" t="s">
        <v>38</v>
      </c>
      <c r="E807" s="23">
        <v>123.24</v>
      </c>
      <c r="F807" s="23" t="s">
        <v>1738</v>
      </c>
      <c r="G807" s="14" t="s">
        <v>190</v>
      </c>
      <c r="H807" s="23" t="s">
        <v>40</v>
      </c>
      <c r="I807" s="23" t="s">
        <v>41</v>
      </c>
      <c r="J807" s="97">
        <f t="shared" si="197"/>
        <v>45782</v>
      </c>
      <c r="K807" s="4">
        <v>45842</v>
      </c>
      <c r="L807" s="19">
        <f t="shared" si="211"/>
        <v>-60</v>
      </c>
      <c r="M807" s="5">
        <f t="shared" si="198"/>
        <v>45793</v>
      </c>
      <c r="N807" s="4">
        <v>45862</v>
      </c>
      <c r="O807" s="19">
        <f t="shared" si="199"/>
        <v>-69</v>
      </c>
      <c r="P807" s="5">
        <f t="shared" si="200"/>
        <v>45808</v>
      </c>
      <c r="Q807" s="4">
        <v>45870</v>
      </c>
      <c r="R807" s="19">
        <f t="shared" si="201"/>
        <v>-62</v>
      </c>
      <c r="S807" s="5">
        <f t="shared" si="210"/>
        <v>45813</v>
      </c>
      <c r="T807" s="4">
        <v>45873</v>
      </c>
      <c r="U807" s="19">
        <f t="shared" si="202"/>
        <v>-60</v>
      </c>
      <c r="V807" s="5">
        <f t="shared" si="203"/>
        <v>45852</v>
      </c>
      <c r="W807" s="4">
        <v>45873</v>
      </c>
      <c r="X807" s="19">
        <f t="shared" si="204"/>
        <v>-21</v>
      </c>
      <c r="Y807" s="51">
        <f t="shared" si="196"/>
        <v>45880</v>
      </c>
      <c r="Z807" s="4">
        <v>45873</v>
      </c>
      <c r="AA807" s="49">
        <f t="shared" si="205"/>
        <v>7</v>
      </c>
      <c r="AB807" s="51">
        <f t="shared" si="206"/>
        <v>45882</v>
      </c>
      <c r="AC807" s="49">
        <f t="shared" si="207"/>
        <v>9</v>
      </c>
      <c r="AD807" s="43">
        <f t="shared" si="208"/>
        <v>45882</v>
      </c>
      <c r="AE807" s="4">
        <v>45891</v>
      </c>
      <c r="AF807" s="19">
        <f t="shared" si="195"/>
        <v>-9</v>
      </c>
      <c r="AG807" s="10"/>
      <c r="AH807" s="1"/>
      <c r="AI807" s="1"/>
      <c r="AJ807" s="1"/>
      <c r="AK807" s="1"/>
      <c r="AL807" s="1"/>
    </row>
    <row r="808" spans="1:38" ht="14.45">
      <c r="A808" s="156">
        <v>807</v>
      </c>
      <c r="B808" s="59">
        <v>45882</v>
      </c>
      <c r="C808" s="34" t="s">
        <v>1739</v>
      </c>
      <c r="D808" s="23" t="s">
        <v>38</v>
      </c>
      <c r="E808" s="23">
        <v>2000.24</v>
      </c>
      <c r="F808" s="23" t="s">
        <v>1740</v>
      </c>
      <c r="G808" s="14" t="s">
        <v>190</v>
      </c>
      <c r="H808" s="23" t="s">
        <v>40</v>
      </c>
      <c r="I808" s="23" t="s">
        <v>41</v>
      </c>
      <c r="J808" s="97">
        <f t="shared" si="197"/>
        <v>45782</v>
      </c>
      <c r="K808" s="4">
        <v>45842</v>
      </c>
      <c r="L808" s="19">
        <f t="shared" si="211"/>
        <v>-60</v>
      </c>
      <c r="M808" s="5">
        <f t="shared" si="198"/>
        <v>45793</v>
      </c>
      <c r="N808" s="4">
        <v>45862</v>
      </c>
      <c r="O808" s="19">
        <f t="shared" si="199"/>
        <v>-69</v>
      </c>
      <c r="P808" s="5">
        <f t="shared" si="200"/>
        <v>45808</v>
      </c>
      <c r="Q808" s="4">
        <v>45870</v>
      </c>
      <c r="R808" s="19">
        <f t="shared" si="201"/>
        <v>-62</v>
      </c>
      <c r="S808" s="5">
        <f t="shared" si="210"/>
        <v>45813</v>
      </c>
      <c r="T808" s="4">
        <v>45873</v>
      </c>
      <c r="U808" s="19">
        <f t="shared" si="202"/>
        <v>-60</v>
      </c>
      <c r="V808" s="5">
        <f t="shared" si="203"/>
        <v>45852</v>
      </c>
      <c r="W808" s="4">
        <v>45873</v>
      </c>
      <c r="X808" s="19">
        <f t="shared" si="204"/>
        <v>-21</v>
      </c>
      <c r="Y808" s="51">
        <f t="shared" si="196"/>
        <v>45880</v>
      </c>
      <c r="Z808" s="4">
        <v>45873</v>
      </c>
      <c r="AA808" s="49">
        <f t="shared" si="205"/>
        <v>7</v>
      </c>
      <c r="AB808" s="51">
        <f t="shared" si="206"/>
        <v>45882</v>
      </c>
      <c r="AC808" s="49">
        <f t="shared" si="207"/>
        <v>9</v>
      </c>
      <c r="AD808" s="43">
        <f t="shared" si="208"/>
        <v>45882</v>
      </c>
      <c r="AE808" s="4">
        <v>45891</v>
      </c>
      <c r="AF808" s="19">
        <f t="shared" si="195"/>
        <v>-9</v>
      </c>
      <c r="AG808" s="10"/>
      <c r="AH808" s="1"/>
      <c r="AI808" s="1"/>
      <c r="AJ808" s="1"/>
      <c r="AK808" s="1"/>
      <c r="AL808" s="1"/>
    </row>
    <row r="809" spans="1:38" ht="14.45">
      <c r="A809" s="156">
        <v>808</v>
      </c>
      <c r="B809" s="59">
        <v>45882</v>
      </c>
      <c r="C809" s="34" t="s">
        <v>1741</v>
      </c>
      <c r="D809" s="23" t="s">
        <v>38</v>
      </c>
      <c r="E809" s="23">
        <v>152.76</v>
      </c>
      <c r="F809" s="23" t="s">
        <v>1742</v>
      </c>
      <c r="G809" s="14" t="s">
        <v>190</v>
      </c>
      <c r="H809" s="23" t="s">
        <v>40</v>
      </c>
      <c r="I809" s="23" t="s">
        <v>41</v>
      </c>
      <c r="J809" s="97">
        <f t="shared" si="197"/>
        <v>45782</v>
      </c>
      <c r="K809" s="4">
        <v>45842</v>
      </c>
      <c r="L809" s="19">
        <f t="shared" si="211"/>
        <v>-60</v>
      </c>
      <c r="M809" s="5">
        <f t="shared" si="198"/>
        <v>45793</v>
      </c>
      <c r="N809" s="4">
        <v>45862</v>
      </c>
      <c r="O809" s="19">
        <f t="shared" si="199"/>
        <v>-69</v>
      </c>
      <c r="P809" s="5">
        <f t="shared" si="200"/>
        <v>45808</v>
      </c>
      <c r="Q809" s="4">
        <v>45870</v>
      </c>
      <c r="R809" s="19">
        <f t="shared" si="201"/>
        <v>-62</v>
      </c>
      <c r="S809" s="5">
        <f t="shared" si="210"/>
        <v>45813</v>
      </c>
      <c r="T809" s="4">
        <v>45873</v>
      </c>
      <c r="U809" s="19">
        <f t="shared" si="202"/>
        <v>-60</v>
      </c>
      <c r="V809" s="5">
        <f t="shared" si="203"/>
        <v>45852</v>
      </c>
      <c r="W809" s="4">
        <v>45873</v>
      </c>
      <c r="X809" s="19">
        <f t="shared" si="204"/>
        <v>-21</v>
      </c>
      <c r="Y809" s="51">
        <f t="shared" si="196"/>
        <v>45880</v>
      </c>
      <c r="Z809" s="4">
        <v>45873</v>
      </c>
      <c r="AA809" s="49">
        <f t="shared" si="205"/>
        <v>7</v>
      </c>
      <c r="AB809" s="51">
        <f t="shared" si="206"/>
        <v>45882</v>
      </c>
      <c r="AC809" s="49">
        <f t="shared" si="207"/>
        <v>9</v>
      </c>
      <c r="AD809" s="43">
        <f t="shared" si="208"/>
        <v>45882</v>
      </c>
      <c r="AE809" s="4">
        <v>45891</v>
      </c>
      <c r="AF809" s="19">
        <f t="shared" si="195"/>
        <v>-9</v>
      </c>
      <c r="AG809" s="10"/>
      <c r="AH809" s="1"/>
      <c r="AI809" s="1"/>
      <c r="AJ809" s="1"/>
      <c r="AK809" s="1"/>
      <c r="AL809" s="1"/>
    </row>
    <row r="810" spans="1:38" ht="14.45">
      <c r="A810" s="156">
        <v>809</v>
      </c>
      <c r="B810" s="59">
        <v>45882</v>
      </c>
      <c r="C810" s="34" t="s">
        <v>1743</v>
      </c>
      <c r="D810" s="23" t="s">
        <v>1744</v>
      </c>
      <c r="E810" s="23">
        <v>8429.59</v>
      </c>
      <c r="F810" s="23" t="s">
        <v>1745</v>
      </c>
      <c r="G810" s="14" t="s">
        <v>120</v>
      </c>
      <c r="H810" s="23" t="s">
        <v>36</v>
      </c>
      <c r="I810" s="23" t="s">
        <v>41</v>
      </c>
      <c r="J810" s="97">
        <f t="shared" si="197"/>
        <v>45782</v>
      </c>
      <c r="L810" s="19" t="str">
        <f t="shared" si="211"/>
        <v/>
      </c>
      <c r="M810" s="5">
        <f t="shared" si="198"/>
        <v>45793</v>
      </c>
      <c r="O810" s="19" t="str">
        <f t="shared" si="199"/>
        <v/>
      </c>
      <c r="P810" s="5">
        <f t="shared" si="200"/>
        <v>45808</v>
      </c>
      <c r="R810" s="19" t="str">
        <f t="shared" si="201"/>
        <v/>
      </c>
      <c r="S810" s="5">
        <f t="shared" si="210"/>
        <v>45813</v>
      </c>
      <c r="U810" s="19" t="str">
        <f t="shared" si="202"/>
        <v/>
      </c>
      <c r="V810" s="5">
        <f t="shared" si="203"/>
        <v>45852</v>
      </c>
      <c r="W810" s="6">
        <v>45862</v>
      </c>
      <c r="X810" s="19">
        <f t="shared" si="204"/>
        <v>-10</v>
      </c>
      <c r="Y810" s="51">
        <f t="shared" si="196"/>
        <v>45880</v>
      </c>
      <c r="Z810" s="51">
        <v>45868</v>
      </c>
      <c r="AA810" s="49">
        <f t="shared" si="205"/>
        <v>12</v>
      </c>
      <c r="AB810" s="51">
        <f t="shared" si="206"/>
        <v>45882</v>
      </c>
      <c r="AC810" s="49">
        <f t="shared" si="207"/>
        <v>14</v>
      </c>
      <c r="AD810" s="43">
        <f t="shared" si="208"/>
        <v>45882</v>
      </c>
      <c r="AE810" s="51">
        <v>45868</v>
      </c>
      <c r="AF810" s="19">
        <f t="shared" si="195"/>
        <v>14</v>
      </c>
      <c r="AG810" s="10"/>
      <c r="AH810" s="1"/>
      <c r="AI810" s="1"/>
      <c r="AJ810" s="1"/>
      <c r="AK810" s="1"/>
      <c r="AL810" s="1"/>
    </row>
    <row r="811" spans="1:38" ht="14.45">
      <c r="A811" s="156">
        <v>810</v>
      </c>
      <c r="B811" s="59">
        <v>45883</v>
      </c>
      <c r="C811" s="34" t="s">
        <v>1746</v>
      </c>
      <c r="D811" s="23" t="s">
        <v>1747</v>
      </c>
      <c r="E811" s="23">
        <v>5644.94</v>
      </c>
      <c r="F811" s="23" t="s">
        <v>1748</v>
      </c>
      <c r="G811" s="14" t="s">
        <v>120</v>
      </c>
      <c r="H811" s="23" t="s">
        <v>40</v>
      </c>
      <c r="I811" s="23" t="s">
        <v>93</v>
      </c>
      <c r="J811" s="97">
        <f t="shared" si="197"/>
        <v>45783</v>
      </c>
      <c r="L811" s="19" t="str">
        <f t="shared" si="211"/>
        <v/>
      </c>
      <c r="M811" s="5">
        <f t="shared" si="198"/>
        <v>45794</v>
      </c>
      <c r="O811" s="19" t="str">
        <f t="shared" si="199"/>
        <v/>
      </c>
      <c r="P811" s="5">
        <f t="shared" si="200"/>
        <v>45809</v>
      </c>
      <c r="R811" s="19" t="str">
        <f t="shared" si="201"/>
        <v/>
      </c>
      <c r="S811" s="5">
        <f t="shared" si="210"/>
        <v>45814</v>
      </c>
      <c r="T811" s="4">
        <v>45814</v>
      </c>
      <c r="U811" s="19">
        <f t="shared" si="202"/>
        <v>0</v>
      </c>
      <c r="V811" s="5">
        <f t="shared" si="203"/>
        <v>45853</v>
      </c>
      <c r="W811" s="6">
        <v>45853</v>
      </c>
      <c r="X811" s="19">
        <f t="shared" si="204"/>
        <v>0</v>
      </c>
      <c r="Y811" s="51">
        <f t="shared" si="196"/>
        <v>45881</v>
      </c>
      <c r="Z811" s="51">
        <v>45881</v>
      </c>
      <c r="AA811" s="49">
        <f t="shared" si="205"/>
        <v>0</v>
      </c>
      <c r="AB811" s="51">
        <f t="shared" si="206"/>
        <v>45883</v>
      </c>
      <c r="AC811" s="49">
        <f t="shared" si="207"/>
        <v>2</v>
      </c>
      <c r="AD811" s="43">
        <f t="shared" si="208"/>
        <v>45883</v>
      </c>
      <c r="AF811" s="19" t="str">
        <f t="shared" ref="AF811:AF877" si="218">IF(OR(AD811="", AE811=""), "", AD811-AE811)</f>
        <v/>
      </c>
      <c r="AG811" s="67" t="s">
        <v>367</v>
      </c>
      <c r="AH811" s="1"/>
      <c r="AI811" s="1"/>
      <c r="AJ811" s="1"/>
      <c r="AK811" s="1"/>
      <c r="AL811" s="1"/>
    </row>
    <row r="812" spans="1:38" ht="14.45">
      <c r="A812" s="156">
        <v>811</v>
      </c>
      <c r="B812" s="59">
        <v>45883</v>
      </c>
      <c r="C812" s="34" t="s">
        <v>1749</v>
      </c>
      <c r="D812" s="23" t="s">
        <v>1750</v>
      </c>
      <c r="E812" s="23">
        <v>117774.28</v>
      </c>
      <c r="F812" s="23" t="s">
        <v>1751</v>
      </c>
      <c r="G812" s="10" t="s">
        <v>120</v>
      </c>
      <c r="H812" s="23" t="s">
        <v>40</v>
      </c>
      <c r="I812" s="23" t="s">
        <v>52</v>
      </c>
      <c r="J812" s="97">
        <f t="shared" si="197"/>
        <v>45783</v>
      </c>
      <c r="L812" s="19" t="str">
        <f t="shared" si="211"/>
        <v/>
      </c>
      <c r="M812" s="5">
        <f t="shared" si="198"/>
        <v>45794</v>
      </c>
      <c r="O812" s="19" t="str">
        <f t="shared" si="199"/>
        <v/>
      </c>
      <c r="P812" s="5">
        <f t="shared" si="200"/>
        <v>45809</v>
      </c>
      <c r="R812" s="19" t="str">
        <f t="shared" si="201"/>
        <v/>
      </c>
      <c r="S812" s="5">
        <f t="shared" si="210"/>
        <v>45814</v>
      </c>
      <c r="T812" s="4">
        <v>45814</v>
      </c>
      <c r="U812" s="19">
        <f t="shared" si="202"/>
        <v>0</v>
      </c>
      <c r="V812" s="5">
        <f t="shared" si="203"/>
        <v>45853</v>
      </c>
      <c r="W812" s="5">
        <v>45853</v>
      </c>
      <c r="X812" s="19">
        <f t="shared" si="204"/>
        <v>0</v>
      </c>
      <c r="Y812" s="51">
        <f t="shared" si="196"/>
        <v>45881</v>
      </c>
      <c r="Z812" s="51">
        <v>45875</v>
      </c>
      <c r="AA812" s="49">
        <f>IF(OR(Y812="", Z812=""), "", Y812-Z812)</f>
        <v>6</v>
      </c>
      <c r="AB812" s="51">
        <f t="shared" si="206"/>
        <v>45883</v>
      </c>
      <c r="AC812" s="49">
        <f t="shared" si="207"/>
        <v>8</v>
      </c>
      <c r="AD812" s="43">
        <f t="shared" si="208"/>
        <v>45883</v>
      </c>
      <c r="AE812" s="51">
        <v>45875</v>
      </c>
      <c r="AF812" s="19">
        <f t="shared" si="218"/>
        <v>8</v>
      </c>
      <c r="AG812" s="67"/>
      <c r="AH812" s="1"/>
      <c r="AI812" s="1"/>
      <c r="AJ812" s="1"/>
      <c r="AK812" s="1"/>
      <c r="AL812" s="1"/>
    </row>
    <row r="813" spans="1:38" ht="14.45">
      <c r="A813" s="156">
        <v>812</v>
      </c>
      <c r="B813" s="59">
        <v>45884</v>
      </c>
      <c r="C813" s="34" t="s">
        <v>1752</v>
      </c>
      <c r="D813" s="23" t="s">
        <v>38</v>
      </c>
      <c r="E813" s="23">
        <v>922.49</v>
      </c>
      <c r="F813" s="23" t="s">
        <v>1753</v>
      </c>
      <c r="G813" s="14" t="s">
        <v>190</v>
      </c>
      <c r="H813" s="23" t="s">
        <v>40</v>
      </c>
      <c r="I813" s="23" t="s">
        <v>41</v>
      </c>
      <c r="J813" s="97">
        <f t="shared" si="197"/>
        <v>45784</v>
      </c>
      <c r="K813" s="4">
        <v>45842</v>
      </c>
      <c r="L813" s="19">
        <f t="shared" si="211"/>
        <v>-58</v>
      </c>
      <c r="M813" s="5">
        <f t="shared" si="198"/>
        <v>45795</v>
      </c>
      <c r="N813" s="4">
        <v>45862</v>
      </c>
      <c r="O813" s="19">
        <f t="shared" si="199"/>
        <v>-67</v>
      </c>
      <c r="P813" s="5">
        <f t="shared" si="200"/>
        <v>45810</v>
      </c>
      <c r="Q813" s="4">
        <v>45870</v>
      </c>
      <c r="R813" s="19">
        <f t="shared" si="201"/>
        <v>-60</v>
      </c>
      <c r="S813" s="5">
        <f t="shared" si="210"/>
        <v>45815</v>
      </c>
      <c r="T813" s="4">
        <v>45873</v>
      </c>
      <c r="U813" s="19">
        <f t="shared" si="202"/>
        <v>-58</v>
      </c>
      <c r="V813" s="5">
        <f t="shared" si="203"/>
        <v>45854</v>
      </c>
      <c r="W813" s="4">
        <v>45873</v>
      </c>
      <c r="X813" s="19">
        <f t="shared" si="204"/>
        <v>-19</v>
      </c>
      <c r="Y813" s="51">
        <f t="shared" si="196"/>
        <v>45882</v>
      </c>
      <c r="Z813" s="4">
        <v>45873</v>
      </c>
      <c r="AA813" s="49">
        <f t="shared" si="205"/>
        <v>9</v>
      </c>
      <c r="AB813" s="51">
        <f t="shared" si="206"/>
        <v>45884</v>
      </c>
      <c r="AC813" s="49">
        <f t="shared" si="207"/>
        <v>11</v>
      </c>
      <c r="AD813" s="43">
        <f t="shared" si="208"/>
        <v>45884</v>
      </c>
      <c r="AE813" s="4">
        <v>45891</v>
      </c>
      <c r="AF813" s="19">
        <f t="shared" si="218"/>
        <v>-7</v>
      </c>
      <c r="AG813" s="10"/>
      <c r="AH813" s="1"/>
      <c r="AI813" s="1"/>
      <c r="AJ813" s="1"/>
      <c r="AK813" s="1"/>
      <c r="AL813" s="1"/>
    </row>
    <row r="814" spans="1:38" ht="14.45">
      <c r="A814" s="156">
        <v>813</v>
      </c>
      <c r="B814" s="59">
        <v>45884</v>
      </c>
      <c r="C814" s="34" t="s">
        <v>1754</v>
      </c>
      <c r="D814" s="23" t="s">
        <v>983</v>
      </c>
      <c r="E814" s="23">
        <v>1334.59</v>
      </c>
      <c r="F814" s="23" t="s">
        <v>1755</v>
      </c>
      <c r="G814" s="14" t="s">
        <v>120</v>
      </c>
      <c r="H814" s="23" t="s">
        <v>40</v>
      </c>
      <c r="I814" s="23" t="s">
        <v>37</v>
      </c>
      <c r="J814" s="97">
        <f t="shared" si="197"/>
        <v>45784</v>
      </c>
      <c r="L814" s="19" t="str">
        <f t="shared" si="211"/>
        <v/>
      </c>
      <c r="M814" s="5">
        <f t="shared" si="198"/>
        <v>45795</v>
      </c>
      <c r="O814" s="19" t="str">
        <f t="shared" si="199"/>
        <v/>
      </c>
      <c r="P814" s="5">
        <f t="shared" si="200"/>
        <v>45810</v>
      </c>
      <c r="R814" s="19" t="str">
        <f t="shared" si="201"/>
        <v/>
      </c>
      <c r="S814" s="5">
        <f t="shared" si="210"/>
        <v>45815</v>
      </c>
      <c r="T814" s="4">
        <v>45831</v>
      </c>
      <c r="U814" s="19">
        <f t="shared" si="202"/>
        <v>-16</v>
      </c>
      <c r="V814" s="5">
        <f t="shared" si="203"/>
        <v>45854</v>
      </c>
      <c r="W814" s="6">
        <v>45855</v>
      </c>
      <c r="X814" s="19">
        <f t="shared" si="204"/>
        <v>-1</v>
      </c>
      <c r="Y814" s="51">
        <f t="shared" si="196"/>
        <v>45882</v>
      </c>
      <c r="Z814" s="51">
        <v>45882</v>
      </c>
      <c r="AA814" s="49">
        <f t="shared" si="205"/>
        <v>0</v>
      </c>
      <c r="AB814" s="51">
        <f t="shared" si="206"/>
        <v>45884</v>
      </c>
      <c r="AC814" s="49">
        <f t="shared" si="207"/>
        <v>2</v>
      </c>
      <c r="AD814" s="43">
        <f t="shared" si="208"/>
        <v>45884</v>
      </c>
      <c r="AF814" s="19" t="str">
        <f t="shared" si="218"/>
        <v/>
      </c>
      <c r="AG814" s="10"/>
      <c r="AH814" s="1"/>
      <c r="AI814" s="1"/>
      <c r="AJ814" s="1"/>
      <c r="AK814" s="1"/>
      <c r="AL814" s="1"/>
    </row>
    <row r="815" spans="1:38" ht="14.45">
      <c r="A815" s="156">
        <v>814</v>
      </c>
      <c r="B815" s="59">
        <v>45884</v>
      </c>
      <c r="C815" s="34">
        <v>111742720</v>
      </c>
      <c r="D815" s="23" t="s">
        <v>1756</v>
      </c>
      <c r="E815" s="23">
        <v>3411.51</v>
      </c>
      <c r="F815" s="23" t="s">
        <v>1757</v>
      </c>
      <c r="G815" s="14" t="s">
        <v>35</v>
      </c>
      <c r="H815" s="23" t="s">
        <v>40</v>
      </c>
      <c r="I815" s="23" t="s">
        <v>37</v>
      </c>
      <c r="J815" s="97">
        <f t="shared" si="197"/>
        <v>45784</v>
      </c>
      <c r="L815" s="19" t="str">
        <f t="shared" si="211"/>
        <v/>
      </c>
      <c r="M815" s="5">
        <f t="shared" si="198"/>
        <v>45795</v>
      </c>
      <c r="O815" s="19" t="str">
        <f t="shared" si="199"/>
        <v/>
      </c>
      <c r="P815" s="5">
        <f t="shared" si="200"/>
        <v>45810</v>
      </c>
      <c r="R815" s="19" t="str">
        <f t="shared" si="201"/>
        <v/>
      </c>
      <c r="S815" s="5">
        <f t="shared" si="210"/>
        <v>45815</v>
      </c>
      <c r="T815" s="4">
        <v>45841</v>
      </c>
      <c r="U815" s="19">
        <f t="shared" si="202"/>
        <v>-26</v>
      </c>
      <c r="V815" s="5">
        <f t="shared" si="203"/>
        <v>45854</v>
      </c>
      <c r="W815" s="6">
        <v>45855</v>
      </c>
      <c r="X815" s="19">
        <f t="shared" si="204"/>
        <v>-1</v>
      </c>
      <c r="Y815" s="51">
        <f t="shared" si="196"/>
        <v>45882</v>
      </c>
      <c r="Z815" s="51">
        <v>45882</v>
      </c>
      <c r="AA815" s="49">
        <f t="shared" si="205"/>
        <v>0</v>
      </c>
      <c r="AB815" s="51">
        <f t="shared" si="206"/>
        <v>45884</v>
      </c>
      <c r="AC815" s="49">
        <f t="shared" si="207"/>
        <v>2</v>
      </c>
      <c r="AD815" s="43">
        <f t="shared" si="208"/>
        <v>45884</v>
      </c>
      <c r="AE815" s="4">
        <v>45882</v>
      </c>
      <c r="AF815" s="19">
        <f t="shared" si="218"/>
        <v>2</v>
      </c>
      <c r="AG815" s="10"/>
      <c r="AH815" s="1"/>
      <c r="AI815" s="1"/>
      <c r="AJ815" s="1"/>
      <c r="AK815" s="1"/>
      <c r="AL815" s="1"/>
    </row>
    <row r="816" spans="1:38" ht="14.45">
      <c r="A816" s="156">
        <v>815</v>
      </c>
      <c r="B816" s="59">
        <v>45884</v>
      </c>
      <c r="C816" s="91">
        <v>3922400002530</v>
      </c>
      <c r="D816" s="23" t="s">
        <v>1758</v>
      </c>
      <c r="E816" s="23">
        <v>23983.56</v>
      </c>
      <c r="F816" s="23" t="s">
        <v>1759</v>
      </c>
      <c r="G816" s="14" t="s">
        <v>46</v>
      </c>
      <c r="H816" s="23" t="s">
        <v>36</v>
      </c>
      <c r="I816" s="23" t="s">
        <v>37</v>
      </c>
      <c r="J816" s="97">
        <f t="shared" si="197"/>
        <v>45784</v>
      </c>
      <c r="K816" s="4">
        <v>45791</v>
      </c>
      <c r="L816" s="19">
        <f t="shared" si="211"/>
        <v>-7</v>
      </c>
      <c r="M816" s="5">
        <f t="shared" si="198"/>
        <v>45795</v>
      </c>
      <c r="O816" s="19" t="str">
        <f t="shared" si="199"/>
        <v/>
      </c>
      <c r="P816" s="5">
        <f t="shared" si="200"/>
        <v>45810</v>
      </c>
      <c r="R816" s="19" t="str">
        <f t="shared" si="201"/>
        <v/>
      </c>
      <c r="S816" s="5">
        <f t="shared" si="210"/>
        <v>45815</v>
      </c>
      <c r="T816" s="4">
        <v>45840</v>
      </c>
      <c r="U816" s="19">
        <f t="shared" si="202"/>
        <v>-25</v>
      </c>
      <c r="V816" s="5">
        <f t="shared" si="203"/>
        <v>45854</v>
      </c>
      <c r="W816" s="6">
        <v>45853</v>
      </c>
      <c r="X816" s="19">
        <f t="shared" si="204"/>
        <v>1</v>
      </c>
      <c r="Y816" s="51">
        <f t="shared" si="196"/>
        <v>45882</v>
      </c>
      <c r="Z816" s="4">
        <v>45884</v>
      </c>
      <c r="AA816" s="49">
        <f t="shared" si="205"/>
        <v>-2</v>
      </c>
      <c r="AB816" s="51">
        <f t="shared" si="206"/>
        <v>45884</v>
      </c>
      <c r="AC816" s="49">
        <f t="shared" si="207"/>
        <v>0</v>
      </c>
      <c r="AD816" s="43">
        <f t="shared" si="208"/>
        <v>45884</v>
      </c>
      <c r="AE816" s="4">
        <v>45884</v>
      </c>
      <c r="AF816" s="19">
        <f t="shared" si="218"/>
        <v>0</v>
      </c>
      <c r="AG816" s="10"/>
      <c r="AH816" s="1"/>
      <c r="AI816" s="1"/>
      <c r="AJ816" s="1"/>
      <c r="AK816" s="1"/>
      <c r="AL816" s="1"/>
    </row>
    <row r="817" spans="1:38" ht="14.45">
      <c r="A817" s="156">
        <v>816</v>
      </c>
      <c r="B817" s="59">
        <v>45884</v>
      </c>
      <c r="C817" s="34" t="s">
        <v>1760</v>
      </c>
      <c r="D817" s="23" t="s">
        <v>49</v>
      </c>
      <c r="E817" s="23">
        <v>1307.49</v>
      </c>
      <c r="F817" s="23" t="s">
        <v>1761</v>
      </c>
      <c r="G817" s="14" t="s">
        <v>51</v>
      </c>
      <c r="H817" s="23" t="s">
        <v>40</v>
      </c>
      <c r="I817" s="23" t="s">
        <v>41</v>
      </c>
      <c r="J817" s="97">
        <f t="shared" si="197"/>
        <v>45784</v>
      </c>
      <c r="L817" s="19" t="str">
        <f t="shared" si="211"/>
        <v/>
      </c>
      <c r="M817" s="5">
        <f t="shared" si="198"/>
        <v>45795</v>
      </c>
      <c r="O817" s="19" t="str">
        <f t="shared" si="199"/>
        <v/>
      </c>
      <c r="P817" s="5">
        <f t="shared" si="200"/>
        <v>45810</v>
      </c>
      <c r="R817" s="19" t="str">
        <f t="shared" si="201"/>
        <v/>
      </c>
      <c r="S817" s="5">
        <f t="shared" si="210"/>
        <v>45815</v>
      </c>
      <c r="T817" s="4">
        <v>45812</v>
      </c>
      <c r="U817" s="19">
        <f t="shared" si="202"/>
        <v>3</v>
      </c>
      <c r="V817" s="5">
        <f t="shared" si="203"/>
        <v>45854</v>
      </c>
      <c r="W817" s="6">
        <v>45855</v>
      </c>
      <c r="X817" s="19">
        <f t="shared" si="204"/>
        <v>-1</v>
      </c>
      <c r="Y817" s="51">
        <f t="shared" si="196"/>
        <v>45882</v>
      </c>
      <c r="Z817" s="51">
        <v>45868</v>
      </c>
      <c r="AA817" s="49">
        <f t="shared" si="205"/>
        <v>14</v>
      </c>
      <c r="AB817" s="51">
        <f t="shared" si="206"/>
        <v>45884</v>
      </c>
      <c r="AC817" s="49">
        <f t="shared" si="207"/>
        <v>16</v>
      </c>
      <c r="AD817" s="43">
        <f t="shared" si="208"/>
        <v>45884</v>
      </c>
      <c r="AE817" s="4">
        <v>45868</v>
      </c>
      <c r="AF817" s="19">
        <f t="shared" si="218"/>
        <v>16</v>
      </c>
      <c r="AG817" s="10"/>
      <c r="AH817" s="1"/>
      <c r="AI817" s="1"/>
      <c r="AJ817" s="1"/>
      <c r="AK817" s="1"/>
      <c r="AL817" s="1"/>
    </row>
    <row r="818" spans="1:38" ht="14.45">
      <c r="A818" s="156">
        <v>817</v>
      </c>
      <c r="B818" s="59">
        <v>45884</v>
      </c>
      <c r="C818" s="34" t="s">
        <v>1762</v>
      </c>
      <c r="D818" s="23" t="s">
        <v>1763</v>
      </c>
      <c r="E818" s="23">
        <v>35990.85</v>
      </c>
      <c r="F818" s="23" t="s">
        <v>1764</v>
      </c>
      <c r="G818" s="14" t="s">
        <v>128</v>
      </c>
      <c r="H818" s="23" t="s">
        <v>40</v>
      </c>
      <c r="I818" s="23" t="s">
        <v>93</v>
      </c>
      <c r="J818" s="97">
        <f t="shared" si="197"/>
        <v>45784</v>
      </c>
      <c r="K818" s="4">
        <v>45805</v>
      </c>
      <c r="L818" s="19">
        <f t="shared" si="211"/>
        <v>-21</v>
      </c>
      <c r="M818" s="5">
        <f t="shared" si="198"/>
        <v>45795</v>
      </c>
      <c r="O818" s="19" t="str">
        <f t="shared" si="199"/>
        <v/>
      </c>
      <c r="P818" s="5">
        <f t="shared" si="200"/>
        <v>45810</v>
      </c>
      <c r="R818" s="19" t="str">
        <f t="shared" si="201"/>
        <v/>
      </c>
      <c r="S818" s="5">
        <f t="shared" si="210"/>
        <v>45815</v>
      </c>
      <c r="T818" s="4">
        <v>45832</v>
      </c>
      <c r="U818" s="19">
        <f t="shared" si="202"/>
        <v>-17</v>
      </c>
      <c r="V818" s="5">
        <f t="shared" si="203"/>
        <v>45854</v>
      </c>
      <c r="W818" s="6">
        <v>45873</v>
      </c>
      <c r="X818" s="19">
        <f t="shared" si="204"/>
        <v>-19</v>
      </c>
      <c r="Y818" s="51">
        <f t="shared" si="196"/>
        <v>45882</v>
      </c>
      <c r="Z818" s="4">
        <v>45884</v>
      </c>
      <c r="AA818" s="49">
        <f t="shared" si="205"/>
        <v>-2</v>
      </c>
      <c r="AB818" s="51">
        <f t="shared" si="206"/>
        <v>45884</v>
      </c>
      <c r="AC818" s="49">
        <f t="shared" si="207"/>
        <v>0</v>
      </c>
      <c r="AD818" s="43">
        <f t="shared" si="208"/>
        <v>45884</v>
      </c>
      <c r="AE818" s="4">
        <v>45922</v>
      </c>
      <c r="AF818" s="19">
        <f t="shared" si="218"/>
        <v>-38</v>
      </c>
      <c r="AG818" s="10"/>
      <c r="AH818" s="1"/>
      <c r="AI818" s="1"/>
      <c r="AJ818" s="1"/>
      <c r="AK818" s="1"/>
      <c r="AL818" s="1"/>
    </row>
    <row r="819" spans="1:38" ht="14.45">
      <c r="A819" s="156">
        <v>818</v>
      </c>
      <c r="B819" s="59">
        <v>45884</v>
      </c>
      <c r="C819" s="34" t="s">
        <v>1765</v>
      </c>
      <c r="D819" s="23" t="s">
        <v>1766</v>
      </c>
      <c r="E819" s="23">
        <v>801.58</v>
      </c>
      <c r="F819" s="23" t="s">
        <v>1767</v>
      </c>
      <c r="G819" s="23" t="s">
        <v>190</v>
      </c>
      <c r="H819" s="23" t="s">
        <v>40</v>
      </c>
      <c r="I819" s="23" t="s">
        <v>41</v>
      </c>
      <c r="J819" s="97">
        <f t="shared" si="197"/>
        <v>45784</v>
      </c>
      <c r="K819" s="4">
        <v>45818</v>
      </c>
      <c r="L819" s="19">
        <f t="shared" si="211"/>
        <v>-34</v>
      </c>
      <c r="M819" s="5">
        <f t="shared" si="198"/>
        <v>45795</v>
      </c>
      <c r="N819" s="4">
        <v>45819</v>
      </c>
      <c r="O819" s="19">
        <f t="shared" si="199"/>
        <v>-24</v>
      </c>
      <c r="P819" s="5">
        <f t="shared" si="200"/>
        <v>45810</v>
      </c>
      <c r="R819" s="19" t="str">
        <f t="shared" si="201"/>
        <v/>
      </c>
      <c r="S819" s="5">
        <f t="shared" si="210"/>
        <v>45815</v>
      </c>
      <c r="T819" s="4">
        <v>45831</v>
      </c>
      <c r="U819" s="19">
        <f t="shared" si="202"/>
        <v>-16</v>
      </c>
      <c r="V819" s="5">
        <f t="shared" si="203"/>
        <v>45854</v>
      </c>
      <c r="W819" s="6">
        <v>45855</v>
      </c>
      <c r="X819" s="19">
        <f t="shared" si="204"/>
        <v>-1</v>
      </c>
      <c r="Y819" s="66">
        <f t="shared" ref="Y819:Y882" si="219">B819-2</f>
        <v>45882</v>
      </c>
      <c r="Z819" s="51">
        <v>45884</v>
      </c>
      <c r="AA819" s="49">
        <f t="shared" si="205"/>
        <v>-2</v>
      </c>
      <c r="AB819" s="51">
        <f t="shared" si="206"/>
        <v>45884</v>
      </c>
      <c r="AC819" s="49">
        <f t="shared" si="207"/>
        <v>0</v>
      </c>
      <c r="AD819" s="43">
        <f t="shared" si="208"/>
        <v>45884</v>
      </c>
      <c r="AE819" s="4">
        <v>45887</v>
      </c>
      <c r="AF819" s="19">
        <f t="shared" si="218"/>
        <v>-3</v>
      </c>
      <c r="AG819" s="10"/>
      <c r="AH819" s="1"/>
      <c r="AI819" s="1"/>
      <c r="AJ819" s="1"/>
      <c r="AK819" s="1"/>
      <c r="AL819" s="1"/>
    </row>
    <row r="820" spans="1:38" ht="14.45">
      <c r="A820" s="156">
        <v>819</v>
      </c>
      <c r="B820" s="59">
        <v>45885</v>
      </c>
      <c r="C820" s="34" t="s">
        <v>1768</v>
      </c>
      <c r="D820" s="23" t="s">
        <v>1769</v>
      </c>
      <c r="E820" s="23">
        <v>4388.16</v>
      </c>
      <c r="F820" s="23" t="s">
        <v>1770</v>
      </c>
      <c r="G820" s="14" t="s">
        <v>46</v>
      </c>
      <c r="H820" s="23" t="s">
        <v>40</v>
      </c>
      <c r="I820" s="23" t="s">
        <v>323</v>
      </c>
      <c r="J820" s="97">
        <f t="shared" si="197"/>
        <v>45785</v>
      </c>
      <c r="K820" s="4">
        <v>45791</v>
      </c>
      <c r="L820" s="19">
        <f t="shared" si="211"/>
        <v>-6</v>
      </c>
      <c r="M820" s="5">
        <f t="shared" si="198"/>
        <v>45796</v>
      </c>
      <c r="O820" s="19" t="str">
        <f t="shared" si="199"/>
        <v/>
      </c>
      <c r="P820" s="5">
        <f t="shared" si="200"/>
        <v>45811</v>
      </c>
      <c r="R820" s="19" t="str">
        <f t="shared" si="201"/>
        <v/>
      </c>
      <c r="S820" s="5">
        <f t="shared" si="210"/>
        <v>45816</v>
      </c>
      <c r="T820" s="4">
        <v>45840</v>
      </c>
      <c r="U820" s="19">
        <f t="shared" si="202"/>
        <v>-24</v>
      </c>
      <c r="V820" s="5">
        <f t="shared" si="203"/>
        <v>45855</v>
      </c>
      <c r="W820" s="6">
        <v>45853</v>
      </c>
      <c r="X820" s="19">
        <f t="shared" si="204"/>
        <v>2</v>
      </c>
      <c r="Y820" s="51">
        <f t="shared" si="219"/>
        <v>45883</v>
      </c>
      <c r="Z820" s="4">
        <v>45884</v>
      </c>
      <c r="AA820" s="49">
        <f t="shared" si="205"/>
        <v>-1</v>
      </c>
      <c r="AB820" s="51">
        <f t="shared" si="206"/>
        <v>45885</v>
      </c>
      <c r="AC820" s="49">
        <f t="shared" si="207"/>
        <v>1</v>
      </c>
      <c r="AD820" s="43">
        <f t="shared" si="208"/>
        <v>45885</v>
      </c>
      <c r="AE820" s="4">
        <v>45884</v>
      </c>
      <c r="AF820" s="19">
        <f t="shared" si="218"/>
        <v>1</v>
      </c>
      <c r="AG820" s="10"/>
      <c r="AH820" s="1"/>
      <c r="AI820" s="1"/>
      <c r="AJ820" s="1"/>
      <c r="AK820" s="1"/>
      <c r="AL820" s="1"/>
    </row>
    <row r="821" spans="1:38" ht="14.45">
      <c r="A821" s="156">
        <v>820</v>
      </c>
      <c r="B821" s="59">
        <v>45885</v>
      </c>
      <c r="C821" s="34" t="s">
        <v>1771</v>
      </c>
      <c r="D821" s="23" t="s">
        <v>1769</v>
      </c>
      <c r="E821" s="23">
        <v>9772.8799999999992</v>
      </c>
      <c r="F821" s="23" t="s">
        <v>1772</v>
      </c>
      <c r="G821" s="14" t="s">
        <v>46</v>
      </c>
      <c r="H821" s="23" t="s">
        <v>40</v>
      </c>
      <c r="I821" s="23" t="s">
        <v>323</v>
      </c>
      <c r="J821" s="97">
        <f t="shared" si="197"/>
        <v>45785</v>
      </c>
      <c r="K821" s="4">
        <v>45791</v>
      </c>
      <c r="L821" s="19">
        <f t="shared" si="211"/>
        <v>-6</v>
      </c>
      <c r="M821" s="5">
        <f t="shared" si="198"/>
        <v>45796</v>
      </c>
      <c r="O821" s="19" t="str">
        <f t="shared" si="199"/>
        <v/>
      </c>
      <c r="P821" s="5">
        <f t="shared" si="200"/>
        <v>45811</v>
      </c>
      <c r="R821" s="19" t="str">
        <f t="shared" si="201"/>
        <v/>
      </c>
      <c r="S821" s="5">
        <f t="shared" si="210"/>
        <v>45816</v>
      </c>
      <c r="T821" s="4">
        <v>45840</v>
      </c>
      <c r="U821" s="19">
        <f t="shared" si="202"/>
        <v>-24</v>
      </c>
      <c r="V821" s="5">
        <f t="shared" si="203"/>
        <v>45855</v>
      </c>
      <c r="W821" s="6">
        <v>45853</v>
      </c>
      <c r="X821" s="19">
        <f t="shared" si="204"/>
        <v>2</v>
      </c>
      <c r="Y821" s="51">
        <f t="shared" si="219"/>
        <v>45883</v>
      </c>
      <c r="Z821" s="4">
        <v>45884</v>
      </c>
      <c r="AA821" s="49">
        <f t="shared" si="205"/>
        <v>-1</v>
      </c>
      <c r="AB821" s="51">
        <f t="shared" si="206"/>
        <v>45885</v>
      </c>
      <c r="AC821" s="49">
        <f t="shared" si="207"/>
        <v>1</v>
      </c>
      <c r="AD821" s="43">
        <f t="shared" si="208"/>
        <v>45885</v>
      </c>
      <c r="AE821" s="4">
        <v>45884</v>
      </c>
      <c r="AF821" s="19">
        <f t="shared" si="218"/>
        <v>1</v>
      </c>
      <c r="AG821" s="10"/>
      <c r="AH821" s="1"/>
      <c r="AI821" s="1"/>
      <c r="AJ821" s="1"/>
      <c r="AK821" s="1"/>
      <c r="AL821" s="1"/>
    </row>
    <row r="822" spans="1:38" ht="14.45">
      <c r="A822" s="156">
        <v>821</v>
      </c>
      <c r="B822" s="59">
        <v>45886</v>
      </c>
      <c r="C822" s="34" t="s">
        <v>1773</v>
      </c>
      <c r="D822" s="23" t="s">
        <v>321</v>
      </c>
      <c r="E822" s="23">
        <v>4402.5600000000004</v>
      </c>
      <c r="F822" s="23" t="s">
        <v>1774</v>
      </c>
      <c r="G822" s="14" t="s">
        <v>46</v>
      </c>
      <c r="H822" s="23" t="s">
        <v>40</v>
      </c>
      <c r="I822" s="23" t="s">
        <v>323</v>
      </c>
      <c r="J822" s="97">
        <f t="shared" si="197"/>
        <v>45786</v>
      </c>
      <c r="K822" s="4">
        <v>45791</v>
      </c>
      <c r="L822" s="19">
        <f t="shared" si="211"/>
        <v>-5</v>
      </c>
      <c r="M822" s="5">
        <f t="shared" si="198"/>
        <v>45797</v>
      </c>
      <c r="O822" s="19" t="str">
        <f t="shared" si="199"/>
        <v/>
      </c>
      <c r="P822" s="5">
        <f t="shared" si="200"/>
        <v>45812</v>
      </c>
      <c r="R822" s="19" t="str">
        <f t="shared" si="201"/>
        <v/>
      </c>
      <c r="S822" s="5">
        <f t="shared" si="210"/>
        <v>45817</v>
      </c>
      <c r="T822" s="4">
        <v>45840</v>
      </c>
      <c r="U822" s="19">
        <f t="shared" si="202"/>
        <v>-23</v>
      </c>
      <c r="V822" s="5">
        <f t="shared" si="203"/>
        <v>45856</v>
      </c>
      <c r="W822" s="6">
        <v>45854</v>
      </c>
      <c r="X822" s="19">
        <f t="shared" si="204"/>
        <v>2</v>
      </c>
      <c r="Y822" s="51">
        <f t="shared" si="219"/>
        <v>45884</v>
      </c>
      <c r="Z822" s="4">
        <v>45875</v>
      </c>
      <c r="AA822" s="49">
        <f t="shared" si="205"/>
        <v>9</v>
      </c>
      <c r="AB822" s="51">
        <f t="shared" si="206"/>
        <v>45886</v>
      </c>
      <c r="AC822" s="49">
        <f t="shared" si="207"/>
        <v>11</v>
      </c>
      <c r="AD822" s="43">
        <f t="shared" si="208"/>
        <v>45886</v>
      </c>
      <c r="AE822" s="4">
        <v>45875</v>
      </c>
      <c r="AF822" s="19">
        <f t="shared" si="218"/>
        <v>11</v>
      </c>
      <c r="AG822" s="10"/>
      <c r="AH822" s="1"/>
      <c r="AI822" s="1"/>
      <c r="AJ822" s="1"/>
      <c r="AK822" s="1"/>
      <c r="AL822" s="1"/>
    </row>
    <row r="823" spans="1:38" ht="14.45">
      <c r="A823" s="156">
        <v>822</v>
      </c>
      <c r="B823" s="59">
        <v>45886</v>
      </c>
      <c r="C823" s="34" t="s">
        <v>1775</v>
      </c>
      <c r="D823" s="23" t="s">
        <v>321</v>
      </c>
      <c r="E823" s="23">
        <v>5270</v>
      </c>
      <c r="F823" s="23" t="s">
        <v>1776</v>
      </c>
      <c r="G823" s="14" t="s">
        <v>46</v>
      </c>
      <c r="H823" s="23" t="s">
        <v>40</v>
      </c>
      <c r="I823" s="23" t="s">
        <v>323</v>
      </c>
      <c r="J823" s="97">
        <f t="shared" si="197"/>
        <v>45786</v>
      </c>
      <c r="K823" s="4">
        <v>45791</v>
      </c>
      <c r="L823" s="19">
        <f t="shared" si="211"/>
        <v>-5</v>
      </c>
      <c r="M823" s="5">
        <f t="shared" si="198"/>
        <v>45797</v>
      </c>
      <c r="O823" s="19" t="str">
        <f t="shared" si="199"/>
        <v/>
      </c>
      <c r="P823" s="5">
        <f t="shared" si="200"/>
        <v>45812</v>
      </c>
      <c r="R823" s="19" t="str">
        <f t="shared" si="201"/>
        <v/>
      </c>
      <c r="S823" s="5">
        <f t="shared" si="210"/>
        <v>45817</v>
      </c>
      <c r="T823" s="4">
        <v>45840</v>
      </c>
      <c r="U823" s="19">
        <f t="shared" si="202"/>
        <v>-23</v>
      </c>
      <c r="V823" s="5">
        <f t="shared" si="203"/>
        <v>45856</v>
      </c>
      <c r="W823" s="6">
        <v>45854</v>
      </c>
      <c r="X823" s="19">
        <f t="shared" si="204"/>
        <v>2</v>
      </c>
      <c r="Y823" s="51">
        <f t="shared" si="219"/>
        <v>45884</v>
      </c>
      <c r="Z823" s="4">
        <v>45875</v>
      </c>
      <c r="AA823" s="49">
        <f t="shared" si="205"/>
        <v>9</v>
      </c>
      <c r="AB823" s="51">
        <f t="shared" si="206"/>
        <v>45886</v>
      </c>
      <c r="AC823" s="49">
        <f t="shared" si="207"/>
        <v>11</v>
      </c>
      <c r="AD823" s="43">
        <f t="shared" si="208"/>
        <v>45886</v>
      </c>
      <c r="AE823" s="4">
        <v>45875</v>
      </c>
      <c r="AF823" s="19">
        <f t="shared" si="218"/>
        <v>11</v>
      </c>
      <c r="AG823" s="10"/>
      <c r="AH823" s="1"/>
      <c r="AI823" s="1"/>
      <c r="AJ823" s="1"/>
      <c r="AK823" s="1"/>
      <c r="AL823" s="1"/>
    </row>
    <row r="824" spans="1:38" ht="14.45">
      <c r="A824" s="156">
        <v>823</v>
      </c>
      <c r="B824" s="60">
        <v>45884</v>
      </c>
      <c r="C824" s="92" t="s">
        <v>1777</v>
      </c>
      <c r="D824" s="24" t="s">
        <v>38</v>
      </c>
      <c r="E824" s="73">
        <v>16.25</v>
      </c>
      <c r="F824" s="70" t="s">
        <v>1593</v>
      </c>
      <c r="G824" s="24" t="s">
        <v>190</v>
      </c>
      <c r="H824" s="24" t="s">
        <v>40</v>
      </c>
      <c r="I824" s="24" t="s">
        <v>41</v>
      </c>
      <c r="J824" s="98">
        <f t="shared" si="197"/>
        <v>45784</v>
      </c>
      <c r="K824" s="7">
        <v>45842</v>
      </c>
      <c r="L824" s="99">
        <f t="shared" ref="L824" si="220">IF(OR(J824="", K824=""), "", J824-K824)</f>
        <v>-58</v>
      </c>
      <c r="M824" s="20">
        <f t="shared" si="198"/>
        <v>45795</v>
      </c>
      <c r="N824" s="7">
        <v>45862</v>
      </c>
      <c r="O824" s="99">
        <f t="shared" ref="O824" si="221">IF(OR(M824="", N824=""), "", M824-N824)</f>
        <v>-67</v>
      </c>
      <c r="P824" s="20">
        <f t="shared" si="200"/>
        <v>45810</v>
      </c>
      <c r="Q824" s="4">
        <v>45870</v>
      </c>
      <c r="R824" s="99">
        <f t="shared" ref="R824" si="222">IF(OR(P824="", Q824=""), "", P824-Q824)</f>
        <v>-60</v>
      </c>
      <c r="S824" s="20">
        <f t="shared" si="210"/>
        <v>45815</v>
      </c>
      <c r="T824" s="7"/>
      <c r="U824" s="99" t="str">
        <f t="shared" ref="U824" si="223">IF(OR(S824="", T824=""), "", S824-T824)</f>
        <v/>
      </c>
      <c r="V824" s="20">
        <f t="shared" si="203"/>
        <v>45854</v>
      </c>
      <c r="W824" s="47"/>
      <c r="X824" s="99" t="str">
        <f t="shared" ref="X824" si="224">IF(OR(V824="", W824=""), "", V824-W824)</f>
        <v/>
      </c>
      <c r="Y824" s="66">
        <f t="shared" si="219"/>
        <v>45882</v>
      </c>
      <c r="Z824" s="66"/>
      <c r="AA824" s="50" t="str">
        <f t="shared" ref="AA824" si="225">IF(OR(Y824="", Z824=""), "", Y824-Z824)</f>
        <v/>
      </c>
      <c r="AB824" s="51">
        <f t="shared" si="206"/>
        <v>45884</v>
      </c>
      <c r="AC824" s="49" t="str">
        <f t="shared" si="207"/>
        <v/>
      </c>
      <c r="AD824" s="100">
        <f t="shared" si="208"/>
        <v>45884</v>
      </c>
      <c r="AE824" s="7">
        <v>45873</v>
      </c>
      <c r="AF824" s="99">
        <f t="shared" si="218"/>
        <v>11</v>
      </c>
      <c r="AG824" s="36" t="s">
        <v>367</v>
      </c>
      <c r="AH824" s="1"/>
      <c r="AI824" s="1"/>
      <c r="AJ824" s="1"/>
      <c r="AK824" s="1"/>
      <c r="AL824" s="1"/>
    </row>
    <row r="825" spans="1:38" ht="14.45">
      <c r="A825" s="156">
        <v>824</v>
      </c>
      <c r="B825" s="59">
        <v>45886</v>
      </c>
      <c r="C825" s="34" t="s">
        <v>1778</v>
      </c>
      <c r="D825" s="23" t="s">
        <v>38</v>
      </c>
      <c r="E825" s="23">
        <v>152.76</v>
      </c>
      <c r="F825" s="23" t="s">
        <v>1779</v>
      </c>
      <c r="G825" s="14" t="s">
        <v>190</v>
      </c>
      <c r="H825" s="23" t="s">
        <v>40</v>
      </c>
      <c r="I825" s="23" t="s">
        <v>41</v>
      </c>
      <c r="J825" s="97">
        <f t="shared" si="197"/>
        <v>45786</v>
      </c>
      <c r="K825" s="4">
        <v>45842</v>
      </c>
      <c r="L825" s="19">
        <f t="shared" si="211"/>
        <v>-56</v>
      </c>
      <c r="M825" s="5">
        <f t="shared" si="198"/>
        <v>45797</v>
      </c>
      <c r="N825" s="4">
        <v>45862</v>
      </c>
      <c r="O825" s="19">
        <f t="shared" si="199"/>
        <v>-65</v>
      </c>
      <c r="P825" s="5">
        <f t="shared" si="200"/>
        <v>45812</v>
      </c>
      <c r="Q825" s="4">
        <v>45870</v>
      </c>
      <c r="R825" s="19">
        <f t="shared" si="201"/>
        <v>-58</v>
      </c>
      <c r="S825" s="5">
        <f t="shared" si="210"/>
        <v>45817</v>
      </c>
      <c r="T825" s="4">
        <v>45873</v>
      </c>
      <c r="U825" s="19">
        <f t="shared" si="202"/>
        <v>-56</v>
      </c>
      <c r="V825" s="5">
        <f t="shared" si="203"/>
        <v>45856</v>
      </c>
      <c r="W825" s="4">
        <v>45873</v>
      </c>
      <c r="X825" s="19">
        <f t="shared" si="204"/>
        <v>-17</v>
      </c>
      <c r="Y825" s="51">
        <f t="shared" si="219"/>
        <v>45884</v>
      </c>
      <c r="Z825" s="4">
        <v>45873</v>
      </c>
      <c r="AA825" s="49">
        <f t="shared" si="205"/>
        <v>11</v>
      </c>
      <c r="AB825" s="51">
        <f t="shared" si="206"/>
        <v>45886</v>
      </c>
      <c r="AC825" s="49">
        <f t="shared" si="207"/>
        <v>13</v>
      </c>
      <c r="AD825" s="43">
        <f t="shared" si="208"/>
        <v>45886</v>
      </c>
      <c r="AE825" s="4">
        <v>45891</v>
      </c>
      <c r="AF825" s="19">
        <f t="shared" si="218"/>
        <v>-5</v>
      </c>
      <c r="AG825" s="10"/>
      <c r="AH825" s="1"/>
      <c r="AI825" s="1"/>
      <c r="AJ825" s="1"/>
      <c r="AK825" s="1"/>
      <c r="AL825" s="1"/>
    </row>
    <row r="826" spans="1:38" ht="14.45">
      <c r="A826" s="156">
        <v>825</v>
      </c>
      <c r="B826" s="59">
        <v>45886</v>
      </c>
      <c r="C826" s="89" t="s">
        <v>1780</v>
      </c>
      <c r="D826" s="23" t="s">
        <v>1781</v>
      </c>
      <c r="E826" s="23">
        <v>32803</v>
      </c>
      <c r="F826" s="23" t="s">
        <v>1782</v>
      </c>
      <c r="G826" s="14" t="s">
        <v>128</v>
      </c>
      <c r="H826" s="23" t="s">
        <v>40</v>
      </c>
      <c r="I826" s="23" t="s">
        <v>93</v>
      </c>
      <c r="J826" s="97">
        <f t="shared" si="197"/>
        <v>45786</v>
      </c>
      <c r="K826" s="4">
        <v>45836</v>
      </c>
      <c r="L826" s="19">
        <f t="shared" si="211"/>
        <v>-50</v>
      </c>
      <c r="M826" s="5">
        <f t="shared" si="198"/>
        <v>45797</v>
      </c>
      <c r="O826" s="19" t="str">
        <f t="shared" si="199"/>
        <v/>
      </c>
      <c r="P826" s="5">
        <f t="shared" si="200"/>
        <v>45812</v>
      </c>
      <c r="R826" s="19" t="str">
        <f t="shared" si="201"/>
        <v/>
      </c>
      <c r="S826" s="5">
        <f t="shared" si="210"/>
        <v>45817</v>
      </c>
      <c r="T826" s="4">
        <v>45834</v>
      </c>
      <c r="U826" s="19">
        <f t="shared" si="202"/>
        <v>-17</v>
      </c>
      <c r="V826" s="5">
        <f t="shared" si="203"/>
        <v>45856</v>
      </c>
      <c r="W826" s="6">
        <v>45873</v>
      </c>
      <c r="X826" s="19">
        <f t="shared" si="204"/>
        <v>-17</v>
      </c>
      <c r="Y826" s="51">
        <f t="shared" si="219"/>
        <v>45884</v>
      </c>
      <c r="Z826" s="51">
        <v>45883</v>
      </c>
      <c r="AA826" s="49">
        <f t="shared" si="205"/>
        <v>1</v>
      </c>
      <c r="AB826" s="51">
        <f t="shared" si="206"/>
        <v>45886</v>
      </c>
      <c r="AC826" s="49">
        <f t="shared" si="207"/>
        <v>3</v>
      </c>
      <c r="AD826" s="43">
        <f t="shared" si="208"/>
        <v>45886</v>
      </c>
      <c r="AF826" s="19" t="str">
        <f t="shared" si="218"/>
        <v/>
      </c>
      <c r="AG826" s="10"/>
      <c r="AH826" s="1"/>
      <c r="AI826" s="1"/>
      <c r="AJ826" s="1"/>
      <c r="AK826" s="1"/>
      <c r="AL826" s="1"/>
    </row>
    <row r="827" spans="1:38" ht="14.45">
      <c r="A827" s="156">
        <v>826</v>
      </c>
      <c r="B827" s="59">
        <v>45890</v>
      </c>
      <c r="C827" s="34" t="s">
        <v>1783</v>
      </c>
      <c r="D827" s="23" t="s">
        <v>1784</v>
      </c>
      <c r="E827" s="23">
        <v>383.21</v>
      </c>
      <c r="F827" s="23" t="s">
        <v>1785</v>
      </c>
      <c r="G827" s="23" t="s">
        <v>35</v>
      </c>
      <c r="H827" s="23" t="s">
        <v>40</v>
      </c>
      <c r="I827" s="23" t="s">
        <v>93</v>
      </c>
      <c r="J827" s="97">
        <f t="shared" si="197"/>
        <v>45790</v>
      </c>
      <c r="L827" s="19" t="str">
        <f t="shared" si="211"/>
        <v/>
      </c>
      <c r="M827" s="5">
        <f t="shared" si="198"/>
        <v>45801</v>
      </c>
      <c r="O827" s="19" t="str">
        <f t="shared" si="199"/>
        <v/>
      </c>
      <c r="P827" s="5">
        <f t="shared" si="200"/>
        <v>45816</v>
      </c>
      <c r="R827" s="19" t="str">
        <f t="shared" si="201"/>
        <v/>
      </c>
      <c r="S827" s="5">
        <f t="shared" si="210"/>
        <v>45821</v>
      </c>
      <c r="T827" s="4">
        <v>45842</v>
      </c>
      <c r="U827" s="19">
        <f t="shared" si="202"/>
        <v>-21</v>
      </c>
      <c r="V827" s="5">
        <f t="shared" si="203"/>
        <v>45860</v>
      </c>
      <c r="W827" s="6">
        <v>45866</v>
      </c>
      <c r="X827" s="19">
        <f t="shared" si="204"/>
        <v>-6</v>
      </c>
      <c r="Y827" s="51">
        <f t="shared" si="219"/>
        <v>45888</v>
      </c>
      <c r="Z827" s="51">
        <v>45869</v>
      </c>
      <c r="AA827" s="49">
        <f t="shared" si="205"/>
        <v>19</v>
      </c>
      <c r="AB827" s="51">
        <f t="shared" si="206"/>
        <v>45890</v>
      </c>
      <c r="AC827" s="49">
        <f t="shared" si="207"/>
        <v>21</v>
      </c>
      <c r="AD827" s="43">
        <f t="shared" si="208"/>
        <v>45890</v>
      </c>
      <c r="AE827" s="4">
        <v>45868</v>
      </c>
      <c r="AF827" s="19">
        <f t="shared" si="218"/>
        <v>22</v>
      </c>
      <c r="AG827" s="10"/>
      <c r="AH827" s="1"/>
      <c r="AI827" s="1"/>
      <c r="AJ827" s="1"/>
      <c r="AK827" s="1"/>
      <c r="AL827" s="1"/>
    </row>
    <row r="828" spans="1:38" ht="14.45">
      <c r="A828" s="156">
        <v>827</v>
      </c>
      <c r="B828" s="59">
        <v>45891</v>
      </c>
      <c r="C828" s="41" t="s">
        <v>1786</v>
      </c>
      <c r="D828" s="23" t="s">
        <v>596</v>
      </c>
      <c r="E828" s="23">
        <v>115483.28</v>
      </c>
      <c r="F828" s="23" t="s">
        <v>1787</v>
      </c>
      <c r="G828" s="23" t="s">
        <v>51</v>
      </c>
      <c r="H828" s="23" t="s">
        <v>40</v>
      </c>
      <c r="I828" s="23" t="s">
        <v>62</v>
      </c>
      <c r="J828" s="97">
        <f t="shared" si="197"/>
        <v>45791</v>
      </c>
      <c r="L828" s="19" t="str">
        <f t="shared" si="211"/>
        <v/>
      </c>
      <c r="M828" s="5">
        <f t="shared" si="198"/>
        <v>45802</v>
      </c>
      <c r="O828" s="19" t="str">
        <f t="shared" si="199"/>
        <v/>
      </c>
      <c r="P828" s="5">
        <f t="shared" si="200"/>
        <v>45817</v>
      </c>
      <c r="R828" s="19" t="str">
        <f t="shared" si="201"/>
        <v/>
      </c>
      <c r="S828" s="5">
        <f t="shared" si="210"/>
        <v>45822</v>
      </c>
      <c r="U828" s="19" t="str">
        <f t="shared" si="202"/>
        <v/>
      </c>
      <c r="V828" s="5">
        <f t="shared" si="203"/>
        <v>45861</v>
      </c>
      <c r="W828" s="6"/>
      <c r="X828" s="19" t="str">
        <f t="shared" si="204"/>
        <v/>
      </c>
      <c r="Y828" s="51">
        <f t="shared" si="219"/>
        <v>45889</v>
      </c>
      <c r="Z828" s="49"/>
      <c r="AA828" s="49" t="str">
        <f t="shared" si="205"/>
        <v/>
      </c>
      <c r="AB828" s="51">
        <f t="shared" si="206"/>
        <v>45891</v>
      </c>
      <c r="AC828" s="49" t="str">
        <f t="shared" si="207"/>
        <v/>
      </c>
      <c r="AD828" s="43">
        <f t="shared" si="208"/>
        <v>45891</v>
      </c>
      <c r="AF828" s="19" t="str">
        <f t="shared" si="218"/>
        <v/>
      </c>
      <c r="AG828" s="67" t="s">
        <v>367</v>
      </c>
      <c r="AH828" s="1"/>
      <c r="AI828" s="1"/>
      <c r="AJ828" s="1"/>
      <c r="AK828" s="1"/>
      <c r="AL828" s="1"/>
    </row>
    <row r="829" spans="1:38" ht="14.45">
      <c r="A829" s="156">
        <v>828</v>
      </c>
      <c r="B829" s="59">
        <v>45891</v>
      </c>
      <c r="C829" s="41" t="s">
        <v>1788</v>
      </c>
      <c r="D829" s="23" t="s">
        <v>596</v>
      </c>
      <c r="E829" s="23">
        <v>183194.63</v>
      </c>
      <c r="F829" s="23" t="s">
        <v>1789</v>
      </c>
      <c r="G829" s="23" t="s">
        <v>51</v>
      </c>
      <c r="H829" s="23" t="s">
        <v>40</v>
      </c>
      <c r="I829" s="23" t="s">
        <v>62</v>
      </c>
      <c r="J829" s="97">
        <f t="shared" si="197"/>
        <v>45791</v>
      </c>
      <c r="L829" s="19" t="str">
        <f t="shared" si="211"/>
        <v/>
      </c>
      <c r="M829" s="5">
        <f t="shared" si="198"/>
        <v>45802</v>
      </c>
      <c r="O829" s="19" t="str">
        <f t="shared" si="199"/>
        <v/>
      </c>
      <c r="P829" s="5">
        <f t="shared" si="200"/>
        <v>45817</v>
      </c>
      <c r="R829" s="19" t="str">
        <f t="shared" si="201"/>
        <v/>
      </c>
      <c r="S829" s="5">
        <f t="shared" si="210"/>
        <v>45822</v>
      </c>
      <c r="U829" s="19" t="str">
        <f t="shared" si="202"/>
        <v/>
      </c>
      <c r="V829" s="5">
        <f t="shared" si="203"/>
        <v>45861</v>
      </c>
      <c r="W829" s="6"/>
      <c r="X829" s="19" t="str">
        <f t="shared" si="204"/>
        <v/>
      </c>
      <c r="Y829" s="51">
        <f t="shared" si="219"/>
        <v>45889</v>
      </c>
      <c r="Z829" s="49"/>
      <c r="AA829" s="49" t="str">
        <f t="shared" si="205"/>
        <v/>
      </c>
      <c r="AB829" s="51">
        <f t="shared" si="206"/>
        <v>45891</v>
      </c>
      <c r="AC829" s="49" t="str">
        <f t="shared" si="207"/>
        <v/>
      </c>
      <c r="AD829" s="43">
        <f t="shared" si="208"/>
        <v>45891</v>
      </c>
      <c r="AF829" s="19" t="str">
        <f t="shared" si="218"/>
        <v/>
      </c>
      <c r="AG829" s="67" t="s">
        <v>367</v>
      </c>
      <c r="AH829" s="1"/>
      <c r="AI829" s="1"/>
      <c r="AJ829" s="1"/>
      <c r="AK829" s="1"/>
      <c r="AL829" s="1"/>
    </row>
    <row r="830" spans="1:38" ht="14.45">
      <c r="A830" s="156">
        <v>829</v>
      </c>
      <c r="B830" s="59">
        <v>45891</v>
      </c>
      <c r="C830" s="34" t="s">
        <v>1790</v>
      </c>
      <c r="D830" s="23" t="s">
        <v>1791</v>
      </c>
      <c r="E830" s="23">
        <v>1086.9100000000001</v>
      </c>
      <c r="F830" s="23" t="s">
        <v>1792</v>
      </c>
      <c r="G830" s="14" t="s">
        <v>46</v>
      </c>
      <c r="H830" s="23" t="s">
        <v>40</v>
      </c>
      <c r="I830" s="23" t="s">
        <v>93</v>
      </c>
      <c r="J830" s="97">
        <f t="shared" si="197"/>
        <v>45791</v>
      </c>
      <c r="K830" s="4">
        <v>45803</v>
      </c>
      <c r="L830" s="19">
        <f t="shared" si="211"/>
        <v>-12</v>
      </c>
      <c r="M830" s="5">
        <f t="shared" si="198"/>
        <v>45802</v>
      </c>
      <c r="O830" s="19" t="str">
        <f t="shared" si="199"/>
        <v/>
      </c>
      <c r="P830" s="5">
        <f t="shared" si="200"/>
        <v>45817</v>
      </c>
      <c r="R830" s="19" t="str">
        <f t="shared" si="201"/>
        <v/>
      </c>
      <c r="S830" s="5">
        <f t="shared" si="210"/>
        <v>45822</v>
      </c>
      <c r="T830" s="4">
        <v>45819</v>
      </c>
      <c r="U830" s="19">
        <f t="shared" si="202"/>
        <v>3</v>
      </c>
      <c r="V830" s="5">
        <f t="shared" si="203"/>
        <v>45861</v>
      </c>
      <c r="W830" s="6">
        <v>45868</v>
      </c>
      <c r="X830" s="19">
        <f t="shared" si="204"/>
        <v>-7</v>
      </c>
      <c r="Y830" s="51">
        <f t="shared" si="219"/>
        <v>45889</v>
      </c>
      <c r="Z830" s="4">
        <v>45889</v>
      </c>
      <c r="AA830" s="49">
        <f t="shared" si="205"/>
        <v>0</v>
      </c>
      <c r="AB830" s="51">
        <f t="shared" si="206"/>
        <v>45891</v>
      </c>
      <c r="AC830" s="49">
        <f t="shared" si="207"/>
        <v>2</v>
      </c>
      <c r="AD830" s="43">
        <f t="shared" si="208"/>
        <v>45891</v>
      </c>
      <c r="AE830" s="4">
        <v>45895</v>
      </c>
      <c r="AF830" s="19">
        <f t="shared" si="218"/>
        <v>-4</v>
      </c>
      <c r="AG830" s="10"/>
      <c r="AH830" s="1"/>
      <c r="AI830" s="1"/>
      <c r="AJ830" s="1"/>
      <c r="AK830" s="1"/>
      <c r="AL830" s="1"/>
    </row>
    <row r="831" spans="1:38" ht="14.45">
      <c r="A831" s="156">
        <v>830</v>
      </c>
      <c r="B831" s="59">
        <v>45891</v>
      </c>
      <c r="C831" s="34" t="s">
        <v>1793</v>
      </c>
      <c r="D831" s="23" t="s">
        <v>1794</v>
      </c>
      <c r="E831" s="23">
        <v>6432.32</v>
      </c>
      <c r="F831" s="23" t="s">
        <v>1795</v>
      </c>
      <c r="G831" s="14" t="s">
        <v>46</v>
      </c>
      <c r="H831" s="23" t="s">
        <v>36</v>
      </c>
      <c r="I831" s="23" t="s">
        <v>93</v>
      </c>
      <c r="J831" s="97">
        <f t="shared" si="197"/>
        <v>45791</v>
      </c>
      <c r="K831" s="4">
        <v>45803</v>
      </c>
      <c r="L831" s="19">
        <f t="shared" si="211"/>
        <v>-12</v>
      </c>
      <c r="M831" s="5">
        <f t="shared" si="198"/>
        <v>45802</v>
      </c>
      <c r="O831" s="19" t="str">
        <f t="shared" si="199"/>
        <v/>
      </c>
      <c r="P831" s="5">
        <f t="shared" si="200"/>
        <v>45817</v>
      </c>
      <c r="R831" s="19" t="str">
        <f t="shared" si="201"/>
        <v/>
      </c>
      <c r="S831" s="5">
        <f t="shared" si="210"/>
        <v>45822</v>
      </c>
      <c r="T831" s="4">
        <v>45812</v>
      </c>
      <c r="U831" s="19">
        <f t="shared" si="202"/>
        <v>10</v>
      </c>
      <c r="V831" s="5">
        <f t="shared" si="203"/>
        <v>45861</v>
      </c>
      <c r="W831" s="6">
        <v>45859</v>
      </c>
      <c r="X831" s="19">
        <f t="shared" si="204"/>
        <v>2</v>
      </c>
      <c r="Y831" s="51">
        <f t="shared" si="219"/>
        <v>45889</v>
      </c>
      <c r="Z831" s="4">
        <v>45887</v>
      </c>
      <c r="AA831" s="49">
        <f t="shared" si="205"/>
        <v>2</v>
      </c>
      <c r="AB831" s="51">
        <f t="shared" si="206"/>
        <v>45891</v>
      </c>
      <c r="AC831" s="49">
        <f t="shared" si="207"/>
        <v>4</v>
      </c>
      <c r="AD831" s="43">
        <f t="shared" si="208"/>
        <v>45891</v>
      </c>
      <c r="AE831" s="4">
        <v>45887</v>
      </c>
      <c r="AF831" s="19">
        <f t="shared" si="218"/>
        <v>4</v>
      </c>
      <c r="AG831" s="10"/>
      <c r="AH831" s="1"/>
      <c r="AI831" s="1"/>
      <c r="AJ831" s="1"/>
      <c r="AK831" s="1"/>
      <c r="AL831" s="1"/>
    </row>
    <row r="832" spans="1:38" ht="14.45">
      <c r="A832" s="156">
        <v>831</v>
      </c>
      <c r="B832" s="59">
        <v>45891</v>
      </c>
      <c r="C832" s="34">
        <v>111758197</v>
      </c>
      <c r="D832" s="23" t="s">
        <v>1796</v>
      </c>
      <c r="E832" s="23">
        <v>172920.43</v>
      </c>
      <c r="F832" s="23" t="s">
        <v>1797</v>
      </c>
      <c r="G832" s="14" t="s">
        <v>35</v>
      </c>
      <c r="H832" s="23" t="s">
        <v>36</v>
      </c>
      <c r="I832" s="23" t="s">
        <v>37</v>
      </c>
      <c r="J832" s="97">
        <f t="shared" si="197"/>
        <v>45791</v>
      </c>
      <c r="L832" s="19" t="str">
        <f t="shared" si="211"/>
        <v/>
      </c>
      <c r="M832" s="5">
        <f t="shared" si="198"/>
        <v>45802</v>
      </c>
      <c r="O832" s="19" t="str">
        <f t="shared" si="199"/>
        <v/>
      </c>
      <c r="P832" s="5">
        <f t="shared" si="200"/>
        <v>45817</v>
      </c>
      <c r="R832" s="19" t="str">
        <f t="shared" si="201"/>
        <v/>
      </c>
      <c r="S832" s="5">
        <f t="shared" si="210"/>
        <v>45822</v>
      </c>
      <c r="T832" s="4">
        <v>45841</v>
      </c>
      <c r="U832" s="19">
        <f t="shared" si="202"/>
        <v>-19</v>
      </c>
      <c r="V832" s="5">
        <f t="shared" si="203"/>
        <v>45861</v>
      </c>
      <c r="W832" s="6">
        <v>45862</v>
      </c>
      <c r="X832" s="19">
        <f t="shared" si="204"/>
        <v>-1</v>
      </c>
      <c r="Y832" s="51">
        <f t="shared" si="219"/>
        <v>45889</v>
      </c>
      <c r="Z832" s="51">
        <v>45884</v>
      </c>
      <c r="AA832" s="49">
        <f t="shared" si="205"/>
        <v>5</v>
      </c>
      <c r="AB832" s="51">
        <f t="shared" si="206"/>
        <v>45891</v>
      </c>
      <c r="AC832" s="49">
        <f t="shared" si="207"/>
        <v>7</v>
      </c>
      <c r="AD832" s="43">
        <f t="shared" si="208"/>
        <v>45891</v>
      </c>
      <c r="AE832" s="4">
        <v>45884</v>
      </c>
      <c r="AF832" s="19">
        <f t="shared" si="218"/>
        <v>7</v>
      </c>
      <c r="AG832" s="10"/>
      <c r="AH832" s="1"/>
      <c r="AI832" s="1"/>
      <c r="AJ832" s="1"/>
      <c r="AK832" s="1"/>
      <c r="AL832" s="1"/>
    </row>
    <row r="833" spans="1:38" ht="14.45">
      <c r="A833" s="156">
        <v>832</v>
      </c>
      <c r="B833" s="59">
        <v>45891</v>
      </c>
      <c r="C833" s="34">
        <v>111761792</v>
      </c>
      <c r="D833" s="23" t="s">
        <v>1798</v>
      </c>
      <c r="E833" s="23">
        <v>51351.03</v>
      </c>
      <c r="F833" s="23" t="s">
        <v>1799</v>
      </c>
      <c r="G833" s="14" t="s">
        <v>35</v>
      </c>
      <c r="H833" s="23" t="s">
        <v>36</v>
      </c>
      <c r="I833" s="23" t="s">
        <v>37</v>
      </c>
      <c r="J833" s="97">
        <f t="shared" si="197"/>
        <v>45791</v>
      </c>
      <c r="L833" s="19" t="str">
        <f t="shared" si="211"/>
        <v/>
      </c>
      <c r="M833" s="5">
        <f t="shared" si="198"/>
        <v>45802</v>
      </c>
      <c r="O833" s="19" t="str">
        <f t="shared" si="199"/>
        <v/>
      </c>
      <c r="P833" s="5">
        <f t="shared" si="200"/>
        <v>45817</v>
      </c>
      <c r="R833" s="19" t="str">
        <f t="shared" si="201"/>
        <v/>
      </c>
      <c r="S833" s="5">
        <f t="shared" si="210"/>
        <v>45822</v>
      </c>
      <c r="T833" s="4">
        <v>45842</v>
      </c>
      <c r="U833" s="19">
        <f t="shared" si="202"/>
        <v>-20</v>
      </c>
      <c r="V833" s="5">
        <f t="shared" si="203"/>
        <v>45861</v>
      </c>
      <c r="W833" s="6">
        <v>45866</v>
      </c>
      <c r="X833" s="19">
        <f t="shared" si="204"/>
        <v>-5</v>
      </c>
      <c r="Y833" s="51">
        <f t="shared" si="219"/>
        <v>45889</v>
      </c>
      <c r="Z833" s="51">
        <v>45890</v>
      </c>
      <c r="AA833" s="49">
        <f t="shared" si="205"/>
        <v>-1</v>
      </c>
      <c r="AB833" s="51">
        <f t="shared" si="206"/>
        <v>45891</v>
      </c>
      <c r="AC833" s="49">
        <f t="shared" si="207"/>
        <v>1</v>
      </c>
      <c r="AD833" s="43">
        <f t="shared" si="208"/>
        <v>45891</v>
      </c>
      <c r="AE833" s="4">
        <v>45903</v>
      </c>
      <c r="AF833" s="19">
        <f t="shared" si="218"/>
        <v>-12</v>
      </c>
      <c r="AG833" s="10"/>
      <c r="AH833" s="1"/>
      <c r="AI833" s="1"/>
      <c r="AJ833" s="1"/>
      <c r="AK833" s="1"/>
      <c r="AL833" s="1"/>
    </row>
    <row r="834" spans="1:38" ht="14.45">
      <c r="A834" s="156">
        <v>833</v>
      </c>
      <c r="B834" s="59">
        <v>45892</v>
      </c>
      <c r="C834" s="34" t="s">
        <v>1800</v>
      </c>
      <c r="D834" s="23" t="s">
        <v>1801</v>
      </c>
      <c r="E834" s="23">
        <v>2232.0300000000002</v>
      </c>
      <c r="F834" s="23" t="s">
        <v>1802</v>
      </c>
      <c r="G834" s="14" t="s">
        <v>128</v>
      </c>
      <c r="H834" s="23" t="s">
        <v>40</v>
      </c>
      <c r="I834" s="23" t="s">
        <v>93</v>
      </c>
      <c r="J834" s="97">
        <f t="shared" ref="J834:J897" si="226">B834-100</f>
        <v>45792</v>
      </c>
      <c r="K834" s="4">
        <v>45805</v>
      </c>
      <c r="L834" s="19">
        <f t="shared" si="211"/>
        <v>-13</v>
      </c>
      <c r="M834" s="5">
        <f t="shared" ref="M834:M897" si="227">B834-89</f>
        <v>45803</v>
      </c>
      <c r="O834" s="19" t="str">
        <f t="shared" si="199"/>
        <v/>
      </c>
      <c r="P834" s="5">
        <f t="shared" ref="P834:P897" si="228">B834-74</f>
        <v>45818</v>
      </c>
      <c r="R834" s="19" t="str">
        <f t="shared" si="201"/>
        <v/>
      </c>
      <c r="S834" s="5">
        <f t="shared" si="210"/>
        <v>45823</v>
      </c>
      <c r="U834" s="19" t="str">
        <f t="shared" si="202"/>
        <v/>
      </c>
      <c r="V834" s="5">
        <f t="shared" ref="V834:V897" si="229">B834-30</f>
        <v>45862</v>
      </c>
      <c r="W834" s="6">
        <v>45873</v>
      </c>
      <c r="X834" s="19">
        <f t="shared" si="204"/>
        <v>-11</v>
      </c>
      <c r="Y834" s="51">
        <f t="shared" si="219"/>
        <v>45890</v>
      </c>
      <c r="Z834" s="51">
        <v>45891</v>
      </c>
      <c r="AA834" s="49">
        <f t="shared" si="205"/>
        <v>-1</v>
      </c>
      <c r="AB834" s="51">
        <f t="shared" ref="AB834:AB897" si="230">IF(B834&lt;&gt;"", B834, "")</f>
        <v>45892</v>
      </c>
      <c r="AC834" s="49">
        <f t="shared" ref="AC834:AC897" si="231">IF(OR(AB834="", Z834=""), "", AB834-Z834)</f>
        <v>1</v>
      </c>
      <c r="AD834" s="43">
        <f t="shared" ref="AD834:AD897" si="232">IF(B834&lt;&gt;"", B834, "")</f>
        <v>45892</v>
      </c>
      <c r="AF834" s="19" t="str">
        <f t="shared" si="218"/>
        <v/>
      </c>
      <c r="AG834" s="10"/>
      <c r="AH834" s="1"/>
      <c r="AI834" s="1"/>
      <c r="AJ834" s="1"/>
      <c r="AK834" s="1"/>
      <c r="AL834" s="1"/>
    </row>
    <row r="835" spans="1:38" ht="14.45">
      <c r="A835" s="156">
        <v>834</v>
      </c>
      <c r="B835" s="59">
        <v>45892</v>
      </c>
      <c r="C835" s="34">
        <v>111757761</v>
      </c>
      <c r="D835" s="23" t="s">
        <v>1803</v>
      </c>
      <c r="E835" s="23">
        <v>1480.15</v>
      </c>
      <c r="F835" s="23" t="s">
        <v>1804</v>
      </c>
      <c r="G835" s="14" t="s">
        <v>35</v>
      </c>
      <c r="H835" s="23" t="s">
        <v>36</v>
      </c>
      <c r="I835" s="23" t="s">
        <v>93</v>
      </c>
      <c r="J835" s="97">
        <f t="shared" si="226"/>
        <v>45792</v>
      </c>
      <c r="L835" s="19" t="str">
        <f t="shared" si="211"/>
        <v/>
      </c>
      <c r="M835" s="5">
        <f t="shared" si="227"/>
        <v>45803</v>
      </c>
      <c r="O835" s="19" t="str">
        <f t="shared" si="199"/>
        <v/>
      </c>
      <c r="P835" s="5">
        <f t="shared" si="228"/>
        <v>45818</v>
      </c>
      <c r="R835" s="19" t="str">
        <f t="shared" si="201"/>
        <v/>
      </c>
      <c r="S835" s="5">
        <f t="shared" si="210"/>
        <v>45823</v>
      </c>
      <c r="T835" s="4">
        <v>45842</v>
      </c>
      <c r="U835" s="19">
        <f t="shared" si="202"/>
        <v>-19</v>
      </c>
      <c r="V835" s="5">
        <f t="shared" si="229"/>
        <v>45862</v>
      </c>
      <c r="W835" s="6">
        <v>45866</v>
      </c>
      <c r="X835" s="19">
        <f t="shared" si="204"/>
        <v>-4</v>
      </c>
      <c r="Y835" s="51">
        <f t="shared" si="219"/>
        <v>45890</v>
      </c>
      <c r="Z835" s="51">
        <v>45882</v>
      </c>
      <c r="AA835" s="49">
        <f t="shared" si="205"/>
        <v>8</v>
      </c>
      <c r="AB835" s="51">
        <f t="shared" si="230"/>
        <v>45892</v>
      </c>
      <c r="AC835" s="49">
        <f t="shared" si="231"/>
        <v>10</v>
      </c>
      <c r="AD835" s="43">
        <f t="shared" si="232"/>
        <v>45892</v>
      </c>
      <c r="AE835" s="4">
        <v>45882</v>
      </c>
      <c r="AF835" s="19">
        <f t="shared" si="218"/>
        <v>10</v>
      </c>
      <c r="AG835" s="10"/>
      <c r="AH835" s="1"/>
      <c r="AI835" s="1"/>
      <c r="AJ835" s="1"/>
      <c r="AK835" s="1"/>
      <c r="AL835" s="1"/>
    </row>
    <row r="836" spans="1:38" ht="14.45">
      <c r="A836" s="156">
        <v>835</v>
      </c>
      <c r="B836" s="59">
        <v>45893</v>
      </c>
      <c r="C836" s="34" t="s">
        <v>1805</v>
      </c>
      <c r="D836" s="23" t="s">
        <v>38</v>
      </c>
      <c r="E836" s="23">
        <v>481.91</v>
      </c>
      <c r="F836" s="23" t="s">
        <v>1806</v>
      </c>
      <c r="G836" s="14" t="s">
        <v>190</v>
      </c>
      <c r="H836" s="23" t="s">
        <v>40</v>
      </c>
      <c r="I836" s="23" t="s">
        <v>41</v>
      </c>
      <c r="J836" s="97">
        <f t="shared" si="226"/>
        <v>45793</v>
      </c>
      <c r="K836" s="4">
        <v>45842</v>
      </c>
      <c r="L836" s="19">
        <f t="shared" si="211"/>
        <v>-49</v>
      </c>
      <c r="M836" s="5">
        <f t="shared" si="227"/>
        <v>45804</v>
      </c>
      <c r="N836" s="4">
        <v>45862</v>
      </c>
      <c r="O836" s="19">
        <f t="shared" si="199"/>
        <v>-58</v>
      </c>
      <c r="P836" s="5">
        <f t="shared" si="228"/>
        <v>45819</v>
      </c>
      <c r="Q836" s="4">
        <v>45870</v>
      </c>
      <c r="R836" s="19">
        <f t="shared" si="201"/>
        <v>-51</v>
      </c>
      <c r="S836" s="5">
        <f t="shared" si="210"/>
        <v>45824</v>
      </c>
      <c r="T836" s="4">
        <v>45873</v>
      </c>
      <c r="U836" s="19">
        <f t="shared" si="202"/>
        <v>-49</v>
      </c>
      <c r="V836" s="5">
        <f t="shared" si="229"/>
        <v>45863</v>
      </c>
      <c r="W836" s="4">
        <v>45873</v>
      </c>
      <c r="X836" s="19">
        <f t="shared" si="204"/>
        <v>-10</v>
      </c>
      <c r="Y836" s="51">
        <f t="shared" si="219"/>
        <v>45891</v>
      </c>
      <c r="Z836" s="4">
        <v>45873</v>
      </c>
      <c r="AA836" s="49">
        <f t="shared" si="205"/>
        <v>18</v>
      </c>
      <c r="AB836" s="51">
        <f t="shared" si="230"/>
        <v>45893</v>
      </c>
      <c r="AC836" s="49">
        <f t="shared" si="231"/>
        <v>20</v>
      </c>
      <c r="AD836" s="43">
        <f t="shared" si="232"/>
        <v>45893</v>
      </c>
      <c r="AE836" s="4">
        <v>45891</v>
      </c>
      <c r="AF836" s="19">
        <f t="shared" si="218"/>
        <v>2</v>
      </c>
      <c r="AG836" s="10"/>
      <c r="AH836" s="1"/>
      <c r="AI836" s="1"/>
      <c r="AJ836" s="1"/>
      <c r="AK836" s="1"/>
      <c r="AL836" s="1"/>
    </row>
    <row r="837" spans="1:38" ht="14.45">
      <c r="A837" s="156">
        <v>836</v>
      </c>
      <c r="B837" s="59">
        <v>45893</v>
      </c>
      <c r="C837" s="34" t="s">
        <v>1807</v>
      </c>
      <c r="D837" s="23" t="s">
        <v>300</v>
      </c>
      <c r="E837" s="23">
        <v>300142</v>
      </c>
      <c r="F837" s="23" t="s">
        <v>1808</v>
      </c>
      <c r="G837" s="14" t="s">
        <v>35</v>
      </c>
      <c r="H837" s="23" t="s">
        <v>36</v>
      </c>
      <c r="I837" s="23" t="s">
        <v>47</v>
      </c>
      <c r="J837" s="97">
        <f t="shared" si="226"/>
        <v>45793</v>
      </c>
      <c r="L837" s="19" t="str">
        <f t="shared" si="211"/>
        <v/>
      </c>
      <c r="M837" s="5">
        <f t="shared" si="227"/>
        <v>45804</v>
      </c>
      <c r="O837" s="19" t="str">
        <f t="shared" ref="O837:O902" si="233">IF(OR(M837="", N837=""), "", M837-N837)</f>
        <v/>
      </c>
      <c r="P837" s="5">
        <f t="shared" si="228"/>
        <v>45819</v>
      </c>
      <c r="R837" s="19" t="str">
        <f t="shared" ref="R837:R902" si="234">IF(OR(P837="", Q837=""), "", P837-Q837)</f>
        <v/>
      </c>
      <c r="S837" s="5">
        <f t="shared" ref="S837:S900" si="235">B837-69</f>
        <v>45824</v>
      </c>
      <c r="T837" s="4">
        <v>45866</v>
      </c>
      <c r="U837" s="19">
        <f t="shared" ref="U837:U902" si="236">IF(OR(S837="", T837=""), "", S837-T837)</f>
        <v>-42</v>
      </c>
      <c r="V837" s="5">
        <f t="shared" si="229"/>
        <v>45863</v>
      </c>
      <c r="W837" s="6">
        <v>45867</v>
      </c>
      <c r="X837" s="19">
        <f t="shared" ref="X837:X902" si="237">IF(OR(V837="", W837=""), "", V837-W837)</f>
        <v>-4</v>
      </c>
      <c r="Y837" s="51">
        <f t="shared" si="219"/>
        <v>45891</v>
      </c>
      <c r="Z837" s="51">
        <v>45890</v>
      </c>
      <c r="AA837" s="49">
        <f t="shared" ref="AA837:AA902" si="238">IF(OR(Y837="", Z837=""), "", Y837-Z837)</f>
        <v>1</v>
      </c>
      <c r="AB837" s="51">
        <f t="shared" si="230"/>
        <v>45893</v>
      </c>
      <c r="AC837" s="49">
        <f t="shared" si="231"/>
        <v>3</v>
      </c>
      <c r="AD837" s="43">
        <f t="shared" si="232"/>
        <v>45893</v>
      </c>
      <c r="AE837" s="4">
        <v>45891</v>
      </c>
      <c r="AF837" s="19">
        <f t="shared" si="218"/>
        <v>2</v>
      </c>
      <c r="AG837" s="10"/>
      <c r="AH837" s="1"/>
      <c r="AI837" s="1"/>
      <c r="AJ837" s="1"/>
      <c r="AK837" s="1"/>
      <c r="AL837" s="1"/>
    </row>
    <row r="838" spans="1:38" ht="14.45">
      <c r="A838" s="156">
        <v>837</v>
      </c>
      <c r="B838" s="59">
        <v>45893</v>
      </c>
      <c r="C838" s="34" t="s">
        <v>1809</v>
      </c>
      <c r="D838" s="23" t="s">
        <v>1810</v>
      </c>
      <c r="E838" s="23">
        <v>60117.38</v>
      </c>
      <c r="F838" s="23" t="s">
        <v>1811</v>
      </c>
      <c r="G838" s="10" t="s">
        <v>120</v>
      </c>
      <c r="H838" s="23" t="s">
        <v>36</v>
      </c>
      <c r="I838" s="23" t="s">
        <v>52</v>
      </c>
      <c r="J838" s="97">
        <f t="shared" si="226"/>
        <v>45793</v>
      </c>
      <c r="L838" s="19" t="str">
        <f t="shared" si="211"/>
        <v/>
      </c>
      <c r="M838" s="5">
        <f t="shared" si="227"/>
        <v>45804</v>
      </c>
      <c r="O838" s="19" t="str">
        <f t="shared" si="233"/>
        <v/>
      </c>
      <c r="P838" s="5">
        <f t="shared" si="228"/>
        <v>45819</v>
      </c>
      <c r="R838" s="19" t="str">
        <f t="shared" si="234"/>
        <v/>
      </c>
      <c r="S838" s="5">
        <f t="shared" si="235"/>
        <v>45824</v>
      </c>
      <c r="T838" s="4">
        <v>45840</v>
      </c>
      <c r="U838" s="19">
        <f t="shared" si="236"/>
        <v>-16</v>
      </c>
      <c r="V838" s="5">
        <f t="shared" si="229"/>
        <v>45863</v>
      </c>
      <c r="W838" s="4">
        <v>45840</v>
      </c>
      <c r="X838" s="19">
        <f t="shared" si="237"/>
        <v>23</v>
      </c>
      <c r="Y838" s="51">
        <f t="shared" si="219"/>
        <v>45891</v>
      </c>
      <c r="Z838" s="51">
        <v>45868</v>
      </c>
      <c r="AA838" s="49">
        <f t="shared" si="238"/>
        <v>23</v>
      </c>
      <c r="AB838" s="51">
        <f t="shared" si="230"/>
        <v>45893</v>
      </c>
      <c r="AC838" s="49">
        <f t="shared" si="231"/>
        <v>25</v>
      </c>
      <c r="AD838" s="43">
        <f t="shared" si="232"/>
        <v>45893</v>
      </c>
      <c r="AE838" s="4">
        <v>45869</v>
      </c>
      <c r="AF838" s="19">
        <f t="shared" si="218"/>
        <v>24</v>
      </c>
      <c r="AG838" s="10"/>
      <c r="AH838" s="1"/>
      <c r="AI838" s="1"/>
      <c r="AJ838" s="1"/>
      <c r="AK838" s="1"/>
      <c r="AL838" s="1"/>
    </row>
    <row r="839" spans="1:38" ht="14.45">
      <c r="A839" s="156">
        <v>838</v>
      </c>
      <c r="B839" s="59">
        <v>45893</v>
      </c>
      <c r="C839" s="34" t="s">
        <v>1812</v>
      </c>
      <c r="D839" s="23" t="s">
        <v>1810</v>
      </c>
      <c r="E839" s="23">
        <v>121046.71</v>
      </c>
      <c r="F839" s="23" t="s">
        <v>1813</v>
      </c>
      <c r="G839" s="10" t="s">
        <v>120</v>
      </c>
      <c r="H839" s="23" t="s">
        <v>36</v>
      </c>
      <c r="I839" s="23" t="s">
        <v>52</v>
      </c>
      <c r="J839" s="97">
        <f t="shared" si="226"/>
        <v>45793</v>
      </c>
      <c r="L839" s="19" t="str">
        <f t="shared" si="211"/>
        <v/>
      </c>
      <c r="M839" s="5">
        <f t="shared" si="227"/>
        <v>45804</v>
      </c>
      <c r="O839" s="19" t="str">
        <f t="shared" si="233"/>
        <v/>
      </c>
      <c r="P839" s="5">
        <f t="shared" si="228"/>
        <v>45819</v>
      </c>
      <c r="R839" s="19" t="str">
        <f t="shared" si="234"/>
        <v/>
      </c>
      <c r="S839" s="5">
        <f t="shared" si="235"/>
        <v>45824</v>
      </c>
      <c r="T839" s="4">
        <v>45840</v>
      </c>
      <c r="U839" s="19">
        <f t="shared" si="236"/>
        <v>-16</v>
      </c>
      <c r="V839" s="5">
        <f t="shared" si="229"/>
        <v>45863</v>
      </c>
      <c r="W839" s="4">
        <v>45840</v>
      </c>
      <c r="X839" s="19">
        <f t="shared" si="237"/>
        <v>23</v>
      </c>
      <c r="Y839" s="51">
        <f t="shared" si="219"/>
        <v>45891</v>
      </c>
      <c r="Z839" s="51">
        <v>45868</v>
      </c>
      <c r="AA839" s="49">
        <f t="shared" si="238"/>
        <v>23</v>
      </c>
      <c r="AB839" s="51">
        <f t="shared" si="230"/>
        <v>45893</v>
      </c>
      <c r="AC839" s="49">
        <f t="shared" si="231"/>
        <v>25</v>
      </c>
      <c r="AD839" s="43">
        <f t="shared" si="232"/>
        <v>45893</v>
      </c>
      <c r="AE839" s="4">
        <v>45869</v>
      </c>
      <c r="AF839" s="19">
        <f t="shared" si="218"/>
        <v>24</v>
      </c>
      <c r="AG839" s="10"/>
      <c r="AH839" s="1"/>
      <c r="AI839" s="1"/>
      <c r="AJ839" s="1"/>
      <c r="AK839" s="1"/>
      <c r="AL839" s="1"/>
    </row>
    <row r="840" spans="1:38" ht="14.45">
      <c r="A840" s="156">
        <v>839</v>
      </c>
      <c r="B840" s="59">
        <v>45893</v>
      </c>
      <c r="C840" s="34" t="s">
        <v>1814</v>
      </c>
      <c r="D840" s="71" t="s">
        <v>1815</v>
      </c>
      <c r="E840" s="23">
        <v>1494.58</v>
      </c>
      <c r="F840" s="23" t="s">
        <v>1816</v>
      </c>
      <c r="G840" s="14" t="s">
        <v>128</v>
      </c>
      <c r="H840" s="23" t="s">
        <v>36</v>
      </c>
      <c r="I840" s="23" t="s">
        <v>93</v>
      </c>
      <c r="J840" s="97">
        <f t="shared" si="226"/>
        <v>45793</v>
      </c>
      <c r="L840" s="19" t="str">
        <f t="shared" si="211"/>
        <v/>
      </c>
      <c r="M840" s="5">
        <f t="shared" si="227"/>
        <v>45804</v>
      </c>
      <c r="O840" s="19" t="str">
        <f t="shared" si="233"/>
        <v/>
      </c>
      <c r="P840" s="5">
        <f t="shared" si="228"/>
        <v>45819</v>
      </c>
      <c r="R840" s="19" t="str">
        <f t="shared" si="234"/>
        <v/>
      </c>
      <c r="S840" s="5">
        <f t="shared" si="235"/>
        <v>45824</v>
      </c>
      <c r="U840" s="19" t="str">
        <f t="shared" si="236"/>
        <v/>
      </c>
      <c r="V840" s="5">
        <f t="shared" si="229"/>
        <v>45863</v>
      </c>
      <c r="W840" s="6">
        <v>45881</v>
      </c>
      <c r="X840" s="19">
        <f t="shared" si="237"/>
        <v>-18</v>
      </c>
      <c r="Y840" s="51">
        <f t="shared" si="219"/>
        <v>45891</v>
      </c>
      <c r="Z840" s="4">
        <v>45896</v>
      </c>
      <c r="AA840" s="49">
        <f t="shared" si="238"/>
        <v>-5</v>
      </c>
      <c r="AB840" s="51">
        <f t="shared" si="230"/>
        <v>45893</v>
      </c>
      <c r="AC840" s="49">
        <f t="shared" si="231"/>
        <v>-3</v>
      </c>
      <c r="AD840" s="43">
        <f t="shared" si="232"/>
        <v>45893</v>
      </c>
      <c r="AE840" s="4">
        <v>45896</v>
      </c>
      <c r="AF840" s="19">
        <f t="shared" si="218"/>
        <v>-3</v>
      </c>
      <c r="AG840" s="10"/>
      <c r="AH840" s="1"/>
      <c r="AI840" s="1"/>
      <c r="AJ840" s="1"/>
      <c r="AK840" s="1"/>
      <c r="AL840" s="1"/>
    </row>
    <row r="841" spans="1:38" ht="14.45">
      <c r="A841" s="156">
        <v>840</v>
      </c>
      <c r="B841" s="59">
        <v>45894</v>
      </c>
      <c r="C841" s="34" t="s">
        <v>1817</v>
      </c>
      <c r="D841" s="23" t="s">
        <v>1818</v>
      </c>
      <c r="E841" s="23">
        <v>8163.65</v>
      </c>
      <c r="F841" s="23" t="s">
        <v>1819</v>
      </c>
      <c r="G841" s="14" t="s">
        <v>190</v>
      </c>
      <c r="H841" s="23" t="s">
        <v>36</v>
      </c>
      <c r="I841" s="23" t="s">
        <v>93</v>
      </c>
      <c r="J841" s="97">
        <f t="shared" si="226"/>
        <v>45794</v>
      </c>
      <c r="K841" s="4">
        <v>45818</v>
      </c>
      <c r="L841" s="19">
        <f t="shared" si="211"/>
        <v>-24</v>
      </c>
      <c r="M841" s="5">
        <f t="shared" si="227"/>
        <v>45805</v>
      </c>
      <c r="N841" s="4">
        <v>45820</v>
      </c>
      <c r="O841" s="19">
        <f t="shared" si="233"/>
        <v>-15</v>
      </c>
      <c r="P841" s="5">
        <f t="shared" si="228"/>
        <v>45820</v>
      </c>
      <c r="R841" s="19" t="str">
        <f t="shared" si="234"/>
        <v/>
      </c>
      <c r="S841" s="5">
        <f t="shared" si="235"/>
        <v>45825</v>
      </c>
      <c r="T841" s="4">
        <v>45831</v>
      </c>
      <c r="U841" s="19">
        <f t="shared" si="236"/>
        <v>-6</v>
      </c>
      <c r="V841" s="5">
        <f t="shared" si="229"/>
        <v>45864</v>
      </c>
      <c r="W841" s="6">
        <v>45881</v>
      </c>
      <c r="X841" s="19">
        <f t="shared" si="237"/>
        <v>-17</v>
      </c>
      <c r="Y841" s="51">
        <f t="shared" si="219"/>
        <v>45892</v>
      </c>
      <c r="Z841" s="4">
        <v>45896</v>
      </c>
      <c r="AA841" s="49">
        <f t="shared" si="238"/>
        <v>-4</v>
      </c>
      <c r="AB841" s="51">
        <f t="shared" si="230"/>
        <v>45894</v>
      </c>
      <c r="AC841" s="49">
        <f t="shared" si="231"/>
        <v>-2</v>
      </c>
      <c r="AD841" s="43">
        <f t="shared" si="232"/>
        <v>45894</v>
      </c>
      <c r="AE841" s="4">
        <v>45891</v>
      </c>
      <c r="AF841" s="19">
        <f t="shared" si="218"/>
        <v>3</v>
      </c>
      <c r="AG841" s="10"/>
      <c r="AH841" s="1"/>
      <c r="AI841" s="1"/>
      <c r="AJ841" s="1"/>
      <c r="AK841" s="1"/>
      <c r="AL841" s="1"/>
    </row>
    <row r="842" spans="1:38" ht="14.45">
      <c r="A842" s="156">
        <v>841</v>
      </c>
      <c r="B842" s="59">
        <v>45894</v>
      </c>
      <c r="C842" s="34" t="s">
        <v>1820</v>
      </c>
      <c r="D842" s="23" t="s">
        <v>642</v>
      </c>
      <c r="E842" s="23">
        <v>5739.7</v>
      </c>
      <c r="F842" s="23" t="s">
        <v>1821</v>
      </c>
      <c r="G842" s="14" t="s">
        <v>35</v>
      </c>
      <c r="H842" s="23" t="s">
        <v>36</v>
      </c>
      <c r="I842" s="23" t="s">
        <v>93</v>
      </c>
      <c r="J842" s="97">
        <f t="shared" si="226"/>
        <v>45794</v>
      </c>
      <c r="L842" s="19" t="str">
        <f t="shared" si="211"/>
        <v/>
      </c>
      <c r="M842" s="5">
        <f t="shared" si="227"/>
        <v>45805</v>
      </c>
      <c r="O842" s="19" t="str">
        <f t="shared" si="233"/>
        <v/>
      </c>
      <c r="P842" s="5">
        <f t="shared" si="228"/>
        <v>45820</v>
      </c>
      <c r="R842" s="19" t="str">
        <f t="shared" si="234"/>
        <v/>
      </c>
      <c r="S842" s="5">
        <f t="shared" si="235"/>
        <v>45825</v>
      </c>
      <c r="T842" s="4">
        <v>45842</v>
      </c>
      <c r="U842" s="19">
        <f t="shared" si="236"/>
        <v>-17</v>
      </c>
      <c r="V842" s="5">
        <f t="shared" si="229"/>
        <v>45864</v>
      </c>
      <c r="W842" s="6">
        <v>45867</v>
      </c>
      <c r="X842" s="19">
        <f t="shared" si="237"/>
        <v>-3</v>
      </c>
      <c r="Y842" s="51">
        <f t="shared" si="219"/>
        <v>45892</v>
      </c>
      <c r="Z842" s="4">
        <v>45896</v>
      </c>
      <c r="AA842" s="49">
        <f t="shared" si="238"/>
        <v>-4</v>
      </c>
      <c r="AB842" s="51">
        <f t="shared" si="230"/>
        <v>45894</v>
      </c>
      <c r="AC842" s="49">
        <f t="shared" si="231"/>
        <v>-2</v>
      </c>
      <c r="AD842" s="43">
        <f t="shared" si="232"/>
        <v>45894</v>
      </c>
      <c r="AE842" s="4">
        <v>45896</v>
      </c>
      <c r="AF842" s="19">
        <f t="shared" si="218"/>
        <v>-2</v>
      </c>
      <c r="AG842" s="10"/>
      <c r="AH842" s="1"/>
      <c r="AI842" s="1"/>
      <c r="AJ842" s="1"/>
      <c r="AK842" s="1"/>
      <c r="AL842" s="1"/>
    </row>
    <row r="843" spans="1:38" ht="14.45">
      <c r="A843" s="156">
        <v>842</v>
      </c>
      <c r="B843" s="59">
        <v>45894</v>
      </c>
      <c r="C843" s="34" t="s">
        <v>1822</v>
      </c>
      <c r="D843" s="23" t="s">
        <v>1823</v>
      </c>
      <c r="E843" s="23">
        <v>9387.99</v>
      </c>
      <c r="F843" s="23" t="s">
        <v>1824</v>
      </c>
      <c r="G843" s="14" t="s">
        <v>120</v>
      </c>
      <c r="H843" s="23" t="s">
        <v>40</v>
      </c>
      <c r="I843" s="23" t="s">
        <v>93</v>
      </c>
      <c r="J843" s="97">
        <f t="shared" si="226"/>
        <v>45794</v>
      </c>
      <c r="L843" s="19" t="str">
        <f t="shared" si="211"/>
        <v/>
      </c>
      <c r="M843" s="5">
        <f t="shared" si="227"/>
        <v>45805</v>
      </c>
      <c r="O843" s="19" t="str">
        <f t="shared" si="233"/>
        <v/>
      </c>
      <c r="P843" s="5">
        <f t="shared" si="228"/>
        <v>45820</v>
      </c>
      <c r="R843" s="19" t="str">
        <f t="shared" si="234"/>
        <v/>
      </c>
      <c r="S843" s="5">
        <f t="shared" si="235"/>
        <v>45825</v>
      </c>
      <c r="T843" s="4">
        <v>45832</v>
      </c>
      <c r="U843" s="19">
        <f t="shared" si="236"/>
        <v>-7</v>
      </c>
      <c r="V843" s="5">
        <f t="shared" si="229"/>
        <v>45864</v>
      </c>
      <c r="W843" s="6">
        <v>45865</v>
      </c>
      <c r="X843" s="19">
        <f t="shared" si="237"/>
        <v>-1</v>
      </c>
      <c r="Y843" s="51">
        <f t="shared" si="219"/>
        <v>45892</v>
      </c>
      <c r="Z843" s="51">
        <v>45887</v>
      </c>
      <c r="AA843" s="49">
        <f t="shared" si="238"/>
        <v>5</v>
      </c>
      <c r="AB843" s="51">
        <f t="shared" si="230"/>
        <v>45894</v>
      </c>
      <c r="AC843" s="49">
        <f t="shared" si="231"/>
        <v>7</v>
      </c>
      <c r="AD843" s="43">
        <f t="shared" si="232"/>
        <v>45894</v>
      </c>
      <c r="AF843" s="19" t="str">
        <f t="shared" si="218"/>
        <v/>
      </c>
      <c r="AG843" s="10"/>
      <c r="AH843" s="1"/>
      <c r="AI843" s="1"/>
      <c r="AJ843" s="1"/>
      <c r="AK843" s="1"/>
      <c r="AL843" s="1"/>
    </row>
    <row r="844" spans="1:38" ht="14.45">
      <c r="A844" s="156">
        <v>843</v>
      </c>
      <c r="B844" s="59">
        <v>45895</v>
      </c>
      <c r="C844" s="34" t="s">
        <v>1825</v>
      </c>
      <c r="D844" s="23" t="s">
        <v>38</v>
      </c>
      <c r="E844" s="23">
        <v>370.94</v>
      </c>
      <c r="F844" s="23" t="s">
        <v>1826</v>
      </c>
      <c r="G844" s="14" t="s">
        <v>190</v>
      </c>
      <c r="H844" s="23" t="s">
        <v>40</v>
      </c>
      <c r="I844" s="23" t="s">
        <v>41</v>
      </c>
      <c r="J844" s="97">
        <f t="shared" si="226"/>
        <v>45795</v>
      </c>
      <c r="K844" s="4">
        <v>45842</v>
      </c>
      <c r="L844" s="19">
        <f t="shared" si="211"/>
        <v>-47</v>
      </c>
      <c r="M844" s="5">
        <f t="shared" si="227"/>
        <v>45806</v>
      </c>
      <c r="N844" s="4">
        <v>45862</v>
      </c>
      <c r="O844" s="19">
        <f t="shared" si="233"/>
        <v>-56</v>
      </c>
      <c r="P844" s="5">
        <f t="shared" si="228"/>
        <v>45821</v>
      </c>
      <c r="Q844" s="4">
        <v>45870</v>
      </c>
      <c r="R844" s="19">
        <f t="shared" si="234"/>
        <v>-49</v>
      </c>
      <c r="S844" s="5">
        <f t="shared" si="235"/>
        <v>45826</v>
      </c>
      <c r="T844" s="4">
        <v>45873</v>
      </c>
      <c r="U844" s="19">
        <f t="shared" si="236"/>
        <v>-47</v>
      </c>
      <c r="V844" s="5">
        <f t="shared" si="229"/>
        <v>45865</v>
      </c>
      <c r="W844" s="4">
        <v>45873</v>
      </c>
      <c r="X844" s="19">
        <f t="shared" si="237"/>
        <v>-8</v>
      </c>
      <c r="Y844" s="51">
        <f t="shared" si="219"/>
        <v>45893</v>
      </c>
      <c r="Z844" s="4">
        <v>45873</v>
      </c>
      <c r="AA844" s="49">
        <f t="shared" si="238"/>
        <v>20</v>
      </c>
      <c r="AB844" s="51">
        <f t="shared" si="230"/>
        <v>45895</v>
      </c>
      <c r="AC844" s="49">
        <f t="shared" si="231"/>
        <v>22</v>
      </c>
      <c r="AD844" s="43">
        <f t="shared" si="232"/>
        <v>45895</v>
      </c>
      <c r="AE844" s="4">
        <v>45891</v>
      </c>
      <c r="AF844" s="19">
        <f t="shared" si="218"/>
        <v>4</v>
      </c>
      <c r="AG844" s="10"/>
      <c r="AH844" s="1"/>
      <c r="AI844" s="1"/>
      <c r="AJ844" s="1"/>
      <c r="AK844" s="1"/>
      <c r="AL844" s="1"/>
    </row>
    <row r="845" spans="1:38" ht="14.45">
      <c r="A845" s="156">
        <v>844</v>
      </c>
      <c r="B845" s="59">
        <v>45895</v>
      </c>
      <c r="C845" s="34" t="s">
        <v>1827</v>
      </c>
      <c r="D845" s="23" t="s">
        <v>38</v>
      </c>
      <c r="E845" s="23">
        <v>370.94</v>
      </c>
      <c r="F845" s="23" t="s">
        <v>1828</v>
      </c>
      <c r="G845" s="14" t="s">
        <v>190</v>
      </c>
      <c r="H845" s="23" t="s">
        <v>40</v>
      </c>
      <c r="I845" s="23" t="s">
        <v>41</v>
      </c>
      <c r="J845" s="97">
        <f t="shared" si="226"/>
        <v>45795</v>
      </c>
      <c r="K845" s="4">
        <v>45842</v>
      </c>
      <c r="L845" s="19">
        <f t="shared" si="211"/>
        <v>-47</v>
      </c>
      <c r="M845" s="5">
        <f t="shared" si="227"/>
        <v>45806</v>
      </c>
      <c r="N845" s="4">
        <v>45862</v>
      </c>
      <c r="O845" s="19">
        <f t="shared" si="233"/>
        <v>-56</v>
      </c>
      <c r="P845" s="5">
        <f t="shared" si="228"/>
        <v>45821</v>
      </c>
      <c r="Q845" s="4">
        <v>45870</v>
      </c>
      <c r="R845" s="19">
        <f t="shared" si="234"/>
        <v>-49</v>
      </c>
      <c r="S845" s="5">
        <f t="shared" si="235"/>
        <v>45826</v>
      </c>
      <c r="T845" s="4">
        <v>45873</v>
      </c>
      <c r="U845" s="19">
        <f t="shared" si="236"/>
        <v>-47</v>
      </c>
      <c r="V845" s="5">
        <f t="shared" si="229"/>
        <v>45865</v>
      </c>
      <c r="W845" s="4">
        <v>45873</v>
      </c>
      <c r="X845" s="19">
        <f t="shared" si="237"/>
        <v>-8</v>
      </c>
      <c r="Y845" s="51">
        <f t="shared" si="219"/>
        <v>45893</v>
      </c>
      <c r="Z845" s="4">
        <v>45873</v>
      </c>
      <c r="AA845" s="49">
        <f t="shared" si="238"/>
        <v>20</v>
      </c>
      <c r="AB845" s="51">
        <f t="shared" si="230"/>
        <v>45895</v>
      </c>
      <c r="AC845" s="49">
        <f t="shared" si="231"/>
        <v>22</v>
      </c>
      <c r="AD845" s="43">
        <f t="shared" si="232"/>
        <v>45895</v>
      </c>
      <c r="AE845" s="4">
        <v>45891</v>
      </c>
      <c r="AF845" s="19">
        <f t="shared" si="218"/>
        <v>4</v>
      </c>
      <c r="AG845" s="10"/>
      <c r="AH845" s="1"/>
      <c r="AI845" s="1"/>
      <c r="AJ845" s="1"/>
      <c r="AK845" s="1"/>
      <c r="AL845" s="1"/>
    </row>
    <row r="846" spans="1:38" ht="14.45">
      <c r="A846" s="156">
        <v>845</v>
      </c>
      <c r="B846" s="59">
        <v>45895</v>
      </c>
      <c r="C846" s="34" t="s">
        <v>1829</v>
      </c>
      <c r="D846" s="23" t="s">
        <v>1830</v>
      </c>
      <c r="E846" s="23">
        <v>1459.29</v>
      </c>
      <c r="F846" s="23" t="s">
        <v>1831</v>
      </c>
      <c r="G846" s="14" t="s">
        <v>46</v>
      </c>
      <c r="H846" s="23" t="s">
        <v>36</v>
      </c>
      <c r="I846" s="23" t="s">
        <v>37</v>
      </c>
      <c r="J846" s="97">
        <f t="shared" si="226"/>
        <v>45795</v>
      </c>
      <c r="K846" s="4">
        <v>45803</v>
      </c>
      <c r="L846" s="19">
        <f t="shared" si="211"/>
        <v>-8</v>
      </c>
      <c r="M846" s="5">
        <f t="shared" si="227"/>
        <v>45806</v>
      </c>
      <c r="N846" s="4">
        <v>45812</v>
      </c>
      <c r="O846" s="19">
        <f t="shared" si="233"/>
        <v>-6</v>
      </c>
      <c r="P846" s="5">
        <f t="shared" si="228"/>
        <v>45821</v>
      </c>
      <c r="R846" s="19" t="str">
        <f t="shared" si="234"/>
        <v/>
      </c>
      <c r="S846" s="5">
        <f t="shared" si="235"/>
        <v>45826</v>
      </c>
      <c r="T846" s="4">
        <v>45831</v>
      </c>
      <c r="U846" s="19">
        <f t="shared" si="236"/>
        <v>-5</v>
      </c>
      <c r="V846" s="5">
        <f t="shared" si="229"/>
        <v>45865</v>
      </c>
      <c r="W846" s="6">
        <v>45868</v>
      </c>
      <c r="X846" s="19">
        <f t="shared" si="237"/>
        <v>-3</v>
      </c>
      <c r="Y846" s="51">
        <f t="shared" si="219"/>
        <v>45893</v>
      </c>
      <c r="Z846" s="4">
        <v>45895</v>
      </c>
      <c r="AA846" s="49">
        <f t="shared" si="238"/>
        <v>-2</v>
      </c>
      <c r="AB846" s="51">
        <f t="shared" si="230"/>
        <v>45895</v>
      </c>
      <c r="AC846" s="49">
        <f t="shared" si="231"/>
        <v>0</v>
      </c>
      <c r="AD846" s="43">
        <f t="shared" si="232"/>
        <v>45895</v>
      </c>
      <c r="AE846" s="43">
        <v>45895</v>
      </c>
      <c r="AF846" s="19">
        <f t="shared" si="218"/>
        <v>0</v>
      </c>
      <c r="AG846" s="10"/>
      <c r="AH846" s="1"/>
      <c r="AI846" s="1"/>
      <c r="AJ846" s="1"/>
      <c r="AK846" s="1"/>
      <c r="AL846" s="1"/>
    </row>
    <row r="847" spans="1:38" ht="14.45">
      <c r="A847" s="156">
        <v>846</v>
      </c>
      <c r="B847" s="59">
        <v>45896</v>
      </c>
      <c r="C847" s="34" t="s">
        <v>1832</v>
      </c>
      <c r="D847" s="23" t="s">
        <v>1833</v>
      </c>
      <c r="E847" s="23">
        <v>179818.3</v>
      </c>
      <c r="F847" s="23" t="s">
        <v>1834</v>
      </c>
      <c r="G847" s="14" t="s">
        <v>120</v>
      </c>
      <c r="H847" s="23" t="s">
        <v>40</v>
      </c>
      <c r="I847" s="23" t="s">
        <v>93</v>
      </c>
      <c r="J847" s="97">
        <f t="shared" si="226"/>
        <v>45796</v>
      </c>
      <c r="L847" s="19" t="str">
        <f t="shared" ref="L847:L912" si="239">IF(OR(J847="", K847=""), "", J847-K847)</f>
        <v/>
      </c>
      <c r="M847" s="5">
        <f t="shared" si="227"/>
        <v>45807</v>
      </c>
      <c r="O847" s="19" t="str">
        <f t="shared" si="233"/>
        <v/>
      </c>
      <c r="P847" s="5">
        <f t="shared" si="228"/>
        <v>45822</v>
      </c>
      <c r="R847" s="19" t="str">
        <f t="shared" si="234"/>
        <v/>
      </c>
      <c r="S847" s="5">
        <f t="shared" si="235"/>
        <v>45827</v>
      </c>
      <c r="T847" s="4">
        <v>45832</v>
      </c>
      <c r="U847" s="19">
        <f t="shared" si="236"/>
        <v>-5</v>
      </c>
      <c r="V847" s="5">
        <f t="shared" si="229"/>
        <v>45866</v>
      </c>
      <c r="W847" s="6"/>
      <c r="X847" s="19" t="str">
        <f t="shared" si="237"/>
        <v/>
      </c>
      <c r="Y847" s="51">
        <f t="shared" si="219"/>
        <v>45894</v>
      </c>
      <c r="Z847" s="51">
        <v>45896</v>
      </c>
      <c r="AA847" s="49">
        <f t="shared" si="238"/>
        <v>-2</v>
      </c>
      <c r="AB847" s="51">
        <f t="shared" si="230"/>
        <v>45896</v>
      </c>
      <c r="AC847" s="49">
        <f t="shared" si="231"/>
        <v>0</v>
      </c>
      <c r="AD847" s="43">
        <f t="shared" si="232"/>
        <v>45896</v>
      </c>
      <c r="AF847" s="19" t="str">
        <f t="shared" si="218"/>
        <v/>
      </c>
      <c r="AG847" s="10"/>
      <c r="AH847" s="1"/>
      <c r="AI847" s="1"/>
      <c r="AJ847" s="1"/>
      <c r="AK847" s="1"/>
      <c r="AL847" s="1"/>
    </row>
    <row r="848" spans="1:38" ht="14.45">
      <c r="A848" s="156">
        <v>847</v>
      </c>
      <c r="B848" s="59">
        <v>45897</v>
      </c>
      <c r="C848" s="34" t="s">
        <v>1835</v>
      </c>
      <c r="D848" s="71" t="s">
        <v>1193</v>
      </c>
      <c r="E848" s="23">
        <v>4974.46</v>
      </c>
      <c r="F848" s="23" t="s">
        <v>1836</v>
      </c>
      <c r="G848" s="23" t="s">
        <v>128</v>
      </c>
      <c r="H848" s="23" t="s">
        <v>36</v>
      </c>
      <c r="I848" s="23" t="s">
        <v>37</v>
      </c>
      <c r="J848" s="97">
        <f t="shared" si="226"/>
        <v>45797</v>
      </c>
      <c r="L848" s="19" t="str">
        <f t="shared" si="239"/>
        <v/>
      </c>
      <c r="M848" s="5">
        <f t="shared" si="227"/>
        <v>45808</v>
      </c>
      <c r="O848" s="19" t="str">
        <f t="shared" si="233"/>
        <v/>
      </c>
      <c r="P848" s="5">
        <f t="shared" si="228"/>
        <v>45823</v>
      </c>
      <c r="R848" s="19" t="str">
        <f t="shared" si="234"/>
        <v/>
      </c>
      <c r="S848" s="5">
        <f t="shared" si="235"/>
        <v>45828</v>
      </c>
      <c r="U848" s="19" t="str">
        <f t="shared" si="236"/>
        <v/>
      </c>
      <c r="V848" s="5">
        <f t="shared" si="229"/>
        <v>45867</v>
      </c>
      <c r="W848" s="6">
        <v>45877</v>
      </c>
      <c r="X848" s="19">
        <f t="shared" si="237"/>
        <v>-10</v>
      </c>
      <c r="Y848" s="51">
        <f t="shared" si="219"/>
        <v>45895</v>
      </c>
      <c r="Z848" s="4">
        <v>45896</v>
      </c>
      <c r="AA848" s="49">
        <f t="shared" si="238"/>
        <v>-1</v>
      </c>
      <c r="AB848" s="51">
        <f t="shared" si="230"/>
        <v>45897</v>
      </c>
      <c r="AC848" s="49">
        <f t="shared" si="231"/>
        <v>1</v>
      </c>
      <c r="AD848" s="43">
        <f t="shared" si="232"/>
        <v>45897</v>
      </c>
      <c r="AE848" s="4">
        <v>45896</v>
      </c>
      <c r="AF848" s="19">
        <f t="shared" si="218"/>
        <v>1</v>
      </c>
      <c r="AG848" s="10"/>
      <c r="AH848" s="1"/>
      <c r="AI848" s="1"/>
      <c r="AJ848" s="1"/>
      <c r="AK848" s="1"/>
      <c r="AL848" s="1"/>
    </row>
    <row r="849" spans="1:38" ht="14.45">
      <c r="A849" s="156">
        <v>848</v>
      </c>
      <c r="B849" s="59">
        <v>45897</v>
      </c>
      <c r="C849" s="34" t="s">
        <v>1837</v>
      </c>
      <c r="D849" s="23" t="s">
        <v>77</v>
      </c>
      <c r="E849" s="23">
        <v>725952.39</v>
      </c>
      <c r="F849" s="23" t="s">
        <v>1838</v>
      </c>
      <c r="G849" s="14" t="s">
        <v>51</v>
      </c>
      <c r="H849" s="23" t="s">
        <v>36</v>
      </c>
      <c r="I849" s="23" t="s">
        <v>41</v>
      </c>
      <c r="J849" s="97">
        <f t="shared" si="226"/>
        <v>45797</v>
      </c>
      <c r="L849" s="19" t="str">
        <f t="shared" si="239"/>
        <v/>
      </c>
      <c r="M849" s="5">
        <f t="shared" si="227"/>
        <v>45808</v>
      </c>
      <c r="N849" s="4">
        <v>45814</v>
      </c>
      <c r="O849" s="19">
        <f t="shared" si="233"/>
        <v>-6</v>
      </c>
      <c r="P849" s="5">
        <f t="shared" si="228"/>
        <v>45823</v>
      </c>
      <c r="S849" s="5">
        <f t="shared" si="235"/>
        <v>45828</v>
      </c>
      <c r="T849" s="4">
        <v>45831</v>
      </c>
      <c r="U849" s="19">
        <f t="shared" si="236"/>
        <v>-3</v>
      </c>
      <c r="V849" s="5">
        <f t="shared" si="229"/>
        <v>45867</v>
      </c>
      <c r="W849" s="6">
        <v>45862</v>
      </c>
      <c r="X849" s="19">
        <f t="shared" si="237"/>
        <v>5</v>
      </c>
      <c r="Y849" s="51">
        <f t="shared" si="219"/>
        <v>45895</v>
      </c>
      <c r="Z849" s="4">
        <v>45897</v>
      </c>
      <c r="AA849" s="49">
        <f t="shared" si="238"/>
        <v>-2</v>
      </c>
      <c r="AB849" s="51">
        <f t="shared" si="230"/>
        <v>45897</v>
      </c>
      <c r="AC849" s="49">
        <f t="shared" si="231"/>
        <v>0</v>
      </c>
      <c r="AD849" s="43">
        <f t="shared" si="232"/>
        <v>45897</v>
      </c>
      <c r="AE849" s="4">
        <v>45897</v>
      </c>
      <c r="AF849" s="19">
        <f t="shared" si="218"/>
        <v>0</v>
      </c>
      <c r="AG849" s="10"/>
      <c r="AH849" s="1"/>
      <c r="AI849" s="1"/>
      <c r="AJ849" s="1"/>
      <c r="AK849" s="1"/>
      <c r="AL849" s="1"/>
    </row>
    <row r="850" spans="1:38" ht="14.45">
      <c r="A850" s="156">
        <v>849</v>
      </c>
      <c r="B850" s="59">
        <v>45897</v>
      </c>
      <c r="C850" s="34" t="s">
        <v>1839</v>
      </c>
      <c r="D850" s="23" t="s">
        <v>38</v>
      </c>
      <c r="E850" s="23">
        <v>745.36</v>
      </c>
      <c r="F850" s="23" t="s">
        <v>1840</v>
      </c>
      <c r="G850" s="14" t="s">
        <v>190</v>
      </c>
      <c r="H850" s="23" t="s">
        <v>40</v>
      </c>
      <c r="I850" s="23" t="s">
        <v>41</v>
      </c>
      <c r="J850" s="97">
        <f t="shared" si="226"/>
        <v>45797</v>
      </c>
      <c r="K850" s="4">
        <v>45842</v>
      </c>
      <c r="L850" s="19">
        <f t="shared" si="239"/>
        <v>-45</v>
      </c>
      <c r="M850" s="5">
        <f t="shared" si="227"/>
        <v>45808</v>
      </c>
      <c r="N850" s="4">
        <v>45862</v>
      </c>
      <c r="O850" s="19">
        <f t="shared" si="233"/>
        <v>-54</v>
      </c>
      <c r="P850" s="5">
        <f t="shared" si="228"/>
        <v>45823</v>
      </c>
      <c r="Q850" s="4">
        <v>45870</v>
      </c>
      <c r="R850" s="19">
        <f t="shared" si="234"/>
        <v>-47</v>
      </c>
      <c r="S850" s="5">
        <f t="shared" si="235"/>
        <v>45828</v>
      </c>
      <c r="T850" s="4">
        <v>45873</v>
      </c>
      <c r="U850" s="19">
        <f t="shared" si="236"/>
        <v>-45</v>
      </c>
      <c r="V850" s="5">
        <f t="shared" si="229"/>
        <v>45867</v>
      </c>
      <c r="W850" s="4">
        <v>45873</v>
      </c>
      <c r="X850" s="19">
        <f t="shared" si="237"/>
        <v>-6</v>
      </c>
      <c r="Y850" s="51">
        <f t="shared" si="219"/>
        <v>45895</v>
      </c>
      <c r="Z850" s="4">
        <v>45873</v>
      </c>
      <c r="AA850" s="49">
        <f t="shared" si="238"/>
        <v>22</v>
      </c>
      <c r="AB850" s="51">
        <f t="shared" si="230"/>
        <v>45897</v>
      </c>
      <c r="AC850" s="49">
        <f t="shared" si="231"/>
        <v>24</v>
      </c>
      <c r="AD850" s="43">
        <f t="shared" si="232"/>
        <v>45897</v>
      </c>
      <c r="AE850" s="4">
        <v>45891</v>
      </c>
      <c r="AF850" s="19">
        <f t="shared" si="218"/>
        <v>6</v>
      </c>
      <c r="AG850" s="10"/>
      <c r="AH850" s="1"/>
      <c r="AI850" s="1"/>
      <c r="AJ850" s="1"/>
      <c r="AK850" s="1"/>
      <c r="AL850" s="1"/>
    </row>
    <row r="851" spans="1:38" ht="14.45">
      <c r="A851" s="156">
        <v>850</v>
      </c>
      <c r="B851" s="59">
        <v>45897</v>
      </c>
      <c r="C851" s="34" t="s">
        <v>1841</v>
      </c>
      <c r="D851" s="23" t="s">
        <v>38</v>
      </c>
      <c r="E851" s="23">
        <v>312.60000000000002</v>
      </c>
      <c r="F851" s="23" t="s">
        <v>1842</v>
      </c>
      <c r="G851" s="14" t="s">
        <v>190</v>
      </c>
      <c r="H851" s="23" t="s">
        <v>40</v>
      </c>
      <c r="I851" s="23" t="s">
        <v>41</v>
      </c>
      <c r="J851" s="97">
        <f t="shared" si="226"/>
        <v>45797</v>
      </c>
      <c r="K851" s="4">
        <v>45842</v>
      </c>
      <c r="L851" s="19">
        <f t="shared" si="239"/>
        <v>-45</v>
      </c>
      <c r="M851" s="5">
        <f t="shared" si="227"/>
        <v>45808</v>
      </c>
      <c r="N851" s="4">
        <v>45862</v>
      </c>
      <c r="O851" s="19">
        <f t="shared" si="233"/>
        <v>-54</v>
      </c>
      <c r="P851" s="5">
        <f t="shared" si="228"/>
        <v>45823</v>
      </c>
      <c r="Q851" s="4">
        <v>45870</v>
      </c>
      <c r="R851" s="19">
        <f t="shared" si="234"/>
        <v>-47</v>
      </c>
      <c r="S851" s="5">
        <f t="shared" si="235"/>
        <v>45828</v>
      </c>
      <c r="T851" s="4">
        <v>45873</v>
      </c>
      <c r="U851" s="19">
        <f t="shared" si="236"/>
        <v>-45</v>
      </c>
      <c r="V851" s="5">
        <f t="shared" si="229"/>
        <v>45867</v>
      </c>
      <c r="W851" s="4">
        <v>45873</v>
      </c>
      <c r="X851" s="19">
        <f t="shared" si="237"/>
        <v>-6</v>
      </c>
      <c r="Y851" s="51">
        <f t="shared" si="219"/>
        <v>45895</v>
      </c>
      <c r="Z851" s="4">
        <v>45873</v>
      </c>
      <c r="AA851" s="49">
        <f t="shared" si="238"/>
        <v>22</v>
      </c>
      <c r="AB851" s="51">
        <f t="shared" si="230"/>
        <v>45897</v>
      </c>
      <c r="AC851" s="49">
        <f t="shared" si="231"/>
        <v>24</v>
      </c>
      <c r="AD851" s="43">
        <f t="shared" si="232"/>
        <v>45897</v>
      </c>
      <c r="AE851" s="4">
        <v>45891</v>
      </c>
      <c r="AF851" s="19">
        <f t="shared" si="218"/>
        <v>6</v>
      </c>
      <c r="AG851" s="10"/>
      <c r="AH851" s="1"/>
      <c r="AI851" s="1"/>
      <c r="AJ851" s="1"/>
      <c r="AK851" s="1"/>
      <c r="AL851" s="1"/>
    </row>
    <row r="852" spans="1:38" ht="14.45">
      <c r="A852" s="156">
        <v>851</v>
      </c>
      <c r="B852" s="59">
        <v>45897</v>
      </c>
      <c r="C852" s="34" t="s">
        <v>1843</v>
      </c>
      <c r="D852" s="71" t="s">
        <v>1492</v>
      </c>
      <c r="E852" s="23">
        <v>830.5</v>
      </c>
      <c r="F852" s="23" t="s">
        <v>1844</v>
      </c>
      <c r="G852" s="14" t="s">
        <v>128</v>
      </c>
      <c r="H852" s="23" t="s">
        <v>40</v>
      </c>
      <c r="I852" s="23" t="s">
        <v>41</v>
      </c>
      <c r="J852" s="97">
        <f t="shared" si="226"/>
        <v>45797</v>
      </c>
      <c r="L852" s="19" t="str">
        <f t="shared" si="239"/>
        <v/>
      </c>
      <c r="M852" s="5">
        <f t="shared" si="227"/>
        <v>45808</v>
      </c>
      <c r="O852" s="19" t="str">
        <f t="shared" si="233"/>
        <v/>
      </c>
      <c r="P852" s="5">
        <f t="shared" si="228"/>
        <v>45823</v>
      </c>
      <c r="R852" s="19" t="str">
        <f t="shared" si="234"/>
        <v/>
      </c>
      <c r="S852" s="5">
        <f t="shared" si="235"/>
        <v>45828</v>
      </c>
      <c r="U852" s="19" t="str">
        <f t="shared" si="236"/>
        <v/>
      </c>
      <c r="V852" s="5">
        <f t="shared" si="229"/>
        <v>45867</v>
      </c>
      <c r="W852" s="6">
        <v>45875</v>
      </c>
      <c r="X852" s="19">
        <f t="shared" si="237"/>
        <v>-8</v>
      </c>
      <c r="Y852" s="51">
        <f t="shared" si="219"/>
        <v>45895</v>
      </c>
      <c r="Z852" s="4">
        <v>45896</v>
      </c>
      <c r="AA852" s="49">
        <f t="shared" si="238"/>
        <v>-1</v>
      </c>
      <c r="AB852" s="51">
        <f t="shared" si="230"/>
        <v>45897</v>
      </c>
      <c r="AC852" s="49">
        <f t="shared" si="231"/>
        <v>1</v>
      </c>
      <c r="AD852" s="43">
        <f t="shared" si="232"/>
        <v>45897</v>
      </c>
      <c r="AE852" s="4">
        <v>45896</v>
      </c>
      <c r="AF852" s="19">
        <f t="shared" si="218"/>
        <v>1</v>
      </c>
      <c r="AG852" s="10"/>
      <c r="AH852" s="1"/>
      <c r="AI852" s="1"/>
      <c r="AJ852" s="1"/>
      <c r="AK852" s="1"/>
      <c r="AL852" s="1"/>
    </row>
    <row r="853" spans="1:38" ht="14.45">
      <c r="A853" s="156">
        <v>852</v>
      </c>
      <c r="B853" s="59">
        <v>45898</v>
      </c>
      <c r="C853" s="34" t="s">
        <v>1845</v>
      </c>
      <c r="D853" s="23" t="s">
        <v>207</v>
      </c>
      <c r="E853" s="23">
        <v>25729.89</v>
      </c>
      <c r="F853" s="23" t="s">
        <v>1846</v>
      </c>
      <c r="G853" s="14" t="s">
        <v>35</v>
      </c>
      <c r="H853" s="23" t="s">
        <v>36</v>
      </c>
      <c r="I853" s="23" t="s">
        <v>37</v>
      </c>
      <c r="J853" s="97">
        <f t="shared" si="226"/>
        <v>45798</v>
      </c>
      <c r="L853" s="19" t="str">
        <f t="shared" si="239"/>
        <v/>
      </c>
      <c r="M853" s="5">
        <f t="shared" si="227"/>
        <v>45809</v>
      </c>
      <c r="O853" s="19" t="str">
        <f t="shared" si="233"/>
        <v/>
      </c>
      <c r="P853" s="5">
        <f t="shared" si="228"/>
        <v>45824</v>
      </c>
      <c r="R853" s="19" t="str">
        <f t="shared" si="234"/>
        <v/>
      </c>
      <c r="S853" s="5">
        <f t="shared" si="235"/>
        <v>45829</v>
      </c>
      <c r="T853" s="4">
        <v>45842</v>
      </c>
      <c r="U853" s="19">
        <f t="shared" si="236"/>
        <v>-13</v>
      </c>
      <c r="V853" s="5">
        <f t="shared" si="229"/>
        <v>45868</v>
      </c>
      <c r="W853" s="6">
        <v>45867</v>
      </c>
      <c r="X853" s="19">
        <f t="shared" si="237"/>
        <v>1</v>
      </c>
      <c r="Y853" s="51">
        <f t="shared" si="219"/>
        <v>45896</v>
      </c>
      <c r="Z853" s="51">
        <v>45884</v>
      </c>
      <c r="AA853" s="49">
        <f t="shared" si="238"/>
        <v>12</v>
      </c>
      <c r="AB853" s="51">
        <f t="shared" si="230"/>
        <v>45898</v>
      </c>
      <c r="AC853" s="49">
        <f t="shared" si="231"/>
        <v>14</v>
      </c>
      <c r="AD853" s="43">
        <f t="shared" si="232"/>
        <v>45898</v>
      </c>
      <c r="AE853" s="4">
        <v>45884</v>
      </c>
      <c r="AF853" s="19">
        <f t="shared" si="218"/>
        <v>14</v>
      </c>
      <c r="AG853" s="10"/>
      <c r="AH853" s="1"/>
      <c r="AI853" s="1"/>
      <c r="AJ853" s="1"/>
      <c r="AK853" s="1"/>
      <c r="AL853" s="1"/>
    </row>
    <row r="854" spans="1:38" ht="14.45">
      <c r="A854" s="156">
        <v>853</v>
      </c>
      <c r="B854" s="60">
        <v>45898</v>
      </c>
      <c r="C854" s="93" t="s">
        <v>1847</v>
      </c>
      <c r="D854" s="24" t="s">
        <v>38</v>
      </c>
      <c r="E854" s="74">
        <v>76.540000000000006</v>
      </c>
      <c r="F854" s="72" t="s">
        <v>1636</v>
      </c>
      <c r="G854" s="24" t="s">
        <v>190</v>
      </c>
      <c r="H854" s="24" t="s">
        <v>40</v>
      </c>
      <c r="I854" s="24" t="s">
        <v>41</v>
      </c>
      <c r="J854" s="98">
        <f t="shared" si="226"/>
        <v>45798</v>
      </c>
      <c r="K854" s="7">
        <v>45842</v>
      </c>
      <c r="L854" s="99">
        <f t="shared" ref="L854" si="240">IF(OR(J854="", K854=""), "", J854-K854)</f>
        <v>-44</v>
      </c>
      <c r="M854" s="20">
        <f t="shared" si="227"/>
        <v>45809</v>
      </c>
      <c r="N854" s="7">
        <v>45862</v>
      </c>
      <c r="O854" s="99">
        <f t="shared" ref="O854" si="241">IF(OR(M854="", N854=""), "", M854-N854)</f>
        <v>-53</v>
      </c>
      <c r="P854" s="20">
        <f t="shared" si="228"/>
        <v>45824</v>
      </c>
      <c r="Q854" s="4">
        <v>45870</v>
      </c>
      <c r="R854" s="99">
        <f t="shared" ref="R854" si="242">IF(OR(P854="", Q854=""), "", P854-Q854)</f>
        <v>-46</v>
      </c>
      <c r="S854" s="20">
        <f t="shared" si="235"/>
        <v>45829</v>
      </c>
      <c r="T854" s="7"/>
      <c r="U854" s="99" t="str">
        <f t="shared" ref="U854" si="243">IF(OR(S854="", T854=""), "", S854-T854)</f>
        <v/>
      </c>
      <c r="V854" s="20">
        <f t="shared" si="229"/>
        <v>45868</v>
      </c>
      <c r="W854" s="47"/>
      <c r="X854" s="99" t="str">
        <f t="shared" ref="X854" si="244">IF(OR(V854="", W854=""), "", V854-W854)</f>
        <v/>
      </c>
      <c r="Y854" s="66">
        <f t="shared" si="219"/>
        <v>45896</v>
      </c>
      <c r="Z854" s="66"/>
      <c r="AA854" s="50" t="str">
        <f t="shared" ref="AA854" si="245">IF(OR(Y854="", Z854=""), "", Y854-Z854)</f>
        <v/>
      </c>
      <c r="AB854" s="51">
        <f t="shared" si="230"/>
        <v>45898</v>
      </c>
      <c r="AC854" s="49" t="str">
        <f t="shared" si="231"/>
        <v/>
      </c>
      <c r="AD854" s="100">
        <f t="shared" si="232"/>
        <v>45898</v>
      </c>
      <c r="AE854" s="7">
        <v>45873</v>
      </c>
      <c r="AF854" s="99">
        <f t="shared" si="218"/>
        <v>25</v>
      </c>
      <c r="AG854" s="36" t="s">
        <v>367</v>
      </c>
      <c r="AH854" s="1"/>
      <c r="AI854" s="1"/>
      <c r="AJ854" s="1"/>
      <c r="AK854" s="1"/>
      <c r="AL854" s="1"/>
    </row>
    <row r="855" spans="1:38" ht="14.45">
      <c r="A855" s="156">
        <v>854</v>
      </c>
      <c r="B855" s="59">
        <v>45898</v>
      </c>
      <c r="C855" s="34" t="s">
        <v>1848</v>
      </c>
      <c r="D855" s="23" t="s">
        <v>38</v>
      </c>
      <c r="E855" s="23">
        <v>4527.5600000000004</v>
      </c>
      <c r="F855" s="23" t="s">
        <v>1849</v>
      </c>
      <c r="G855" s="14" t="s">
        <v>190</v>
      </c>
      <c r="H855" s="23" t="s">
        <v>40</v>
      </c>
      <c r="I855" s="23" t="s">
        <v>41</v>
      </c>
      <c r="J855" s="97">
        <f t="shared" si="226"/>
        <v>45798</v>
      </c>
      <c r="K855" s="4">
        <v>45842</v>
      </c>
      <c r="L855" s="19">
        <f t="shared" si="239"/>
        <v>-44</v>
      </c>
      <c r="M855" s="5">
        <f t="shared" si="227"/>
        <v>45809</v>
      </c>
      <c r="N855" s="4">
        <v>45862</v>
      </c>
      <c r="O855" s="19">
        <f t="shared" si="233"/>
        <v>-53</v>
      </c>
      <c r="P855" s="5">
        <f t="shared" si="228"/>
        <v>45824</v>
      </c>
      <c r="Q855" s="4">
        <v>45870</v>
      </c>
      <c r="R855" s="19">
        <f t="shared" si="234"/>
        <v>-46</v>
      </c>
      <c r="S855" s="5">
        <f t="shared" si="235"/>
        <v>45829</v>
      </c>
      <c r="T855" s="4">
        <v>45873</v>
      </c>
      <c r="U855" s="19">
        <f t="shared" si="236"/>
        <v>-44</v>
      </c>
      <c r="V855" s="5">
        <f t="shared" si="229"/>
        <v>45868</v>
      </c>
      <c r="W855" s="4">
        <v>45873</v>
      </c>
      <c r="X855" s="19">
        <f t="shared" si="237"/>
        <v>-5</v>
      </c>
      <c r="Y855" s="51">
        <f t="shared" si="219"/>
        <v>45896</v>
      </c>
      <c r="Z855" s="4">
        <v>45873</v>
      </c>
      <c r="AA855" s="49">
        <f t="shared" si="238"/>
        <v>23</v>
      </c>
      <c r="AB855" s="51">
        <f t="shared" si="230"/>
        <v>45898</v>
      </c>
      <c r="AC855" s="49">
        <f t="shared" si="231"/>
        <v>25</v>
      </c>
      <c r="AD855" s="43">
        <f t="shared" si="232"/>
        <v>45898</v>
      </c>
      <c r="AE855" s="4">
        <v>45891</v>
      </c>
      <c r="AF855" s="19">
        <f t="shared" si="218"/>
        <v>7</v>
      </c>
      <c r="AG855" s="10"/>
      <c r="AH855" s="1"/>
      <c r="AI855" s="1"/>
      <c r="AJ855" s="1"/>
      <c r="AK855" s="1"/>
      <c r="AL855" s="1"/>
    </row>
    <row r="856" spans="1:38" ht="14.45">
      <c r="A856" s="156">
        <v>855</v>
      </c>
      <c r="B856" s="59">
        <v>45898</v>
      </c>
      <c r="C856" s="34" t="s">
        <v>1850</v>
      </c>
      <c r="D856" s="23" t="s">
        <v>38</v>
      </c>
      <c r="E856" s="23">
        <v>978.2</v>
      </c>
      <c r="F856" s="23" t="s">
        <v>1851</v>
      </c>
      <c r="G856" s="14" t="s">
        <v>190</v>
      </c>
      <c r="H856" s="23" t="s">
        <v>40</v>
      </c>
      <c r="I856" s="23" t="s">
        <v>41</v>
      </c>
      <c r="J856" s="97">
        <f t="shared" si="226"/>
        <v>45798</v>
      </c>
      <c r="K856" s="4">
        <v>45842</v>
      </c>
      <c r="L856" s="19">
        <f t="shared" si="239"/>
        <v>-44</v>
      </c>
      <c r="M856" s="5">
        <f t="shared" si="227"/>
        <v>45809</v>
      </c>
      <c r="N856" s="4">
        <v>45862</v>
      </c>
      <c r="O856" s="19">
        <f t="shared" si="233"/>
        <v>-53</v>
      </c>
      <c r="P856" s="5">
        <f t="shared" si="228"/>
        <v>45824</v>
      </c>
      <c r="Q856" s="4">
        <v>45870</v>
      </c>
      <c r="R856" s="19">
        <f t="shared" si="234"/>
        <v>-46</v>
      </c>
      <c r="S856" s="5">
        <f t="shared" si="235"/>
        <v>45829</v>
      </c>
      <c r="T856" s="4">
        <v>45873</v>
      </c>
      <c r="U856" s="19">
        <f t="shared" si="236"/>
        <v>-44</v>
      </c>
      <c r="V856" s="5">
        <f t="shared" si="229"/>
        <v>45868</v>
      </c>
      <c r="W856" s="4">
        <v>45873</v>
      </c>
      <c r="X856" s="19">
        <f t="shared" si="237"/>
        <v>-5</v>
      </c>
      <c r="Y856" s="51">
        <f t="shared" si="219"/>
        <v>45896</v>
      </c>
      <c r="Z856" s="4">
        <v>45873</v>
      </c>
      <c r="AA856" s="49">
        <f t="shared" si="238"/>
        <v>23</v>
      </c>
      <c r="AB856" s="51">
        <f t="shared" si="230"/>
        <v>45898</v>
      </c>
      <c r="AC856" s="49">
        <f t="shared" si="231"/>
        <v>25</v>
      </c>
      <c r="AD856" s="43">
        <f t="shared" si="232"/>
        <v>45898</v>
      </c>
      <c r="AE856" s="4">
        <v>45891</v>
      </c>
      <c r="AF856" s="19">
        <f t="shared" si="218"/>
        <v>7</v>
      </c>
      <c r="AG856" s="10"/>
      <c r="AH856" s="1"/>
      <c r="AI856" s="1"/>
      <c r="AJ856" s="1"/>
      <c r="AK856" s="1"/>
      <c r="AL856" s="1"/>
    </row>
    <row r="857" spans="1:38" ht="14.45">
      <c r="A857" s="156">
        <v>856</v>
      </c>
      <c r="B857" s="59">
        <v>45898</v>
      </c>
      <c r="C857" s="34" t="s">
        <v>1852</v>
      </c>
      <c r="D857" s="23" t="s">
        <v>38</v>
      </c>
      <c r="E857" s="23">
        <v>318</v>
      </c>
      <c r="F857" s="23" t="s">
        <v>1853</v>
      </c>
      <c r="G857" s="14" t="s">
        <v>190</v>
      </c>
      <c r="H857" s="23" t="s">
        <v>40</v>
      </c>
      <c r="I857" s="23" t="s">
        <v>41</v>
      </c>
      <c r="J857" s="97">
        <f t="shared" si="226"/>
        <v>45798</v>
      </c>
      <c r="K857" s="4">
        <v>45842</v>
      </c>
      <c r="L857" s="19">
        <f t="shared" si="239"/>
        <v>-44</v>
      </c>
      <c r="M857" s="5">
        <f t="shared" si="227"/>
        <v>45809</v>
      </c>
      <c r="N857" s="4">
        <v>45862</v>
      </c>
      <c r="O857" s="19">
        <f t="shared" si="233"/>
        <v>-53</v>
      </c>
      <c r="P857" s="5">
        <f t="shared" si="228"/>
        <v>45824</v>
      </c>
      <c r="Q857" s="4">
        <v>45870</v>
      </c>
      <c r="R857" s="19">
        <f t="shared" si="234"/>
        <v>-46</v>
      </c>
      <c r="S857" s="5">
        <f t="shared" si="235"/>
        <v>45829</v>
      </c>
      <c r="T857" s="4">
        <v>45873</v>
      </c>
      <c r="U857" s="19">
        <f t="shared" si="236"/>
        <v>-44</v>
      </c>
      <c r="V857" s="5">
        <f t="shared" si="229"/>
        <v>45868</v>
      </c>
      <c r="W857" s="4">
        <v>45873</v>
      </c>
      <c r="X857" s="19">
        <f t="shared" si="237"/>
        <v>-5</v>
      </c>
      <c r="Y857" s="51">
        <f t="shared" si="219"/>
        <v>45896</v>
      </c>
      <c r="Z857" s="4">
        <v>45873</v>
      </c>
      <c r="AA857" s="49">
        <f t="shared" si="238"/>
        <v>23</v>
      </c>
      <c r="AB857" s="51">
        <f t="shared" si="230"/>
        <v>45898</v>
      </c>
      <c r="AC857" s="49">
        <f t="shared" si="231"/>
        <v>25</v>
      </c>
      <c r="AD857" s="43">
        <f t="shared" si="232"/>
        <v>45898</v>
      </c>
      <c r="AE857" s="4">
        <v>45891</v>
      </c>
      <c r="AF857" s="19">
        <f t="shared" si="218"/>
        <v>7</v>
      </c>
      <c r="AG857" s="10"/>
      <c r="AH857" s="1"/>
      <c r="AI857" s="1"/>
      <c r="AJ857" s="1"/>
      <c r="AK857" s="1"/>
      <c r="AL857" s="1"/>
    </row>
    <row r="858" spans="1:38" ht="14.45">
      <c r="A858" s="156">
        <v>857</v>
      </c>
      <c r="B858" s="59">
        <v>45898</v>
      </c>
      <c r="C858" s="34" t="s">
        <v>1854</v>
      </c>
      <c r="D858" s="23" t="s">
        <v>1855</v>
      </c>
      <c r="E858" s="23">
        <v>20932.259999999998</v>
      </c>
      <c r="F858" s="23" t="s">
        <v>1856</v>
      </c>
      <c r="G858" s="14" t="s">
        <v>35</v>
      </c>
      <c r="H858" s="23" t="s">
        <v>36</v>
      </c>
      <c r="I858" s="23" t="s">
        <v>93</v>
      </c>
      <c r="J858" s="97">
        <f t="shared" si="226"/>
        <v>45798</v>
      </c>
      <c r="L858" s="19" t="str">
        <f t="shared" si="239"/>
        <v/>
      </c>
      <c r="M858" s="5">
        <f t="shared" si="227"/>
        <v>45809</v>
      </c>
      <c r="O858" s="19" t="str">
        <f t="shared" si="233"/>
        <v/>
      </c>
      <c r="P858" s="5">
        <f t="shared" si="228"/>
        <v>45824</v>
      </c>
      <c r="R858" s="19" t="str">
        <f t="shared" si="234"/>
        <v/>
      </c>
      <c r="S858" s="5">
        <f t="shared" si="235"/>
        <v>45829</v>
      </c>
      <c r="T858" s="4">
        <v>45842</v>
      </c>
      <c r="U858" s="19">
        <f t="shared" si="236"/>
        <v>-13</v>
      </c>
      <c r="V858" s="5">
        <f t="shared" si="229"/>
        <v>45868</v>
      </c>
      <c r="W858" s="6">
        <v>45867</v>
      </c>
      <c r="X858" s="19">
        <f t="shared" si="237"/>
        <v>1</v>
      </c>
      <c r="Y858" s="51">
        <f t="shared" si="219"/>
        <v>45896</v>
      </c>
      <c r="Z858" s="51">
        <v>45888</v>
      </c>
      <c r="AA858" s="49">
        <f t="shared" si="238"/>
        <v>8</v>
      </c>
      <c r="AB858" s="51">
        <f t="shared" si="230"/>
        <v>45898</v>
      </c>
      <c r="AC858" s="49">
        <f t="shared" si="231"/>
        <v>10</v>
      </c>
      <c r="AD858" s="43">
        <f t="shared" si="232"/>
        <v>45898</v>
      </c>
      <c r="AE858" s="4">
        <v>45894</v>
      </c>
      <c r="AF858" s="19">
        <f t="shared" si="218"/>
        <v>4</v>
      </c>
      <c r="AG858" s="10"/>
      <c r="AH858" s="1"/>
      <c r="AI858" s="1"/>
      <c r="AJ858" s="1"/>
      <c r="AK858" s="1"/>
      <c r="AL858" s="1"/>
    </row>
    <row r="859" spans="1:38" ht="14.45">
      <c r="A859" s="156">
        <v>858</v>
      </c>
      <c r="B859" s="59">
        <v>45899</v>
      </c>
      <c r="C859" s="34">
        <v>653868703</v>
      </c>
      <c r="D859" s="23" t="s">
        <v>1857</v>
      </c>
      <c r="E859" s="23">
        <v>21226.74</v>
      </c>
      <c r="F859" s="23" t="s">
        <v>1858</v>
      </c>
      <c r="G859" s="37" t="s">
        <v>128</v>
      </c>
      <c r="H859" s="23" t="s">
        <v>40</v>
      </c>
      <c r="I859" s="23" t="s">
        <v>93</v>
      </c>
      <c r="J859" s="97">
        <f t="shared" si="226"/>
        <v>45799</v>
      </c>
      <c r="K859" s="4">
        <v>45805</v>
      </c>
      <c r="L859" s="19">
        <f t="shared" si="239"/>
        <v>-6</v>
      </c>
      <c r="M859" s="5">
        <f t="shared" si="227"/>
        <v>45810</v>
      </c>
      <c r="O859" s="19" t="str">
        <f t="shared" si="233"/>
        <v/>
      </c>
      <c r="P859" s="5">
        <f t="shared" si="228"/>
        <v>45825</v>
      </c>
      <c r="R859" s="19" t="str">
        <f t="shared" si="234"/>
        <v/>
      </c>
      <c r="S859" s="5">
        <f t="shared" si="235"/>
        <v>45830</v>
      </c>
      <c r="T859" s="4">
        <v>45837</v>
      </c>
      <c r="U859" s="19">
        <f t="shared" si="236"/>
        <v>-7</v>
      </c>
      <c r="V859" s="5">
        <f t="shared" si="229"/>
        <v>45869</v>
      </c>
      <c r="W859" s="6">
        <v>45877</v>
      </c>
      <c r="X859" s="19">
        <f t="shared" si="237"/>
        <v>-8</v>
      </c>
      <c r="Y859" s="51">
        <f t="shared" si="219"/>
        <v>45897</v>
      </c>
      <c r="Z859" s="51">
        <v>45898</v>
      </c>
      <c r="AA859" s="49">
        <f t="shared" si="238"/>
        <v>-1</v>
      </c>
      <c r="AB859" s="51">
        <f t="shared" si="230"/>
        <v>45899</v>
      </c>
      <c r="AC859" s="49">
        <f t="shared" si="231"/>
        <v>1</v>
      </c>
      <c r="AD859" s="43">
        <f t="shared" si="232"/>
        <v>45899</v>
      </c>
      <c r="AE859" s="4">
        <v>45903</v>
      </c>
      <c r="AF859" s="19">
        <f t="shared" si="218"/>
        <v>-4</v>
      </c>
      <c r="AG859" s="10"/>
      <c r="AH859" s="1"/>
      <c r="AI859" s="1"/>
      <c r="AJ859" s="1"/>
      <c r="AK859" s="1"/>
      <c r="AL859" s="1"/>
    </row>
    <row r="860" spans="1:38" ht="14.45">
      <c r="A860" s="156">
        <v>859</v>
      </c>
      <c r="B860" s="60">
        <v>45899</v>
      </c>
      <c r="C860" s="93" t="s">
        <v>1859</v>
      </c>
      <c r="D860" s="24" t="s">
        <v>38</v>
      </c>
      <c r="E860" s="74">
        <v>58.82</v>
      </c>
      <c r="F860" s="9" t="s">
        <v>1860</v>
      </c>
      <c r="G860" s="24" t="s">
        <v>190</v>
      </c>
      <c r="H860" s="24" t="s">
        <v>40</v>
      </c>
      <c r="I860" s="24" t="s">
        <v>41</v>
      </c>
      <c r="J860" s="98">
        <f t="shared" si="226"/>
        <v>45799</v>
      </c>
      <c r="K860" s="7">
        <v>45842</v>
      </c>
      <c r="L860" s="99">
        <f t="shared" ref="L860" si="246">IF(OR(J860="", K860=""), "", J860-K860)</f>
        <v>-43</v>
      </c>
      <c r="M860" s="20">
        <f t="shared" si="227"/>
        <v>45810</v>
      </c>
      <c r="N860" s="7">
        <v>45862</v>
      </c>
      <c r="O860" s="99">
        <f t="shared" ref="O860" si="247">IF(OR(M860="", N860=""), "", M860-N860)</f>
        <v>-52</v>
      </c>
      <c r="P860" s="20">
        <f t="shared" si="228"/>
        <v>45825</v>
      </c>
      <c r="Q860" s="4">
        <v>45870</v>
      </c>
      <c r="R860" s="99">
        <f t="shared" ref="R860" si="248">IF(OR(P860="", Q860=""), "", P860-Q860)</f>
        <v>-45</v>
      </c>
      <c r="S860" s="20">
        <f t="shared" si="235"/>
        <v>45830</v>
      </c>
      <c r="T860" s="7"/>
      <c r="U860" s="99" t="str">
        <f t="shared" ref="U860" si="249">IF(OR(S860="", T860=""), "", S860-T860)</f>
        <v/>
      </c>
      <c r="V860" s="20">
        <f t="shared" si="229"/>
        <v>45869</v>
      </c>
      <c r="W860" s="47"/>
      <c r="X860" s="99" t="str">
        <f t="shared" ref="X860" si="250">IF(OR(V860="", W860=""), "", V860-W860)</f>
        <v/>
      </c>
      <c r="Y860" s="66">
        <f t="shared" si="219"/>
        <v>45897</v>
      </c>
      <c r="Z860" s="66"/>
      <c r="AA860" s="50" t="str">
        <f t="shared" ref="AA860" si="251">IF(OR(Y860="", Z860=""), "", Y860-Z860)</f>
        <v/>
      </c>
      <c r="AB860" s="51">
        <f t="shared" si="230"/>
        <v>45899</v>
      </c>
      <c r="AC860" s="49" t="str">
        <f t="shared" si="231"/>
        <v/>
      </c>
      <c r="AD860" s="100">
        <f t="shared" si="232"/>
        <v>45899</v>
      </c>
      <c r="AE860" s="7">
        <v>45873</v>
      </c>
      <c r="AF860" s="99">
        <f t="shared" si="218"/>
        <v>26</v>
      </c>
      <c r="AG860" s="36" t="s">
        <v>367</v>
      </c>
      <c r="AH860" s="1"/>
      <c r="AI860" s="1"/>
      <c r="AJ860" s="1"/>
      <c r="AK860" s="1"/>
      <c r="AL860" s="1"/>
    </row>
    <row r="861" spans="1:38" ht="14.45">
      <c r="A861" s="156">
        <v>860</v>
      </c>
      <c r="B861" s="60">
        <v>45899</v>
      </c>
      <c r="C861" s="41" t="s">
        <v>1861</v>
      </c>
      <c r="D861" s="24" t="s">
        <v>38</v>
      </c>
      <c r="E861" s="24">
        <v>130.21</v>
      </c>
      <c r="F861" s="24" t="s">
        <v>1862</v>
      </c>
      <c r="G861" s="14" t="s">
        <v>190</v>
      </c>
      <c r="H861" s="24" t="s">
        <v>40</v>
      </c>
      <c r="I861" s="24" t="s">
        <v>41</v>
      </c>
      <c r="J861" s="98">
        <f t="shared" si="226"/>
        <v>45799</v>
      </c>
      <c r="K861" s="7">
        <v>45842</v>
      </c>
      <c r="L861" s="99">
        <f t="shared" si="239"/>
        <v>-43</v>
      </c>
      <c r="M861" s="20">
        <f t="shared" si="227"/>
        <v>45810</v>
      </c>
      <c r="N861" s="7">
        <v>45862</v>
      </c>
      <c r="O861" s="99">
        <f t="shared" si="233"/>
        <v>-52</v>
      </c>
      <c r="P861" s="20">
        <f t="shared" si="228"/>
        <v>45825</v>
      </c>
      <c r="Q861" s="4">
        <v>45870</v>
      </c>
      <c r="R861" s="99">
        <f t="shared" si="234"/>
        <v>-45</v>
      </c>
      <c r="S861" s="20">
        <f t="shared" si="235"/>
        <v>45830</v>
      </c>
      <c r="T861" s="7"/>
      <c r="U861" s="99" t="str">
        <f t="shared" si="236"/>
        <v/>
      </c>
      <c r="V861" s="20">
        <f t="shared" si="229"/>
        <v>45869</v>
      </c>
      <c r="W861" s="47"/>
      <c r="X861" s="99" t="str">
        <f t="shared" si="237"/>
        <v/>
      </c>
      <c r="Y861" s="66">
        <f t="shared" si="219"/>
        <v>45897</v>
      </c>
      <c r="Z861" s="66"/>
      <c r="AA861" s="50" t="str">
        <f t="shared" si="238"/>
        <v/>
      </c>
      <c r="AB861" s="51">
        <f t="shared" si="230"/>
        <v>45899</v>
      </c>
      <c r="AC861" s="49" t="str">
        <f t="shared" si="231"/>
        <v/>
      </c>
      <c r="AD861" s="100">
        <f t="shared" si="232"/>
        <v>45899</v>
      </c>
      <c r="AE861" s="7">
        <v>45873</v>
      </c>
      <c r="AF861" s="99">
        <f t="shared" si="218"/>
        <v>26</v>
      </c>
      <c r="AG861" s="36" t="s">
        <v>367</v>
      </c>
      <c r="AH861" s="1"/>
      <c r="AI861" s="1"/>
      <c r="AJ861" s="1"/>
      <c r="AK861" s="1"/>
      <c r="AL861" s="1"/>
    </row>
    <row r="862" spans="1:38" ht="14.45">
      <c r="A862" s="156">
        <v>861</v>
      </c>
      <c r="B862" s="59">
        <v>45900</v>
      </c>
      <c r="C862" s="34" t="s">
        <v>1863</v>
      </c>
      <c r="D862" s="23" t="s">
        <v>38</v>
      </c>
      <c r="E862" s="23">
        <v>693.52</v>
      </c>
      <c r="F862" s="23" t="s">
        <v>1864</v>
      </c>
      <c r="G862" s="14" t="s">
        <v>190</v>
      </c>
      <c r="H862" s="23" t="s">
        <v>40</v>
      </c>
      <c r="I862" s="23" t="s">
        <v>41</v>
      </c>
      <c r="J862" s="97">
        <f t="shared" si="226"/>
        <v>45800</v>
      </c>
      <c r="K862" s="4">
        <v>45842</v>
      </c>
      <c r="L862" s="19">
        <f t="shared" si="239"/>
        <v>-42</v>
      </c>
      <c r="M862" s="5">
        <f t="shared" si="227"/>
        <v>45811</v>
      </c>
      <c r="N862" s="4">
        <v>45862</v>
      </c>
      <c r="O862" s="19">
        <f t="shared" si="233"/>
        <v>-51</v>
      </c>
      <c r="P862" s="5">
        <f t="shared" si="228"/>
        <v>45826</v>
      </c>
      <c r="Q862" s="4">
        <v>45870</v>
      </c>
      <c r="R862" s="19">
        <f t="shared" si="234"/>
        <v>-44</v>
      </c>
      <c r="S862" s="5">
        <f t="shared" si="235"/>
        <v>45831</v>
      </c>
      <c r="T862" s="4">
        <v>45873</v>
      </c>
      <c r="U862" s="19">
        <f t="shared" si="236"/>
        <v>-42</v>
      </c>
      <c r="V862" s="5">
        <f t="shared" si="229"/>
        <v>45870</v>
      </c>
      <c r="W862" s="4">
        <v>45873</v>
      </c>
      <c r="X862" s="19">
        <f t="shared" si="237"/>
        <v>-3</v>
      </c>
      <c r="Y862" s="51">
        <f t="shared" si="219"/>
        <v>45898</v>
      </c>
      <c r="Z862" s="4">
        <v>45873</v>
      </c>
      <c r="AA862" s="49">
        <f t="shared" si="238"/>
        <v>25</v>
      </c>
      <c r="AB862" s="51">
        <f t="shared" si="230"/>
        <v>45900</v>
      </c>
      <c r="AC862" s="49">
        <f t="shared" si="231"/>
        <v>27</v>
      </c>
      <c r="AD862" s="43">
        <f t="shared" si="232"/>
        <v>45900</v>
      </c>
      <c r="AE862" s="4">
        <v>45891</v>
      </c>
      <c r="AF862" s="19">
        <f t="shared" si="218"/>
        <v>9</v>
      </c>
      <c r="AG862" s="10"/>
      <c r="AH862" s="1"/>
      <c r="AI862" s="1"/>
      <c r="AJ862" s="1"/>
      <c r="AK862" s="1"/>
      <c r="AL862" s="1"/>
    </row>
    <row r="863" spans="1:38" ht="14.45">
      <c r="A863" s="156">
        <v>862</v>
      </c>
      <c r="B863" s="59">
        <v>45901</v>
      </c>
      <c r="C863" s="34" t="s">
        <v>1865</v>
      </c>
      <c r="D863" s="23" t="s">
        <v>1866</v>
      </c>
      <c r="E863" s="23">
        <v>14344.03</v>
      </c>
      <c r="F863" s="23" t="s">
        <v>1867</v>
      </c>
      <c r="G863" s="14" t="s">
        <v>35</v>
      </c>
      <c r="H863" s="23" t="s">
        <v>36</v>
      </c>
      <c r="I863" s="23" t="s">
        <v>93</v>
      </c>
      <c r="J863" s="97">
        <f t="shared" si="226"/>
        <v>45801</v>
      </c>
      <c r="L863" s="19" t="str">
        <f t="shared" si="239"/>
        <v/>
      </c>
      <c r="M863" s="5">
        <f t="shared" si="227"/>
        <v>45812</v>
      </c>
      <c r="O863" s="19" t="str">
        <f t="shared" si="233"/>
        <v/>
      </c>
      <c r="P863" s="5">
        <f t="shared" si="228"/>
        <v>45827</v>
      </c>
      <c r="R863" s="19" t="str">
        <f t="shared" si="234"/>
        <v/>
      </c>
      <c r="S863" s="5">
        <f t="shared" si="235"/>
        <v>45832</v>
      </c>
      <c r="T863" s="4">
        <v>45859</v>
      </c>
      <c r="U863" s="19">
        <f t="shared" si="236"/>
        <v>-27</v>
      </c>
      <c r="V863" s="5">
        <f t="shared" si="229"/>
        <v>45871</v>
      </c>
      <c r="W863" s="6">
        <v>45875</v>
      </c>
      <c r="X863" s="19">
        <f t="shared" si="237"/>
        <v>-4</v>
      </c>
      <c r="Y863" s="51">
        <f t="shared" si="219"/>
        <v>45899</v>
      </c>
      <c r="Z863" s="51">
        <v>45896</v>
      </c>
      <c r="AA863" s="49">
        <f t="shared" si="238"/>
        <v>3</v>
      </c>
      <c r="AB863" s="51">
        <f t="shared" si="230"/>
        <v>45901</v>
      </c>
      <c r="AC863" s="49">
        <f t="shared" si="231"/>
        <v>5</v>
      </c>
      <c r="AD863" s="43">
        <f t="shared" si="232"/>
        <v>45901</v>
      </c>
      <c r="AE863" s="4">
        <v>45902</v>
      </c>
      <c r="AF863" s="19">
        <f t="shared" si="218"/>
        <v>-1</v>
      </c>
      <c r="AG863" s="10"/>
      <c r="AH863" s="1"/>
      <c r="AI863" s="1"/>
      <c r="AJ863" s="1"/>
      <c r="AK863" s="1"/>
      <c r="AL863" s="1"/>
    </row>
    <row r="864" spans="1:38" ht="14.45">
      <c r="A864" s="156">
        <v>863</v>
      </c>
      <c r="B864" s="59">
        <v>45901</v>
      </c>
      <c r="C864" s="34" t="s">
        <v>1868</v>
      </c>
      <c r="D864" s="23" t="s">
        <v>1869</v>
      </c>
      <c r="E864" s="23">
        <v>10872.64</v>
      </c>
      <c r="F864" s="23" t="s">
        <v>1870</v>
      </c>
      <c r="G864" s="14" t="s">
        <v>35</v>
      </c>
      <c r="H864" s="23" t="s">
        <v>36</v>
      </c>
      <c r="I864" s="23" t="s">
        <v>37</v>
      </c>
      <c r="J864" s="97">
        <f t="shared" si="226"/>
        <v>45801</v>
      </c>
      <c r="L864" s="19" t="str">
        <f t="shared" si="239"/>
        <v/>
      </c>
      <c r="M864" s="5">
        <f t="shared" si="227"/>
        <v>45812</v>
      </c>
      <c r="O864" s="19" t="str">
        <f t="shared" si="233"/>
        <v/>
      </c>
      <c r="P864" s="5">
        <f t="shared" si="228"/>
        <v>45827</v>
      </c>
      <c r="R864" s="19" t="str">
        <f t="shared" si="234"/>
        <v/>
      </c>
      <c r="S864" s="5">
        <f t="shared" si="235"/>
        <v>45832</v>
      </c>
      <c r="T864" s="4">
        <v>45859</v>
      </c>
      <c r="U864" s="19">
        <f t="shared" si="236"/>
        <v>-27</v>
      </c>
      <c r="V864" s="5">
        <f t="shared" si="229"/>
        <v>45871</v>
      </c>
      <c r="W864" s="6">
        <v>45874</v>
      </c>
      <c r="X864" s="19">
        <f t="shared" si="237"/>
        <v>-3</v>
      </c>
      <c r="Y864" s="51">
        <f t="shared" si="219"/>
        <v>45899</v>
      </c>
      <c r="Z864" s="51">
        <v>45891</v>
      </c>
      <c r="AA864" s="49">
        <f t="shared" si="238"/>
        <v>8</v>
      </c>
      <c r="AB864" s="51">
        <f t="shared" si="230"/>
        <v>45901</v>
      </c>
      <c r="AC864" s="49">
        <f t="shared" si="231"/>
        <v>10</v>
      </c>
      <c r="AD864" s="43">
        <f t="shared" si="232"/>
        <v>45901</v>
      </c>
      <c r="AE864" s="4">
        <v>45891</v>
      </c>
      <c r="AF864" s="19">
        <f t="shared" si="218"/>
        <v>10</v>
      </c>
      <c r="AG864" s="10"/>
      <c r="AH864" s="1"/>
      <c r="AI864" s="1"/>
      <c r="AJ864" s="1"/>
      <c r="AK864" s="1"/>
      <c r="AL864" s="1"/>
    </row>
    <row r="865" spans="1:38" ht="14.45">
      <c r="A865" s="156">
        <v>864</v>
      </c>
      <c r="B865" s="59">
        <v>45901</v>
      </c>
      <c r="C865" s="34">
        <v>111721318</v>
      </c>
      <c r="D865" s="23" t="s">
        <v>1871</v>
      </c>
      <c r="E865" s="23">
        <v>32639.24</v>
      </c>
      <c r="F865" s="23" t="s">
        <v>1872</v>
      </c>
      <c r="G865" s="14" t="s">
        <v>35</v>
      </c>
      <c r="H865" s="23" t="s">
        <v>36</v>
      </c>
      <c r="I865" s="23" t="s">
        <v>37</v>
      </c>
      <c r="J865" s="97">
        <f t="shared" si="226"/>
        <v>45801</v>
      </c>
      <c r="L865" s="19" t="str">
        <f t="shared" si="239"/>
        <v/>
      </c>
      <c r="M865" s="5">
        <f t="shared" si="227"/>
        <v>45812</v>
      </c>
      <c r="O865" s="19" t="str">
        <f t="shared" si="233"/>
        <v/>
      </c>
      <c r="P865" s="5">
        <f t="shared" si="228"/>
        <v>45827</v>
      </c>
      <c r="R865" s="19" t="str">
        <f t="shared" si="234"/>
        <v/>
      </c>
      <c r="S865" s="5">
        <f t="shared" si="235"/>
        <v>45832</v>
      </c>
      <c r="T865" s="4">
        <v>45859</v>
      </c>
      <c r="U865" s="19">
        <f t="shared" si="236"/>
        <v>-27</v>
      </c>
      <c r="V865" s="5">
        <f t="shared" si="229"/>
        <v>45871</v>
      </c>
      <c r="W865" s="6">
        <v>45873</v>
      </c>
      <c r="X865" s="19">
        <f t="shared" si="237"/>
        <v>-2</v>
      </c>
      <c r="Y865" s="51">
        <f t="shared" si="219"/>
        <v>45899</v>
      </c>
      <c r="Z865" s="51">
        <v>45896</v>
      </c>
      <c r="AA865" s="49">
        <f t="shared" si="238"/>
        <v>3</v>
      </c>
      <c r="AB865" s="51">
        <f t="shared" si="230"/>
        <v>45901</v>
      </c>
      <c r="AC865" s="49">
        <f t="shared" si="231"/>
        <v>5</v>
      </c>
      <c r="AD865" s="43">
        <f t="shared" si="232"/>
        <v>45901</v>
      </c>
      <c r="AE865" s="4">
        <v>45902</v>
      </c>
      <c r="AF865" s="19">
        <f t="shared" si="218"/>
        <v>-1</v>
      </c>
      <c r="AG865" s="10"/>
      <c r="AH865" s="1"/>
      <c r="AI865" s="1"/>
      <c r="AJ865" s="1"/>
      <c r="AK865" s="1"/>
      <c r="AL865" s="1"/>
    </row>
    <row r="866" spans="1:38" ht="14.45">
      <c r="A866" s="156">
        <v>865</v>
      </c>
      <c r="B866" s="59">
        <v>45901</v>
      </c>
      <c r="C866" s="34">
        <v>111758229</v>
      </c>
      <c r="D866" s="23" t="s">
        <v>1873</v>
      </c>
      <c r="E866" s="23">
        <v>14080</v>
      </c>
      <c r="F866" s="23" t="s">
        <v>1874</v>
      </c>
      <c r="G866" s="14" t="s">
        <v>35</v>
      </c>
      <c r="H866" s="23" t="s">
        <v>40</v>
      </c>
      <c r="I866" s="23" t="s">
        <v>37</v>
      </c>
      <c r="J866" s="97">
        <f t="shared" si="226"/>
        <v>45801</v>
      </c>
      <c r="L866" s="19" t="str">
        <f t="shared" si="239"/>
        <v/>
      </c>
      <c r="M866" s="5">
        <f t="shared" si="227"/>
        <v>45812</v>
      </c>
      <c r="O866" s="19" t="str">
        <f t="shared" si="233"/>
        <v/>
      </c>
      <c r="P866" s="5">
        <f t="shared" si="228"/>
        <v>45827</v>
      </c>
      <c r="R866" s="19" t="str">
        <f t="shared" si="234"/>
        <v/>
      </c>
      <c r="S866" s="5">
        <f t="shared" si="235"/>
        <v>45832</v>
      </c>
      <c r="T866" s="4">
        <v>45859</v>
      </c>
      <c r="U866" s="19">
        <f t="shared" si="236"/>
        <v>-27</v>
      </c>
      <c r="V866" s="5">
        <f t="shared" si="229"/>
        <v>45871</v>
      </c>
      <c r="W866" s="6">
        <v>45873</v>
      </c>
      <c r="X866" s="19">
        <f t="shared" si="237"/>
        <v>-2</v>
      </c>
      <c r="Y866" s="51">
        <f t="shared" si="219"/>
        <v>45899</v>
      </c>
      <c r="Z866" s="51">
        <v>45891</v>
      </c>
      <c r="AA866" s="49">
        <f t="shared" si="238"/>
        <v>8</v>
      </c>
      <c r="AB866" s="51">
        <f t="shared" si="230"/>
        <v>45901</v>
      </c>
      <c r="AC866" s="49">
        <f t="shared" si="231"/>
        <v>10</v>
      </c>
      <c r="AD866" s="43">
        <f t="shared" si="232"/>
        <v>45901</v>
      </c>
      <c r="AE866" s="4">
        <v>45894</v>
      </c>
      <c r="AF866" s="19">
        <f t="shared" si="218"/>
        <v>7</v>
      </c>
      <c r="AG866" s="10"/>
      <c r="AH866" s="1"/>
      <c r="AI866" s="1"/>
      <c r="AJ866" s="1"/>
      <c r="AK866" s="1"/>
      <c r="AL866" s="1"/>
    </row>
    <row r="867" spans="1:38" ht="14.45">
      <c r="A867" s="156">
        <v>866</v>
      </c>
      <c r="B867" s="59">
        <v>45901</v>
      </c>
      <c r="C867" s="34">
        <v>631158680</v>
      </c>
      <c r="D867" s="23" t="s">
        <v>177</v>
      </c>
      <c r="E867" s="23">
        <v>2884.79</v>
      </c>
      <c r="F867" s="23" t="s">
        <v>1875</v>
      </c>
      <c r="G867" s="14" t="s">
        <v>190</v>
      </c>
      <c r="H867" s="23" t="s">
        <v>40</v>
      </c>
      <c r="I867" s="23" t="s">
        <v>93</v>
      </c>
      <c r="J867" s="97">
        <f t="shared" si="226"/>
        <v>45801</v>
      </c>
      <c r="L867" s="19" t="str">
        <f t="shared" si="239"/>
        <v/>
      </c>
      <c r="M867" s="5">
        <f t="shared" si="227"/>
        <v>45812</v>
      </c>
      <c r="N867" s="4">
        <v>45792</v>
      </c>
      <c r="O867" s="19">
        <f t="shared" si="233"/>
        <v>20</v>
      </c>
      <c r="P867" s="5">
        <f t="shared" si="228"/>
        <v>45827</v>
      </c>
      <c r="Q867" s="4">
        <v>45797</v>
      </c>
      <c r="R867" s="19">
        <f t="shared" si="234"/>
        <v>30</v>
      </c>
      <c r="S867" s="5">
        <f t="shared" si="235"/>
        <v>45832</v>
      </c>
      <c r="T867" s="4">
        <v>45832</v>
      </c>
      <c r="U867" s="19">
        <f t="shared" si="236"/>
        <v>0</v>
      </c>
      <c r="V867" s="5">
        <f t="shared" si="229"/>
        <v>45871</v>
      </c>
      <c r="W867" s="4">
        <v>45852</v>
      </c>
      <c r="X867" s="19">
        <f t="shared" si="237"/>
        <v>19</v>
      </c>
      <c r="Y867" s="51">
        <f t="shared" si="219"/>
        <v>45899</v>
      </c>
      <c r="Z867" s="4">
        <v>45835</v>
      </c>
      <c r="AA867" s="49">
        <f t="shared" si="238"/>
        <v>64</v>
      </c>
      <c r="AB867" s="51">
        <f t="shared" si="230"/>
        <v>45901</v>
      </c>
      <c r="AC867" s="49">
        <f t="shared" si="231"/>
        <v>66</v>
      </c>
      <c r="AD867" s="43">
        <f t="shared" si="232"/>
        <v>45901</v>
      </c>
      <c r="AE867" s="4">
        <v>45835</v>
      </c>
      <c r="AF867" s="19">
        <f t="shared" si="218"/>
        <v>66</v>
      </c>
      <c r="AG867" s="10"/>
      <c r="AH867" s="1"/>
      <c r="AI867" s="1"/>
      <c r="AJ867" s="1"/>
      <c r="AK867" s="1"/>
      <c r="AL867" s="1"/>
    </row>
    <row r="868" spans="1:38" ht="14.45">
      <c r="A868" s="156">
        <v>867</v>
      </c>
      <c r="B868" s="59">
        <v>45901</v>
      </c>
      <c r="C868" s="34">
        <v>631151453</v>
      </c>
      <c r="D868" s="23" t="s">
        <v>177</v>
      </c>
      <c r="E868" s="23">
        <v>2884.79</v>
      </c>
      <c r="F868" s="23" t="s">
        <v>1876</v>
      </c>
      <c r="G868" s="14" t="s">
        <v>190</v>
      </c>
      <c r="H868" s="23" t="s">
        <v>40</v>
      </c>
      <c r="I868" s="23" t="s">
        <v>93</v>
      </c>
      <c r="J868" s="97">
        <f t="shared" si="226"/>
        <v>45801</v>
      </c>
      <c r="L868" s="19" t="str">
        <f t="shared" si="239"/>
        <v/>
      </c>
      <c r="M868" s="5">
        <f t="shared" si="227"/>
        <v>45812</v>
      </c>
      <c r="N868" s="4">
        <v>45792</v>
      </c>
      <c r="O868" s="19">
        <f t="shared" si="233"/>
        <v>20</v>
      </c>
      <c r="P868" s="5">
        <f t="shared" si="228"/>
        <v>45827</v>
      </c>
      <c r="Q868" s="4">
        <v>45797</v>
      </c>
      <c r="R868" s="19">
        <f t="shared" si="234"/>
        <v>30</v>
      </c>
      <c r="S868" s="5">
        <f t="shared" si="235"/>
        <v>45832</v>
      </c>
      <c r="T868" s="4">
        <v>45832</v>
      </c>
      <c r="U868" s="19">
        <f t="shared" si="236"/>
        <v>0</v>
      </c>
      <c r="V868" s="5">
        <f t="shared" si="229"/>
        <v>45871</v>
      </c>
      <c r="W868" s="4">
        <v>45852</v>
      </c>
      <c r="X868" s="19">
        <f t="shared" si="237"/>
        <v>19</v>
      </c>
      <c r="Y868" s="51">
        <f t="shared" si="219"/>
        <v>45899</v>
      </c>
      <c r="Z868" s="4">
        <v>45835</v>
      </c>
      <c r="AA868" s="49">
        <f t="shared" si="238"/>
        <v>64</v>
      </c>
      <c r="AB868" s="51">
        <f t="shared" si="230"/>
        <v>45901</v>
      </c>
      <c r="AC868" s="49">
        <f t="shared" si="231"/>
        <v>66</v>
      </c>
      <c r="AD868" s="43">
        <f t="shared" si="232"/>
        <v>45901</v>
      </c>
      <c r="AE868" s="4">
        <v>45835</v>
      </c>
      <c r="AF868" s="19">
        <f t="shared" si="218"/>
        <v>66</v>
      </c>
      <c r="AG868" s="10"/>
      <c r="AH868" s="1"/>
      <c r="AI868" s="1"/>
      <c r="AJ868" s="1"/>
      <c r="AK868" s="1"/>
      <c r="AL868" s="1"/>
    </row>
    <row r="869" spans="1:38" ht="14.45">
      <c r="A869" s="156">
        <v>868</v>
      </c>
      <c r="B869" s="59">
        <v>45901</v>
      </c>
      <c r="C869" s="34">
        <v>631199577</v>
      </c>
      <c r="D869" s="23" t="s">
        <v>177</v>
      </c>
      <c r="E869" s="23">
        <v>2404.19</v>
      </c>
      <c r="F869" s="23" t="s">
        <v>1877</v>
      </c>
      <c r="G869" s="14" t="s">
        <v>190</v>
      </c>
      <c r="H869" s="23" t="s">
        <v>40</v>
      </c>
      <c r="I869" s="23" t="s">
        <v>93</v>
      </c>
      <c r="J869" s="97">
        <f t="shared" si="226"/>
        <v>45801</v>
      </c>
      <c r="L869" s="19" t="str">
        <f t="shared" si="239"/>
        <v/>
      </c>
      <c r="M869" s="5">
        <f t="shared" si="227"/>
        <v>45812</v>
      </c>
      <c r="N869" s="4">
        <v>45792</v>
      </c>
      <c r="O869" s="19">
        <f t="shared" si="233"/>
        <v>20</v>
      </c>
      <c r="P869" s="5">
        <f t="shared" si="228"/>
        <v>45827</v>
      </c>
      <c r="Q869" s="4">
        <v>45797</v>
      </c>
      <c r="R869" s="19">
        <f t="shared" si="234"/>
        <v>30</v>
      </c>
      <c r="S869" s="5">
        <f t="shared" si="235"/>
        <v>45832</v>
      </c>
      <c r="T869" s="4">
        <v>45832</v>
      </c>
      <c r="U869" s="19">
        <f t="shared" si="236"/>
        <v>0</v>
      </c>
      <c r="V869" s="5">
        <f t="shared" si="229"/>
        <v>45871</v>
      </c>
      <c r="W869" s="4">
        <v>45852</v>
      </c>
      <c r="X869" s="19">
        <f t="shared" si="237"/>
        <v>19</v>
      </c>
      <c r="Y869" s="51">
        <f t="shared" si="219"/>
        <v>45899</v>
      </c>
      <c r="Z869" s="4">
        <v>45835</v>
      </c>
      <c r="AA869" s="49">
        <f t="shared" si="238"/>
        <v>64</v>
      </c>
      <c r="AB869" s="51">
        <f t="shared" si="230"/>
        <v>45901</v>
      </c>
      <c r="AC869" s="49">
        <f t="shared" si="231"/>
        <v>66</v>
      </c>
      <c r="AD869" s="43">
        <f t="shared" si="232"/>
        <v>45901</v>
      </c>
      <c r="AE869" s="4">
        <v>45835</v>
      </c>
      <c r="AF869" s="19">
        <f t="shared" si="218"/>
        <v>66</v>
      </c>
      <c r="AG869" s="10"/>
      <c r="AH869" s="1"/>
      <c r="AI869" s="1"/>
      <c r="AJ869" s="1"/>
      <c r="AK869" s="1"/>
      <c r="AL869" s="1"/>
    </row>
    <row r="870" spans="1:38" ht="14.45">
      <c r="A870" s="156">
        <v>869</v>
      </c>
      <c r="B870" s="59">
        <v>45901</v>
      </c>
      <c r="C870" s="41">
        <v>644076945</v>
      </c>
      <c r="D870" s="23" t="s">
        <v>177</v>
      </c>
      <c r="E870" s="23">
        <v>867.3</v>
      </c>
      <c r="F870" s="23" t="s">
        <v>93</v>
      </c>
      <c r="G870" s="14" t="s">
        <v>190</v>
      </c>
      <c r="H870" s="23" t="s">
        <v>40</v>
      </c>
      <c r="I870" s="23" t="s">
        <v>93</v>
      </c>
      <c r="J870" s="97">
        <f t="shared" si="226"/>
        <v>45801</v>
      </c>
      <c r="L870" s="19" t="str">
        <f t="shared" si="239"/>
        <v/>
      </c>
      <c r="M870" s="5">
        <f t="shared" si="227"/>
        <v>45812</v>
      </c>
      <c r="N870" s="4">
        <v>45792</v>
      </c>
      <c r="O870" s="19">
        <f t="shared" si="233"/>
        <v>20</v>
      </c>
      <c r="P870" s="5">
        <f t="shared" si="228"/>
        <v>45827</v>
      </c>
      <c r="Q870" s="4">
        <v>45797</v>
      </c>
      <c r="R870" s="19">
        <f t="shared" si="234"/>
        <v>30</v>
      </c>
      <c r="S870" s="5">
        <f t="shared" si="235"/>
        <v>45832</v>
      </c>
      <c r="T870" s="4">
        <v>45832</v>
      </c>
      <c r="U870" s="19">
        <f t="shared" si="236"/>
        <v>0</v>
      </c>
      <c r="V870" s="5">
        <f t="shared" si="229"/>
        <v>45871</v>
      </c>
      <c r="W870" s="4">
        <v>45852</v>
      </c>
      <c r="X870" s="19">
        <f t="shared" si="237"/>
        <v>19</v>
      </c>
      <c r="Y870" s="51">
        <f t="shared" si="219"/>
        <v>45899</v>
      </c>
      <c r="Z870" s="4">
        <v>45835</v>
      </c>
      <c r="AA870" s="49">
        <f t="shared" si="238"/>
        <v>64</v>
      </c>
      <c r="AB870" s="51">
        <f t="shared" si="230"/>
        <v>45901</v>
      </c>
      <c r="AC870" s="49">
        <f t="shared" si="231"/>
        <v>66</v>
      </c>
      <c r="AD870" s="43">
        <f t="shared" si="232"/>
        <v>45901</v>
      </c>
      <c r="AE870" s="4">
        <v>45835</v>
      </c>
      <c r="AF870" s="19">
        <f t="shared" si="218"/>
        <v>66</v>
      </c>
      <c r="AG870" s="10"/>
      <c r="AH870" s="1"/>
      <c r="AI870" s="1"/>
      <c r="AJ870" s="1"/>
      <c r="AK870" s="1"/>
      <c r="AL870" s="1"/>
    </row>
    <row r="871" spans="1:38" ht="14.45">
      <c r="A871" s="156">
        <v>870</v>
      </c>
      <c r="B871" s="59">
        <v>45901</v>
      </c>
      <c r="C871" s="34">
        <v>647944206</v>
      </c>
      <c r="D871" s="23" t="s">
        <v>177</v>
      </c>
      <c r="E871" s="23">
        <v>1840.61</v>
      </c>
      <c r="F871" s="23" t="s">
        <v>1878</v>
      </c>
      <c r="G871" s="14" t="s">
        <v>190</v>
      </c>
      <c r="H871" s="23" t="s">
        <v>40</v>
      </c>
      <c r="I871" s="23" t="s">
        <v>93</v>
      </c>
      <c r="J871" s="97">
        <f t="shared" si="226"/>
        <v>45801</v>
      </c>
      <c r="L871" s="19" t="str">
        <f t="shared" si="239"/>
        <v/>
      </c>
      <c r="M871" s="5">
        <f t="shared" si="227"/>
        <v>45812</v>
      </c>
      <c r="N871" s="4">
        <v>45792</v>
      </c>
      <c r="O871" s="19">
        <f t="shared" si="233"/>
        <v>20</v>
      </c>
      <c r="P871" s="5">
        <f t="shared" si="228"/>
        <v>45827</v>
      </c>
      <c r="Q871" s="4">
        <v>45797</v>
      </c>
      <c r="R871" s="19">
        <f t="shared" si="234"/>
        <v>30</v>
      </c>
      <c r="S871" s="5">
        <f t="shared" si="235"/>
        <v>45832</v>
      </c>
      <c r="T871" s="4">
        <v>45832</v>
      </c>
      <c r="U871" s="19">
        <f t="shared" si="236"/>
        <v>0</v>
      </c>
      <c r="V871" s="5">
        <f t="shared" si="229"/>
        <v>45871</v>
      </c>
      <c r="W871" s="4">
        <v>45852</v>
      </c>
      <c r="X871" s="19">
        <f t="shared" si="237"/>
        <v>19</v>
      </c>
      <c r="Y871" s="51">
        <f t="shared" si="219"/>
        <v>45899</v>
      </c>
      <c r="Z871" s="4">
        <v>45835</v>
      </c>
      <c r="AA871" s="49">
        <f t="shared" si="238"/>
        <v>64</v>
      </c>
      <c r="AB871" s="51">
        <f t="shared" si="230"/>
        <v>45901</v>
      </c>
      <c r="AC871" s="49">
        <f t="shared" si="231"/>
        <v>66</v>
      </c>
      <c r="AD871" s="43">
        <f t="shared" si="232"/>
        <v>45901</v>
      </c>
      <c r="AE871" s="4">
        <v>45835</v>
      </c>
      <c r="AF871" s="19">
        <f t="shared" si="218"/>
        <v>66</v>
      </c>
      <c r="AG871" s="10"/>
      <c r="AH871" s="1"/>
      <c r="AI871" s="1"/>
      <c r="AJ871" s="1"/>
      <c r="AK871" s="1"/>
      <c r="AL871" s="1"/>
    </row>
    <row r="872" spans="1:38" ht="14.45">
      <c r="A872" s="156">
        <v>871</v>
      </c>
      <c r="B872" s="59">
        <v>45901</v>
      </c>
      <c r="C872" s="34">
        <v>659795926</v>
      </c>
      <c r="D872" s="23" t="s">
        <v>177</v>
      </c>
      <c r="E872" s="23">
        <v>3407.8</v>
      </c>
      <c r="F872" s="23" t="s">
        <v>1879</v>
      </c>
      <c r="G872" s="14" t="s">
        <v>190</v>
      </c>
      <c r="H872" s="23" t="s">
        <v>40</v>
      </c>
      <c r="I872" s="23" t="s">
        <v>93</v>
      </c>
      <c r="J872" s="97">
        <f t="shared" si="226"/>
        <v>45801</v>
      </c>
      <c r="L872" s="19" t="str">
        <f t="shared" si="239"/>
        <v/>
      </c>
      <c r="M872" s="5">
        <f t="shared" si="227"/>
        <v>45812</v>
      </c>
      <c r="N872" s="4">
        <v>45792</v>
      </c>
      <c r="O872" s="19">
        <f t="shared" si="233"/>
        <v>20</v>
      </c>
      <c r="P872" s="5">
        <f t="shared" si="228"/>
        <v>45827</v>
      </c>
      <c r="Q872" s="4">
        <v>45797</v>
      </c>
      <c r="R872" s="19">
        <f t="shared" si="234"/>
        <v>30</v>
      </c>
      <c r="S872" s="5">
        <f t="shared" si="235"/>
        <v>45832</v>
      </c>
      <c r="T872" s="4">
        <v>45832</v>
      </c>
      <c r="U872" s="19">
        <f t="shared" si="236"/>
        <v>0</v>
      </c>
      <c r="V872" s="5">
        <f t="shared" si="229"/>
        <v>45871</v>
      </c>
      <c r="W872" s="4">
        <v>45852</v>
      </c>
      <c r="X872" s="19">
        <f t="shared" si="237"/>
        <v>19</v>
      </c>
      <c r="Y872" s="51">
        <f t="shared" si="219"/>
        <v>45899</v>
      </c>
      <c r="Z872" s="4">
        <v>45835</v>
      </c>
      <c r="AA872" s="49">
        <f t="shared" si="238"/>
        <v>64</v>
      </c>
      <c r="AB872" s="51">
        <f t="shared" si="230"/>
        <v>45901</v>
      </c>
      <c r="AC872" s="49">
        <f t="shared" si="231"/>
        <v>66</v>
      </c>
      <c r="AD872" s="43">
        <f t="shared" si="232"/>
        <v>45901</v>
      </c>
      <c r="AE872" s="4">
        <v>45835</v>
      </c>
      <c r="AF872" s="19">
        <f t="shared" si="218"/>
        <v>66</v>
      </c>
      <c r="AG872" s="10"/>
      <c r="AH872" s="1"/>
      <c r="AI872" s="1"/>
      <c r="AJ872" s="1"/>
      <c r="AK872" s="1"/>
      <c r="AL872" s="1"/>
    </row>
    <row r="873" spans="1:38" ht="14.45">
      <c r="A873" s="156">
        <v>872</v>
      </c>
      <c r="B873" s="59">
        <v>45901</v>
      </c>
      <c r="C873" s="34">
        <v>639241595</v>
      </c>
      <c r="D873" s="23" t="s">
        <v>177</v>
      </c>
      <c r="E873" s="23">
        <v>3188.04</v>
      </c>
      <c r="F873" s="23" t="s">
        <v>1880</v>
      </c>
      <c r="G873" s="14" t="s">
        <v>190</v>
      </c>
      <c r="H873" s="23" t="s">
        <v>40</v>
      </c>
      <c r="I873" s="23" t="s">
        <v>93</v>
      </c>
      <c r="J873" s="97">
        <f t="shared" si="226"/>
        <v>45801</v>
      </c>
      <c r="L873" s="19" t="str">
        <f t="shared" si="239"/>
        <v/>
      </c>
      <c r="M873" s="5">
        <f t="shared" si="227"/>
        <v>45812</v>
      </c>
      <c r="N873" s="4">
        <v>45792</v>
      </c>
      <c r="O873" s="19">
        <f t="shared" si="233"/>
        <v>20</v>
      </c>
      <c r="P873" s="5">
        <f t="shared" si="228"/>
        <v>45827</v>
      </c>
      <c r="Q873" s="4">
        <v>45797</v>
      </c>
      <c r="R873" s="19">
        <f t="shared" si="234"/>
        <v>30</v>
      </c>
      <c r="S873" s="5">
        <f t="shared" si="235"/>
        <v>45832</v>
      </c>
      <c r="T873" s="4">
        <v>45832</v>
      </c>
      <c r="U873" s="19">
        <f t="shared" si="236"/>
        <v>0</v>
      </c>
      <c r="V873" s="5">
        <f t="shared" si="229"/>
        <v>45871</v>
      </c>
      <c r="W873" s="4">
        <v>45852</v>
      </c>
      <c r="X873" s="19">
        <f t="shared" si="237"/>
        <v>19</v>
      </c>
      <c r="Y873" s="51">
        <f t="shared" si="219"/>
        <v>45899</v>
      </c>
      <c r="Z873" s="4">
        <v>45835</v>
      </c>
      <c r="AA873" s="49">
        <f t="shared" si="238"/>
        <v>64</v>
      </c>
      <c r="AB873" s="51">
        <f t="shared" si="230"/>
        <v>45901</v>
      </c>
      <c r="AC873" s="49">
        <f t="shared" si="231"/>
        <v>66</v>
      </c>
      <c r="AD873" s="43">
        <f t="shared" si="232"/>
        <v>45901</v>
      </c>
      <c r="AE873" s="4">
        <v>45835</v>
      </c>
      <c r="AF873" s="19">
        <f t="shared" si="218"/>
        <v>66</v>
      </c>
      <c r="AG873" s="10"/>
      <c r="AH873" s="1"/>
      <c r="AI873" s="1"/>
      <c r="AJ873" s="1"/>
      <c r="AK873" s="1"/>
      <c r="AL873" s="1"/>
    </row>
    <row r="874" spans="1:38" ht="14.45">
      <c r="A874" s="156">
        <v>873</v>
      </c>
      <c r="B874" s="59">
        <v>45901</v>
      </c>
      <c r="C874" s="34">
        <v>640268728</v>
      </c>
      <c r="D874" s="23" t="s">
        <v>177</v>
      </c>
      <c r="E874" s="23">
        <v>2989.88</v>
      </c>
      <c r="F874" s="23" t="s">
        <v>1881</v>
      </c>
      <c r="G874" s="14" t="s">
        <v>190</v>
      </c>
      <c r="H874" s="23" t="s">
        <v>40</v>
      </c>
      <c r="I874" s="23" t="s">
        <v>93</v>
      </c>
      <c r="J874" s="97">
        <f t="shared" si="226"/>
        <v>45801</v>
      </c>
      <c r="L874" s="19" t="str">
        <f t="shared" si="239"/>
        <v/>
      </c>
      <c r="M874" s="5">
        <f t="shared" si="227"/>
        <v>45812</v>
      </c>
      <c r="N874" s="4">
        <v>45792</v>
      </c>
      <c r="O874" s="19">
        <f t="shared" si="233"/>
        <v>20</v>
      </c>
      <c r="P874" s="5">
        <f t="shared" si="228"/>
        <v>45827</v>
      </c>
      <c r="Q874" s="4">
        <v>45797</v>
      </c>
      <c r="R874" s="19">
        <f t="shared" si="234"/>
        <v>30</v>
      </c>
      <c r="S874" s="5">
        <f t="shared" si="235"/>
        <v>45832</v>
      </c>
      <c r="T874" s="4">
        <v>45832</v>
      </c>
      <c r="U874" s="19">
        <f t="shared" si="236"/>
        <v>0</v>
      </c>
      <c r="V874" s="5">
        <f t="shared" si="229"/>
        <v>45871</v>
      </c>
      <c r="W874" s="4">
        <v>45852</v>
      </c>
      <c r="X874" s="19">
        <f t="shared" si="237"/>
        <v>19</v>
      </c>
      <c r="Y874" s="51">
        <f t="shared" si="219"/>
        <v>45899</v>
      </c>
      <c r="Z874" s="4">
        <v>45835</v>
      </c>
      <c r="AA874" s="49">
        <f t="shared" si="238"/>
        <v>64</v>
      </c>
      <c r="AB874" s="51">
        <f t="shared" si="230"/>
        <v>45901</v>
      </c>
      <c r="AC874" s="49">
        <f t="shared" si="231"/>
        <v>66</v>
      </c>
      <c r="AD874" s="43">
        <f t="shared" si="232"/>
        <v>45901</v>
      </c>
      <c r="AE874" s="4">
        <v>45835</v>
      </c>
      <c r="AF874" s="19">
        <f t="shared" si="218"/>
        <v>66</v>
      </c>
      <c r="AG874" s="10"/>
      <c r="AH874" s="1"/>
      <c r="AI874" s="1"/>
      <c r="AJ874" s="1"/>
      <c r="AK874" s="1"/>
      <c r="AL874" s="1"/>
    </row>
    <row r="875" spans="1:38" ht="14.45">
      <c r="A875" s="156">
        <v>874</v>
      </c>
      <c r="B875" s="59">
        <v>45901</v>
      </c>
      <c r="C875" s="34">
        <v>632184420</v>
      </c>
      <c r="D875" s="23" t="s">
        <v>177</v>
      </c>
      <c r="E875" s="23">
        <v>2884.79</v>
      </c>
      <c r="F875" s="23" t="s">
        <v>1882</v>
      </c>
      <c r="G875" s="14" t="s">
        <v>190</v>
      </c>
      <c r="H875" s="23" t="s">
        <v>40</v>
      </c>
      <c r="I875" s="23" t="s">
        <v>93</v>
      </c>
      <c r="J875" s="97">
        <f t="shared" si="226"/>
        <v>45801</v>
      </c>
      <c r="L875" s="19" t="str">
        <f t="shared" si="239"/>
        <v/>
      </c>
      <c r="M875" s="5">
        <f t="shared" si="227"/>
        <v>45812</v>
      </c>
      <c r="N875" s="4">
        <v>45792</v>
      </c>
      <c r="O875" s="19">
        <f t="shared" si="233"/>
        <v>20</v>
      </c>
      <c r="P875" s="5">
        <f t="shared" si="228"/>
        <v>45827</v>
      </c>
      <c r="Q875" s="4">
        <v>45797</v>
      </c>
      <c r="R875" s="19">
        <f t="shared" si="234"/>
        <v>30</v>
      </c>
      <c r="S875" s="5">
        <f t="shared" si="235"/>
        <v>45832</v>
      </c>
      <c r="T875" s="4">
        <v>45832</v>
      </c>
      <c r="U875" s="19">
        <f t="shared" si="236"/>
        <v>0</v>
      </c>
      <c r="V875" s="5">
        <f t="shared" si="229"/>
        <v>45871</v>
      </c>
      <c r="W875" s="4">
        <v>45852</v>
      </c>
      <c r="X875" s="19">
        <f t="shared" si="237"/>
        <v>19</v>
      </c>
      <c r="Y875" s="51">
        <f t="shared" si="219"/>
        <v>45899</v>
      </c>
      <c r="Z875" s="4">
        <v>45835</v>
      </c>
      <c r="AA875" s="49">
        <f t="shared" si="238"/>
        <v>64</v>
      </c>
      <c r="AB875" s="51">
        <f t="shared" si="230"/>
        <v>45901</v>
      </c>
      <c r="AC875" s="49">
        <f t="shared" si="231"/>
        <v>66</v>
      </c>
      <c r="AD875" s="43">
        <f t="shared" si="232"/>
        <v>45901</v>
      </c>
      <c r="AE875" s="4">
        <v>45835</v>
      </c>
      <c r="AF875" s="19">
        <f t="shared" si="218"/>
        <v>66</v>
      </c>
      <c r="AG875" s="10"/>
      <c r="AH875" s="1"/>
      <c r="AI875" s="1"/>
      <c r="AJ875" s="1"/>
      <c r="AK875" s="1"/>
      <c r="AL875" s="1"/>
    </row>
    <row r="876" spans="1:38" ht="14.45">
      <c r="A876" s="156">
        <v>875</v>
      </c>
      <c r="B876" s="59">
        <v>45901</v>
      </c>
      <c r="C876" s="34">
        <v>635446297</v>
      </c>
      <c r="D876" s="23" t="s">
        <v>177</v>
      </c>
      <c r="E876" s="23">
        <v>2884.79</v>
      </c>
      <c r="F876" s="23" t="s">
        <v>1883</v>
      </c>
      <c r="G876" s="14" t="s">
        <v>190</v>
      </c>
      <c r="H876" s="23" t="s">
        <v>40</v>
      </c>
      <c r="I876" s="23" t="s">
        <v>93</v>
      </c>
      <c r="J876" s="97">
        <f t="shared" si="226"/>
        <v>45801</v>
      </c>
      <c r="L876" s="19" t="str">
        <f t="shared" si="239"/>
        <v/>
      </c>
      <c r="M876" s="5">
        <f t="shared" si="227"/>
        <v>45812</v>
      </c>
      <c r="N876" s="4">
        <v>45792</v>
      </c>
      <c r="O876" s="19">
        <f t="shared" si="233"/>
        <v>20</v>
      </c>
      <c r="P876" s="5">
        <f t="shared" si="228"/>
        <v>45827</v>
      </c>
      <c r="Q876" s="4">
        <v>45797</v>
      </c>
      <c r="R876" s="19">
        <f t="shared" si="234"/>
        <v>30</v>
      </c>
      <c r="S876" s="5">
        <f t="shared" si="235"/>
        <v>45832</v>
      </c>
      <c r="T876" s="4">
        <v>45832</v>
      </c>
      <c r="U876" s="19">
        <f t="shared" si="236"/>
        <v>0</v>
      </c>
      <c r="V876" s="5">
        <f t="shared" si="229"/>
        <v>45871</v>
      </c>
      <c r="W876" s="4">
        <v>45852</v>
      </c>
      <c r="X876" s="19">
        <f t="shared" si="237"/>
        <v>19</v>
      </c>
      <c r="Y876" s="51">
        <f t="shared" si="219"/>
        <v>45899</v>
      </c>
      <c r="Z876" s="4">
        <v>45835</v>
      </c>
      <c r="AA876" s="49">
        <f t="shared" si="238"/>
        <v>64</v>
      </c>
      <c r="AB876" s="51">
        <f t="shared" si="230"/>
        <v>45901</v>
      </c>
      <c r="AC876" s="49">
        <f t="shared" si="231"/>
        <v>66</v>
      </c>
      <c r="AD876" s="43">
        <f t="shared" si="232"/>
        <v>45901</v>
      </c>
      <c r="AE876" s="4">
        <v>45835</v>
      </c>
      <c r="AF876" s="19">
        <f t="shared" si="218"/>
        <v>66</v>
      </c>
      <c r="AG876" s="10"/>
      <c r="AH876" s="1"/>
      <c r="AI876" s="1"/>
      <c r="AJ876" s="1"/>
      <c r="AK876" s="1"/>
      <c r="AL876" s="1"/>
    </row>
    <row r="877" spans="1:38" ht="14.45">
      <c r="A877" s="156">
        <v>876</v>
      </c>
      <c r="B877" s="59">
        <v>45901</v>
      </c>
      <c r="C877" s="34">
        <v>631938164</v>
      </c>
      <c r="D877" s="23" t="s">
        <v>177</v>
      </c>
      <c r="E877" s="23">
        <v>2989.88</v>
      </c>
      <c r="F877" s="23" t="s">
        <v>1884</v>
      </c>
      <c r="G877" s="14" t="s">
        <v>190</v>
      </c>
      <c r="H877" s="23" t="s">
        <v>40</v>
      </c>
      <c r="I877" s="23" t="s">
        <v>93</v>
      </c>
      <c r="J877" s="97">
        <f t="shared" si="226"/>
        <v>45801</v>
      </c>
      <c r="L877" s="19" t="str">
        <f t="shared" si="239"/>
        <v/>
      </c>
      <c r="M877" s="5">
        <f t="shared" si="227"/>
        <v>45812</v>
      </c>
      <c r="N877" s="4">
        <v>45792</v>
      </c>
      <c r="O877" s="19">
        <f t="shared" si="233"/>
        <v>20</v>
      </c>
      <c r="P877" s="5">
        <f t="shared" si="228"/>
        <v>45827</v>
      </c>
      <c r="Q877" s="4">
        <v>45797</v>
      </c>
      <c r="R877" s="19">
        <f t="shared" si="234"/>
        <v>30</v>
      </c>
      <c r="S877" s="5">
        <f t="shared" si="235"/>
        <v>45832</v>
      </c>
      <c r="T877" s="4">
        <v>45832</v>
      </c>
      <c r="U877" s="19">
        <f t="shared" si="236"/>
        <v>0</v>
      </c>
      <c r="V877" s="5">
        <f t="shared" si="229"/>
        <v>45871</v>
      </c>
      <c r="W877" s="4">
        <v>45852</v>
      </c>
      <c r="X877" s="19">
        <f t="shared" si="237"/>
        <v>19</v>
      </c>
      <c r="Y877" s="51">
        <f t="shared" si="219"/>
        <v>45899</v>
      </c>
      <c r="Z877" s="4">
        <v>45835</v>
      </c>
      <c r="AA877" s="49">
        <f t="shared" si="238"/>
        <v>64</v>
      </c>
      <c r="AB877" s="51">
        <f t="shared" si="230"/>
        <v>45901</v>
      </c>
      <c r="AC877" s="49">
        <f t="shared" si="231"/>
        <v>66</v>
      </c>
      <c r="AD877" s="43">
        <f t="shared" si="232"/>
        <v>45901</v>
      </c>
      <c r="AE877" s="4">
        <v>45835</v>
      </c>
      <c r="AF877" s="19">
        <f t="shared" si="218"/>
        <v>66</v>
      </c>
      <c r="AG877" s="10"/>
      <c r="AH877" s="1"/>
      <c r="AI877" s="1"/>
      <c r="AJ877" s="1"/>
      <c r="AK877" s="1"/>
      <c r="AL877" s="1"/>
    </row>
    <row r="878" spans="1:38" ht="14.45">
      <c r="A878" s="156">
        <v>877</v>
      </c>
      <c r="B878" s="59">
        <v>45901</v>
      </c>
      <c r="C878" s="34">
        <v>631939303</v>
      </c>
      <c r="D878" s="23" t="s">
        <v>177</v>
      </c>
      <c r="E878" s="23">
        <v>2989.88</v>
      </c>
      <c r="F878" s="23" t="s">
        <v>1885</v>
      </c>
      <c r="G878" s="14" t="s">
        <v>190</v>
      </c>
      <c r="H878" s="23" t="s">
        <v>40</v>
      </c>
      <c r="I878" s="23" t="s">
        <v>93</v>
      </c>
      <c r="J878" s="97">
        <f t="shared" si="226"/>
        <v>45801</v>
      </c>
      <c r="L878" s="19" t="str">
        <f t="shared" si="239"/>
        <v/>
      </c>
      <c r="M878" s="5">
        <f t="shared" si="227"/>
        <v>45812</v>
      </c>
      <c r="N878" s="4">
        <v>45792</v>
      </c>
      <c r="O878" s="19">
        <f t="shared" si="233"/>
        <v>20</v>
      </c>
      <c r="P878" s="5">
        <f t="shared" si="228"/>
        <v>45827</v>
      </c>
      <c r="Q878" s="4">
        <v>45797</v>
      </c>
      <c r="R878" s="19">
        <f t="shared" si="234"/>
        <v>30</v>
      </c>
      <c r="S878" s="5">
        <f t="shared" si="235"/>
        <v>45832</v>
      </c>
      <c r="T878" s="4">
        <v>45832</v>
      </c>
      <c r="U878" s="19">
        <f t="shared" si="236"/>
        <v>0</v>
      </c>
      <c r="V878" s="5">
        <f t="shared" si="229"/>
        <v>45871</v>
      </c>
      <c r="W878" s="4">
        <v>45852</v>
      </c>
      <c r="X878" s="19">
        <f t="shared" si="237"/>
        <v>19</v>
      </c>
      <c r="Y878" s="51">
        <f t="shared" si="219"/>
        <v>45899</v>
      </c>
      <c r="Z878" s="4">
        <v>45835</v>
      </c>
      <c r="AA878" s="49">
        <f t="shared" si="238"/>
        <v>64</v>
      </c>
      <c r="AB878" s="51">
        <f t="shared" si="230"/>
        <v>45901</v>
      </c>
      <c r="AC878" s="49">
        <f t="shared" si="231"/>
        <v>66</v>
      </c>
      <c r="AD878" s="43">
        <f t="shared" si="232"/>
        <v>45901</v>
      </c>
      <c r="AE878" s="4">
        <v>45835</v>
      </c>
      <c r="AF878" s="19">
        <f t="shared" ref="AF878:AF941" si="252">IF(OR(AD878="", AE878=""), "", AD878-AE878)</f>
        <v>66</v>
      </c>
      <c r="AG878" s="10"/>
      <c r="AH878" s="1"/>
      <c r="AI878" s="1"/>
      <c r="AJ878" s="1"/>
      <c r="AK878" s="1"/>
      <c r="AL878" s="1"/>
    </row>
    <row r="879" spans="1:38" ht="14.45">
      <c r="A879" s="156">
        <v>878</v>
      </c>
      <c r="B879" s="59">
        <v>45901</v>
      </c>
      <c r="C879" s="34">
        <v>631940756</v>
      </c>
      <c r="D879" s="23" t="s">
        <v>177</v>
      </c>
      <c r="E879" s="23">
        <v>3407.8</v>
      </c>
      <c r="F879" s="23" t="s">
        <v>1886</v>
      </c>
      <c r="G879" s="14" t="s">
        <v>190</v>
      </c>
      <c r="H879" s="23" t="s">
        <v>40</v>
      </c>
      <c r="I879" s="23" t="s">
        <v>93</v>
      </c>
      <c r="J879" s="97">
        <f t="shared" si="226"/>
        <v>45801</v>
      </c>
      <c r="L879" s="19" t="str">
        <f t="shared" si="239"/>
        <v/>
      </c>
      <c r="M879" s="5">
        <f t="shared" si="227"/>
        <v>45812</v>
      </c>
      <c r="N879" s="4">
        <v>45792</v>
      </c>
      <c r="O879" s="19">
        <f t="shared" si="233"/>
        <v>20</v>
      </c>
      <c r="P879" s="5">
        <f t="shared" si="228"/>
        <v>45827</v>
      </c>
      <c r="Q879" s="4">
        <v>45797</v>
      </c>
      <c r="R879" s="19">
        <f t="shared" si="234"/>
        <v>30</v>
      </c>
      <c r="S879" s="5">
        <f t="shared" si="235"/>
        <v>45832</v>
      </c>
      <c r="T879" s="4">
        <v>45832</v>
      </c>
      <c r="U879" s="19">
        <f t="shared" si="236"/>
        <v>0</v>
      </c>
      <c r="V879" s="5">
        <f t="shared" si="229"/>
        <v>45871</v>
      </c>
      <c r="W879" s="4">
        <v>45852</v>
      </c>
      <c r="X879" s="19">
        <f t="shared" si="237"/>
        <v>19</v>
      </c>
      <c r="Y879" s="51">
        <f t="shared" si="219"/>
        <v>45899</v>
      </c>
      <c r="Z879" s="4">
        <v>45835</v>
      </c>
      <c r="AA879" s="49">
        <f t="shared" si="238"/>
        <v>64</v>
      </c>
      <c r="AB879" s="51">
        <f t="shared" si="230"/>
        <v>45901</v>
      </c>
      <c r="AC879" s="49">
        <f t="shared" si="231"/>
        <v>66</v>
      </c>
      <c r="AD879" s="43">
        <f t="shared" si="232"/>
        <v>45901</v>
      </c>
      <c r="AE879" s="4">
        <v>45835</v>
      </c>
      <c r="AF879" s="19">
        <f t="shared" si="252"/>
        <v>66</v>
      </c>
      <c r="AG879" s="10"/>
      <c r="AH879" s="1"/>
      <c r="AI879" s="1"/>
      <c r="AJ879" s="1"/>
      <c r="AK879" s="1"/>
      <c r="AL879" s="1"/>
    </row>
    <row r="880" spans="1:38" ht="14.45">
      <c r="A880" s="156">
        <v>879</v>
      </c>
      <c r="B880" s="59">
        <v>45901</v>
      </c>
      <c r="C880" s="34">
        <v>631940178</v>
      </c>
      <c r="D880" s="23" t="s">
        <v>177</v>
      </c>
      <c r="E880" s="23">
        <v>3616.77</v>
      </c>
      <c r="F880" s="23" t="s">
        <v>1887</v>
      </c>
      <c r="G880" s="14" t="s">
        <v>190</v>
      </c>
      <c r="H880" s="23" t="s">
        <v>40</v>
      </c>
      <c r="I880" s="23" t="s">
        <v>93</v>
      </c>
      <c r="J880" s="97">
        <f t="shared" si="226"/>
        <v>45801</v>
      </c>
      <c r="L880" s="19" t="str">
        <f t="shared" si="239"/>
        <v/>
      </c>
      <c r="M880" s="5">
        <f t="shared" si="227"/>
        <v>45812</v>
      </c>
      <c r="N880" s="4">
        <v>45792</v>
      </c>
      <c r="O880" s="19">
        <f t="shared" si="233"/>
        <v>20</v>
      </c>
      <c r="P880" s="5">
        <f t="shared" si="228"/>
        <v>45827</v>
      </c>
      <c r="Q880" s="4">
        <v>45797</v>
      </c>
      <c r="R880" s="19">
        <f t="shared" si="234"/>
        <v>30</v>
      </c>
      <c r="S880" s="5">
        <f t="shared" si="235"/>
        <v>45832</v>
      </c>
      <c r="T880" s="4">
        <v>45832</v>
      </c>
      <c r="U880" s="19">
        <f t="shared" si="236"/>
        <v>0</v>
      </c>
      <c r="V880" s="5">
        <f t="shared" si="229"/>
        <v>45871</v>
      </c>
      <c r="W880" s="4">
        <v>45852</v>
      </c>
      <c r="X880" s="19">
        <f t="shared" si="237"/>
        <v>19</v>
      </c>
      <c r="Y880" s="51">
        <f t="shared" si="219"/>
        <v>45899</v>
      </c>
      <c r="Z880" s="4">
        <v>45835</v>
      </c>
      <c r="AA880" s="49">
        <f t="shared" si="238"/>
        <v>64</v>
      </c>
      <c r="AB880" s="51">
        <f t="shared" si="230"/>
        <v>45901</v>
      </c>
      <c r="AC880" s="49">
        <f t="shared" si="231"/>
        <v>66</v>
      </c>
      <c r="AD880" s="43">
        <f t="shared" si="232"/>
        <v>45901</v>
      </c>
      <c r="AE880" s="4">
        <v>45835</v>
      </c>
      <c r="AF880" s="19">
        <f t="shared" si="252"/>
        <v>66</v>
      </c>
      <c r="AG880" s="10"/>
      <c r="AH880" s="1"/>
      <c r="AI880" s="1"/>
      <c r="AJ880" s="1"/>
      <c r="AK880" s="1"/>
      <c r="AL880" s="1"/>
    </row>
    <row r="881" spans="1:38" ht="14.45">
      <c r="A881" s="156">
        <v>880</v>
      </c>
      <c r="B881" s="59">
        <v>45901</v>
      </c>
      <c r="C881" s="34">
        <v>631944857</v>
      </c>
      <c r="D881" s="23" t="s">
        <v>177</v>
      </c>
      <c r="E881" s="23">
        <v>3616.77</v>
      </c>
      <c r="F881" s="23" t="s">
        <v>1888</v>
      </c>
      <c r="G881" s="14" t="s">
        <v>190</v>
      </c>
      <c r="H881" s="23" t="s">
        <v>40</v>
      </c>
      <c r="I881" s="23" t="s">
        <v>93</v>
      </c>
      <c r="J881" s="97">
        <f t="shared" si="226"/>
        <v>45801</v>
      </c>
      <c r="L881" s="19" t="str">
        <f t="shared" si="239"/>
        <v/>
      </c>
      <c r="M881" s="5">
        <f t="shared" si="227"/>
        <v>45812</v>
      </c>
      <c r="N881" s="4">
        <v>45792</v>
      </c>
      <c r="O881" s="19">
        <f t="shared" si="233"/>
        <v>20</v>
      </c>
      <c r="P881" s="5">
        <f t="shared" si="228"/>
        <v>45827</v>
      </c>
      <c r="Q881" s="4">
        <v>45797</v>
      </c>
      <c r="R881" s="19">
        <f t="shared" si="234"/>
        <v>30</v>
      </c>
      <c r="S881" s="5">
        <f t="shared" si="235"/>
        <v>45832</v>
      </c>
      <c r="T881" s="4">
        <v>45832</v>
      </c>
      <c r="U881" s="19">
        <f t="shared" si="236"/>
        <v>0</v>
      </c>
      <c r="V881" s="5">
        <f t="shared" si="229"/>
        <v>45871</v>
      </c>
      <c r="W881" s="4">
        <v>45852</v>
      </c>
      <c r="X881" s="19">
        <f t="shared" si="237"/>
        <v>19</v>
      </c>
      <c r="Y881" s="51">
        <f t="shared" si="219"/>
        <v>45899</v>
      </c>
      <c r="Z881" s="4">
        <v>45835</v>
      </c>
      <c r="AA881" s="49">
        <f t="shared" si="238"/>
        <v>64</v>
      </c>
      <c r="AB881" s="51">
        <f t="shared" si="230"/>
        <v>45901</v>
      </c>
      <c r="AC881" s="49">
        <f t="shared" si="231"/>
        <v>66</v>
      </c>
      <c r="AD881" s="43">
        <f t="shared" si="232"/>
        <v>45901</v>
      </c>
      <c r="AE881" s="4">
        <v>45835</v>
      </c>
      <c r="AF881" s="19">
        <f t="shared" si="252"/>
        <v>66</v>
      </c>
      <c r="AG881" s="10"/>
      <c r="AH881" s="1"/>
      <c r="AI881" s="1"/>
      <c r="AJ881" s="1"/>
      <c r="AK881" s="1"/>
      <c r="AL881" s="1"/>
    </row>
    <row r="882" spans="1:38" ht="14.45">
      <c r="A882" s="156">
        <v>881</v>
      </c>
      <c r="B882" s="59">
        <v>45901</v>
      </c>
      <c r="C882" s="34">
        <v>631943107</v>
      </c>
      <c r="D882" s="23" t="s">
        <v>177</v>
      </c>
      <c r="E882" s="23">
        <v>3407.8</v>
      </c>
      <c r="F882" s="23" t="s">
        <v>1889</v>
      </c>
      <c r="G882" s="14" t="s">
        <v>190</v>
      </c>
      <c r="H882" s="23" t="s">
        <v>40</v>
      </c>
      <c r="I882" s="23" t="s">
        <v>93</v>
      </c>
      <c r="J882" s="97">
        <f t="shared" si="226"/>
        <v>45801</v>
      </c>
      <c r="L882" s="19" t="str">
        <f t="shared" si="239"/>
        <v/>
      </c>
      <c r="M882" s="5">
        <f t="shared" si="227"/>
        <v>45812</v>
      </c>
      <c r="N882" s="4">
        <v>45792</v>
      </c>
      <c r="O882" s="19">
        <f t="shared" si="233"/>
        <v>20</v>
      </c>
      <c r="P882" s="5">
        <f t="shared" si="228"/>
        <v>45827</v>
      </c>
      <c r="Q882" s="4">
        <v>45797</v>
      </c>
      <c r="R882" s="19">
        <f t="shared" si="234"/>
        <v>30</v>
      </c>
      <c r="S882" s="5">
        <f t="shared" si="235"/>
        <v>45832</v>
      </c>
      <c r="T882" s="4">
        <v>45832</v>
      </c>
      <c r="U882" s="19">
        <f t="shared" si="236"/>
        <v>0</v>
      </c>
      <c r="V882" s="5">
        <f t="shared" si="229"/>
        <v>45871</v>
      </c>
      <c r="W882" s="4">
        <v>45852</v>
      </c>
      <c r="X882" s="19">
        <f t="shared" si="237"/>
        <v>19</v>
      </c>
      <c r="Y882" s="51">
        <f t="shared" si="219"/>
        <v>45899</v>
      </c>
      <c r="Z882" s="4">
        <v>45835</v>
      </c>
      <c r="AA882" s="49">
        <f t="shared" si="238"/>
        <v>64</v>
      </c>
      <c r="AB882" s="51">
        <f t="shared" si="230"/>
        <v>45901</v>
      </c>
      <c r="AC882" s="49">
        <f t="shared" si="231"/>
        <v>66</v>
      </c>
      <c r="AD882" s="43">
        <f t="shared" si="232"/>
        <v>45901</v>
      </c>
      <c r="AE882" s="4">
        <v>45835</v>
      </c>
      <c r="AF882" s="19">
        <f t="shared" si="252"/>
        <v>66</v>
      </c>
      <c r="AG882" s="10"/>
      <c r="AH882" s="1"/>
      <c r="AI882" s="1"/>
      <c r="AJ882" s="1"/>
      <c r="AK882" s="1"/>
      <c r="AL882" s="1"/>
    </row>
    <row r="883" spans="1:38" ht="14.45">
      <c r="A883" s="156">
        <v>882</v>
      </c>
      <c r="B883" s="59">
        <v>45901</v>
      </c>
      <c r="C883" s="34">
        <v>631216041</v>
      </c>
      <c r="D883" s="23" t="s">
        <v>177</v>
      </c>
      <c r="E883" s="23">
        <v>2884.79</v>
      </c>
      <c r="F883" s="23" t="s">
        <v>1890</v>
      </c>
      <c r="G883" s="14" t="s">
        <v>190</v>
      </c>
      <c r="H883" s="23" t="s">
        <v>40</v>
      </c>
      <c r="I883" s="23" t="s">
        <v>93</v>
      </c>
      <c r="J883" s="97">
        <f t="shared" si="226"/>
        <v>45801</v>
      </c>
      <c r="L883" s="19" t="str">
        <f t="shared" si="239"/>
        <v/>
      </c>
      <c r="M883" s="5">
        <f t="shared" si="227"/>
        <v>45812</v>
      </c>
      <c r="N883" s="4">
        <v>45792</v>
      </c>
      <c r="O883" s="19">
        <f t="shared" si="233"/>
        <v>20</v>
      </c>
      <c r="P883" s="5">
        <f t="shared" si="228"/>
        <v>45827</v>
      </c>
      <c r="Q883" s="4">
        <v>45797</v>
      </c>
      <c r="R883" s="19">
        <f t="shared" si="234"/>
        <v>30</v>
      </c>
      <c r="S883" s="5">
        <f t="shared" si="235"/>
        <v>45832</v>
      </c>
      <c r="T883" s="4">
        <v>45832</v>
      </c>
      <c r="U883" s="19">
        <f t="shared" si="236"/>
        <v>0</v>
      </c>
      <c r="V883" s="5">
        <f t="shared" si="229"/>
        <v>45871</v>
      </c>
      <c r="W883" s="4">
        <v>45852</v>
      </c>
      <c r="X883" s="19">
        <f t="shared" si="237"/>
        <v>19</v>
      </c>
      <c r="Y883" s="51">
        <f t="shared" ref="Y883:Y946" si="253">B883-2</f>
        <v>45899</v>
      </c>
      <c r="Z883" s="4">
        <v>45835</v>
      </c>
      <c r="AA883" s="49">
        <f t="shared" si="238"/>
        <v>64</v>
      </c>
      <c r="AB883" s="51">
        <f t="shared" si="230"/>
        <v>45901</v>
      </c>
      <c r="AC883" s="49">
        <f t="shared" si="231"/>
        <v>66</v>
      </c>
      <c r="AD883" s="43">
        <f t="shared" si="232"/>
        <v>45901</v>
      </c>
      <c r="AE883" s="4">
        <v>45835</v>
      </c>
      <c r="AF883" s="19">
        <f t="shared" si="252"/>
        <v>66</v>
      </c>
      <c r="AG883" s="10"/>
      <c r="AH883" s="1"/>
      <c r="AI883" s="1"/>
      <c r="AJ883" s="1"/>
      <c r="AK883" s="1"/>
      <c r="AL883" s="1"/>
    </row>
    <row r="884" spans="1:38" ht="14.45">
      <c r="A884" s="156">
        <v>883</v>
      </c>
      <c r="B884" s="59">
        <v>45901</v>
      </c>
      <c r="C884" s="34">
        <v>631218260</v>
      </c>
      <c r="D884" s="23" t="s">
        <v>177</v>
      </c>
      <c r="E884" s="23">
        <v>2884.79</v>
      </c>
      <c r="F884" s="23" t="s">
        <v>1891</v>
      </c>
      <c r="G884" s="14" t="s">
        <v>190</v>
      </c>
      <c r="H884" s="23" t="s">
        <v>40</v>
      </c>
      <c r="I884" s="23" t="s">
        <v>93</v>
      </c>
      <c r="J884" s="97">
        <f t="shared" si="226"/>
        <v>45801</v>
      </c>
      <c r="L884" s="19" t="str">
        <f t="shared" si="239"/>
        <v/>
      </c>
      <c r="M884" s="5">
        <f t="shared" si="227"/>
        <v>45812</v>
      </c>
      <c r="N884" s="4">
        <v>45792</v>
      </c>
      <c r="O884" s="19">
        <f t="shared" si="233"/>
        <v>20</v>
      </c>
      <c r="P884" s="5">
        <f t="shared" si="228"/>
        <v>45827</v>
      </c>
      <c r="Q884" s="4">
        <v>45797</v>
      </c>
      <c r="R884" s="19">
        <f t="shared" si="234"/>
        <v>30</v>
      </c>
      <c r="S884" s="5">
        <f t="shared" si="235"/>
        <v>45832</v>
      </c>
      <c r="T884" s="4">
        <v>45832</v>
      </c>
      <c r="U884" s="19">
        <f t="shared" si="236"/>
        <v>0</v>
      </c>
      <c r="V884" s="5">
        <f t="shared" si="229"/>
        <v>45871</v>
      </c>
      <c r="W884" s="4">
        <v>45852</v>
      </c>
      <c r="X884" s="19">
        <f t="shared" si="237"/>
        <v>19</v>
      </c>
      <c r="Y884" s="51">
        <f t="shared" si="253"/>
        <v>45899</v>
      </c>
      <c r="Z884" s="4">
        <v>45835</v>
      </c>
      <c r="AA884" s="49">
        <f t="shared" si="238"/>
        <v>64</v>
      </c>
      <c r="AB884" s="51">
        <f t="shared" si="230"/>
        <v>45901</v>
      </c>
      <c r="AC884" s="49">
        <f t="shared" si="231"/>
        <v>66</v>
      </c>
      <c r="AD884" s="43">
        <f t="shared" si="232"/>
        <v>45901</v>
      </c>
      <c r="AE884" s="4">
        <v>45835</v>
      </c>
      <c r="AF884" s="19">
        <f t="shared" si="252"/>
        <v>66</v>
      </c>
      <c r="AG884" s="10"/>
      <c r="AH884" s="1"/>
      <c r="AI884" s="1"/>
      <c r="AJ884" s="1"/>
      <c r="AK884" s="1"/>
      <c r="AL884" s="1"/>
    </row>
    <row r="885" spans="1:38" ht="14.45">
      <c r="A885" s="156">
        <v>884</v>
      </c>
      <c r="B885" s="59">
        <v>45901</v>
      </c>
      <c r="C885" s="34">
        <v>631221272</v>
      </c>
      <c r="D885" s="23" t="s">
        <v>177</v>
      </c>
      <c r="E885" s="23">
        <v>2884.79</v>
      </c>
      <c r="F885" s="23" t="s">
        <v>1892</v>
      </c>
      <c r="G885" s="14" t="s">
        <v>190</v>
      </c>
      <c r="H885" s="23" t="s">
        <v>40</v>
      </c>
      <c r="I885" s="23" t="s">
        <v>93</v>
      </c>
      <c r="J885" s="97">
        <f t="shared" si="226"/>
        <v>45801</v>
      </c>
      <c r="L885" s="19" t="str">
        <f t="shared" si="239"/>
        <v/>
      </c>
      <c r="M885" s="5">
        <f t="shared" si="227"/>
        <v>45812</v>
      </c>
      <c r="N885" s="4">
        <v>45792</v>
      </c>
      <c r="O885" s="19">
        <f t="shared" si="233"/>
        <v>20</v>
      </c>
      <c r="P885" s="5">
        <f t="shared" si="228"/>
        <v>45827</v>
      </c>
      <c r="Q885" s="4">
        <v>45797</v>
      </c>
      <c r="R885" s="19">
        <f t="shared" si="234"/>
        <v>30</v>
      </c>
      <c r="S885" s="5">
        <f t="shared" si="235"/>
        <v>45832</v>
      </c>
      <c r="T885" s="4">
        <v>45832</v>
      </c>
      <c r="U885" s="19">
        <f t="shared" si="236"/>
        <v>0</v>
      </c>
      <c r="V885" s="5">
        <f t="shared" si="229"/>
        <v>45871</v>
      </c>
      <c r="W885" s="4">
        <v>45852</v>
      </c>
      <c r="X885" s="19">
        <f t="shared" si="237"/>
        <v>19</v>
      </c>
      <c r="Y885" s="51">
        <f t="shared" si="253"/>
        <v>45899</v>
      </c>
      <c r="Z885" s="4">
        <v>45835</v>
      </c>
      <c r="AA885" s="49">
        <f t="shared" si="238"/>
        <v>64</v>
      </c>
      <c r="AB885" s="51">
        <f t="shared" si="230"/>
        <v>45901</v>
      </c>
      <c r="AC885" s="49">
        <f t="shared" si="231"/>
        <v>66</v>
      </c>
      <c r="AD885" s="43">
        <f t="shared" si="232"/>
        <v>45901</v>
      </c>
      <c r="AE885" s="4">
        <v>45835</v>
      </c>
      <c r="AF885" s="19">
        <f t="shared" si="252"/>
        <v>66</v>
      </c>
      <c r="AG885" s="10"/>
      <c r="AH885" s="1"/>
      <c r="AI885" s="1"/>
      <c r="AJ885" s="1"/>
      <c r="AK885" s="1"/>
      <c r="AL885" s="1"/>
    </row>
    <row r="886" spans="1:38" ht="14.45">
      <c r="A886" s="156">
        <v>885</v>
      </c>
      <c r="B886" s="59">
        <v>45901</v>
      </c>
      <c r="C886" s="34">
        <v>631222437</v>
      </c>
      <c r="D886" s="23" t="s">
        <v>177</v>
      </c>
      <c r="E886" s="23">
        <v>2884.79</v>
      </c>
      <c r="F886" s="23" t="s">
        <v>1893</v>
      </c>
      <c r="G886" s="14" t="s">
        <v>190</v>
      </c>
      <c r="H886" s="23" t="s">
        <v>40</v>
      </c>
      <c r="I886" s="23" t="s">
        <v>93</v>
      </c>
      <c r="J886" s="97">
        <f t="shared" si="226"/>
        <v>45801</v>
      </c>
      <c r="L886" s="19" t="str">
        <f t="shared" si="239"/>
        <v/>
      </c>
      <c r="M886" s="5">
        <f t="shared" si="227"/>
        <v>45812</v>
      </c>
      <c r="N886" s="4">
        <v>45792</v>
      </c>
      <c r="O886" s="19">
        <f t="shared" si="233"/>
        <v>20</v>
      </c>
      <c r="P886" s="5">
        <f t="shared" si="228"/>
        <v>45827</v>
      </c>
      <c r="Q886" s="4">
        <v>45797</v>
      </c>
      <c r="R886" s="19">
        <f t="shared" si="234"/>
        <v>30</v>
      </c>
      <c r="S886" s="5">
        <f t="shared" si="235"/>
        <v>45832</v>
      </c>
      <c r="T886" s="4">
        <v>45832</v>
      </c>
      <c r="U886" s="19">
        <f t="shared" si="236"/>
        <v>0</v>
      </c>
      <c r="V886" s="5">
        <f t="shared" si="229"/>
        <v>45871</v>
      </c>
      <c r="W886" s="4">
        <v>45852</v>
      </c>
      <c r="X886" s="19">
        <f t="shared" si="237"/>
        <v>19</v>
      </c>
      <c r="Y886" s="51">
        <f t="shared" si="253"/>
        <v>45899</v>
      </c>
      <c r="Z886" s="4">
        <v>45835</v>
      </c>
      <c r="AA886" s="49">
        <f t="shared" si="238"/>
        <v>64</v>
      </c>
      <c r="AB886" s="51">
        <f t="shared" si="230"/>
        <v>45901</v>
      </c>
      <c r="AC886" s="49">
        <f t="shared" si="231"/>
        <v>66</v>
      </c>
      <c r="AD886" s="43">
        <f t="shared" si="232"/>
        <v>45901</v>
      </c>
      <c r="AE886" s="4">
        <v>45835</v>
      </c>
      <c r="AF886" s="19">
        <f t="shared" si="252"/>
        <v>66</v>
      </c>
      <c r="AG886" s="10"/>
      <c r="AH886" s="1"/>
      <c r="AI886" s="1"/>
      <c r="AJ886" s="1"/>
      <c r="AK886" s="1"/>
      <c r="AL886" s="1"/>
    </row>
    <row r="887" spans="1:38" ht="14.45">
      <c r="A887" s="156">
        <v>886</v>
      </c>
      <c r="B887" s="59">
        <v>45901</v>
      </c>
      <c r="C887" s="34">
        <v>631083938</v>
      </c>
      <c r="D887" s="23" t="s">
        <v>177</v>
      </c>
      <c r="E887" s="23">
        <v>2884.79</v>
      </c>
      <c r="F887" s="23" t="s">
        <v>1894</v>
      </c>
      <c r="G887" s="14" t="s">
        <v>190</v>
      </c>
      <c r="H887" s="23" t="s">
        <v>40</v>
      </c>
      <c r="I887" s="23" t="s">
        <v>93</v>
      </c>
      <c r="J887" s="97">
        <f t="shared" si="226"/>
        <v>45801</v>
      </c>
      <c r="L887" s="19" t="str">
        <f t="shared" si="239"/>
        <v/>
      </c>
      <c r="M887" s="5">
        <f t="shared" si="227"/>
        <v>45812</v>
      </c>
      <c r="N887" s="4">
        <v>45792</v>
      </c>
      <c r="O887" s="19">
        <f t="shared" si="233"/>
        <v>20</v>
      </c>
      <c r="P887" s="5">
        <f t="shared" si="228"/>
        <v>45827</v>
      </c>
      <c r="Q887" s="4">
        <v>45797</v>
      </c>
      <c r="R887" s="19">
        <f t="shared" si="234"/>
        <v>30</v>
      </c>
      <c r="S887" s="5">
        <f t="shared" si="235"/>
        <v>45832</v>
      </c>
      <c r="T887" s="4">
        <v>45832</v>
      </c>
      <c r="U887" s="19">
        <f t="shared" si="236"/>
        <v>0</v>
      </c>
      <c r="V887" s="5">
        <f t="shared" si="229"/>
        <v>45871</v>
      </c>
      <c r="W887" s="4">
        <v>45852</v>
      </c>
      <c r="X887" s="19">
        <f t="shared" si="237"/>
        <v>19</v>
      </c>
      <c r="Y887" s="51">
        <f t="shared" si="253"/>
        <v>45899</v>
      </c>
      <c r="Z887" s="4">
        <v>45835</v>
      </c>
      <c r="AA887" s="49">
        <f t="shared" si="238"/>
        <v>64</v>
      </c>
      <c r="AB887" s="51">
        <f t="shared" si="230"/>
        <v>45901</v>
      </c>
      <c r="AC887" s="49">
        <f t="shared" si="231"/>
        <v>66</v>
      </c>
      <c r="AD887" s="43">
        <f t="shared" si="232"/>
        <v>45901</v>
      </c>
      <c r="AE887" s="4">
        <v>45835</v>
      </c>
      <c r="AF887" s="19">
        <f t="shared" si="252"/>
        <v>66</v>
      </c>
      <c r="AG887" s="10"/>
      <c r="AH887" s="1"/>
      <c r="AI887" s="1"/>
      <c r="AJ887" s="1"/>
      <c r="AK887" s="1"/>
      <c r="AL887" s="1"/>
    </row>
    <row r="888" spans="1:38" ht="14.45">
      <c r="A888" s="156">
        <v>887</v>
      </c>
      <c r="B888" s="59">
        <v>45901</v>
      </c>
      <c r="C888" s="34">
        <v>631129210</v>
      </c>
      <c r="D888" s="23" t="s">
        <v>177</v>
      </c>
      <c r="E888" s="23">
        <v>2884.79</v>
      </c>
      <c r="F888" s="23" t="s">
        <v>1895</v>
      </c>
      <c r="G888" s="14" t="s">
        <v>190</v>
      </c>
      <c r="H888" s="23" t="s">
        <v>40</v>
      </c>
      <c r="I888" s="23" t="s">
        <v>93</v>
      </c>
      <c r="J888" s="97">
        <f t="shared" si="226"/>
        <v>45801</v>
      </c>
      <c r="L888" s="19" t="str">
        <f t="shared" si="239"/>
        <v/>
      </c>
      <c r="M888" s="5">
        <f t="shared" si="227"/>
        <v>45812</v>
      </c>
      <c r="N888" s="4">
        <v>45792</v>
      </c>
      <c r="O888" s="19">
        <f t="shared" si="233"/>
        <v>20</v>
      </c>
      <c r="P888" s="5">
        <f t="shared" si="228"/>
        <v>45827</v>
      </c>
      <c r="Q888" s="4">
        <v>45797</v>
      </c>
      <c r="R888" s="19">
        <f t="shared" si="234"/>
        <v>30</v>
      </c>
      <c r="S888" s="5">
        <f t="shared" si="235"/>
        <v>45832</v>
      </c>
      <c r="T888" s="4">
        <v>45832</v>
      </c>
      <c r="U888" s="19">
        <f t="shared" si="236"/>
        <v>0</v>
      </c>
      <c r="V888" s="5">
        <f t="shared" si="229"/>
        <v>45871</v>
      </c>
      <c r="W888" s="4">
        <v>45852</v>
      </c>
      <c r="X888" s="19">
        <f t="shared" si="237"/>
        <v>19</v>
      </c>
      <c r="Y888" s="51">
        <f t="shared" si="253"/>
        <v>45899</v>
      </c>
      <c r="Z888" s="4">
        <v>45835</v>
      </c>
      <c r="AA888" s="49">
        <f t="shared" si="238"/>
        <v>64</v>
      </c>
      <c r="AB888" s="51">
        <f t="shared" si="230"/>
        <v>45901</v>
      </c>
      <c r="AC888" s="49">
        <f t="shared" si="231"/>
        <v>66</v>
      </c>
      <c r="AD888" s="43">
        <f t="shared" si="232"/>
        <v>45901</v>
      </c>
      <c r="AE888" s="4">
        <v>45835</v>
      </c>
      <c r="AF888" s="19">
        <f t="shared" si="252"/>
        <v>66</v>
      </c>
      <c r="AG888" s="10"/>
      <c r="AH888" s="1"/>
      <c r="AI888" s="1"/>
      <c r="AJ888" s="1"/>
      <c r="AK888" s="1"/>
      <c r="AL888" s="1"/>
    </row>
    <row r="889" spans="1:38" ht="14.45">
      <c r="A889" s="156">
        <v>888</v>
      </c>
      <c r="B889" s="59">
        <v>45901</v>
      </c>
      <c r="C889" s="34">
        <v>631145810</v>
      </c>
      <c r="D889" s="23" t="s">
        <v>177</v>
      </c>
      <c r="E889" s="23">
        <v>2884.79</v>
      </c>
      <c r="F889" s="23" t="s">
        <v>1896</v>
      </c>
      <c r="G889" s="14" t="s">
        <v>190</v>
      </c>
      <c r="H889" s="23" t="s">
        <v>40</v>
      </c>
      <c r="I889" s="23" t="s">
        <v>93</v>
      </c>
      <c r="J889" s="97">
        <f t="shared" si="226"/>
        <v>45801</v>
      </c>
      <c r="L889" s="19" t="str">
        <f t="shared" si="239"/>
        <v/>
      </c>
      <c r="M889" s="5">
        <f t="shared" si="227"/>
        <v>45812</v>
      </c>
      <c r="N889" s="4">
        <v>45792</v>
      </c>
      <c r="O889" s="19">
        <f t="shared" si="233"/>
        <v>20</v>
      </c>
      <c r="P889" s="5">
        <f t="shared" si="228"/>
        <v>45827</v>
      </c>
      <c r="Q889" s="4">
        <v>45797</v>
      </c>
      <c r="R889" s="19">
        <f t="shared" si="234"/>
        <v>30</v>
      </c>
      <c r="S889" s="5">
        <f t="shared" si="235"/>
        <v>45832</v>
      </c>
      <c r="T889" s="4">
        <v>45832</v>
      </c>
      <c r="U889" s="19">
        <f t="shared" si="236"/>
        <v>0</v>
      </c>
      <c r="V889" s="5">
        <f t="shared" si="229"/>
        <v>45871</v>
      </c>
      <c r="W889" s="4">
        <v>45852</v>
      </c>
      <c r="X889" s="19">
        <f t="shared" si="237"/>
        <v>19</v>
      </c>
      <c r="Y889" s="51">
        <f t="shared" si="253"/>
        <v>45899</v>
      </c>
      <c r="Z889" s="4">
        <v>45835</v>
      </c>
      <c r="AA889" s="49">
        <f t="shared" si="238"/>
        <v>64</v>
      </c>
      <c r="AB889" s="51">
        <f t="shared" si="230"/>
        <v>45901</v>
      </c>
      <c r="AC889" s="49">
        <f t="shared" si="231"/>
        <v>66</v>
      </c>
      <c r="AD889" s="43">
        <f t="shared" si="232"/>
        <v>45901</v>
      </c>
      <c r="AE889" s="4">
        <v>45835</v>
      </c>
      <c r="AF889" s="19">
        <f t="shared" si="252"/>
        <v>66</v>
      </c>
      <c r="AG889" s="10"/>
      <c r="AH889" s="1"/>
      <c r="AI889" s="1"/>
      <c r="AJ889" s="1"/>
      <c r="AK889" s="1"/>
      <c r="AL889" s="1"/>
    </row>
    <row r="890" spans="1:38" ht="14.45">
      <c r="A890" s="156">
        <v>889</v>
      </c>
      <c r="B890" s="59">
        <v>45901</v>
      </c>
      <c r="C890" s="34">
        <v>631152709</v>
      </c>
      <c r="D890" s="23" t="s">
        <v>177</v>
      </c>
      <c r="E890" s="23">
        <v>2884.79</v>
      </c>
      <c r="F890" s="23" t="s">
        <v>1897</v>
      </c>
      <c r="G890" s="14" t="s">
        <v>190</v>
      </c>
      <c r="H890" s="23" t="s">
        <v>40</v>
      </c>
      <c r="I890" s="23" t="s">
        <v>93</v>
      </c>
      <c r="J890" s="97">
        <f t="shared" si="226"/>
        <v>45801</v>
      </c>
      <c r="L890" s="19" t="str">
        <f t="shared" si="239"/>
        <v/>
      </c>
      <c r="M890" s="5">
        <f t="shared" si="227"/>
        <v>45812</v>
      </c>
      <c r="N890" s="4">
        <v>45792</v>
      </c>
      <c r="O890" s="19">
        <f t="shared" si="233"/>
        <v>20</v>
      </c>
      <c r="P890" s="5">
        <f t="shared" si="228"/>
        <v>45827</v>
      </c>
      <c r="Q890" s="4">
        <v>45797</v>
      </c>
      <c r="R890" s="19">
        <f t="shared" si="234"/>
        <v>30</v>
      </c>
      <c r="S890" s="5">
        <f t="shared" si="235"/>
        <v>45832</v>
      </c>
      <c r="T890" s="4">
        <v>45832</v>
      </c>
      <c r="U890" s="19">
        <f t="shared" si="236"/>
        <v>0</v>
      </c>
      <c r="V890" s="5">
        <f t="shared" si="229"/>
        <v>45871</v>
      </c>
      <c r="W890" s="4">
        <v>45852</v>
      </c>
      <c r="X890" s="19">
        <f t="shared" si="237"/>
        <v>19</v>
      </c>
      <c r="Y890" s="51">
        <f t="shared" si="253"/>
        <v>45899</v>
      </c>
      <c r="Z890" s="4">
        <v>45835</v>
      </c>
      <c r="AA890" s="49">
        <f t="shared" si="238"/>
        <v>64</v>
      </c>
      <c r="AB890" s="51">
        <f t="shared" si="230"/>
        <v>45901</v>
      </c>
      <c r="AC890" s="49">
        <f t="shared" si="231"/>
        <v>66</v>
      </c>
      <c r="AD890" s="43">
        <f t="shared" si="232"/>
        <v>45901</v>
      </c>
      <c r="AE890" s="4">
        <v>45835</v>
      </c>
      <c r="AF890" s="19">
        <f t="shared" si="252"/>
        <v>66</v>
      </c>
      <c r="AG890" s="10"/>
      <c r="AH890" s="1"/>
      <c r="AI890" s="1"/>
      <c r="AJ890" s="1"/>
      <c r="AK890" s="1"/>
      <c r="AL890" s="1"/>
    </row>
    <row r="891" spans="1:38" ht="14.45">
      <c r="A891" s="156">
        <v>890</v>
      </c>
      <c r="B891" s="59">
        <v>45901</v>
      </c>
      <c r="C891" s="34">
        <v>631156478</v>
      </c>
      <c r="D891" s="23" t="s">
        <v>177</v>
      </c>
      <c r="E891" s="23">
        <v>2884.79</v>
      </c>
      <c r="F891" s="23" t="s">
        <v>1898</v>
      </c>
      <c r="G891" s="14" t="s">
        <v>190</v>
      </c>
      <c r="H891" s="23" t="s">
        <v>40</v>
      </c>
      <c r="I891" s="23" t="s">
        <v>93</v>
      </c>
      <c r="J891" s="97">
        <f t="shared" si="226"/>
        <v>45801</v>
      </c>
      <c r="L891" s="19" t="str">
        <f t="shared" si="239"/>
        <v/>
      </c>
      <c r="M891" s="5">
        <f t="shared" si="227"/>
        <v>45812</v>
      </c>
      <c r="N891" s="4">
        <v>45792</v>
      </c>
      <c r="O891" s="19">
        <f t="shared" si="233"/>
        <v>20</v>
      </c>
      <c r="P891" s="5">
        <f t="shared" si="228"/>
        <v>45827</v>
      </c>
      <c r="Q891" s="4">
        <v>45797</v>
      </c>
      <c r="R891" s="19">
        <f t="shared" si="234"/>
        <v>30</v>
      </c>
      <c r="S891" s="5">
        <f t="shared" si="235"/>
        <v>45832</v>
      </c>
      <c r="T891" s="4">
        <v>45832</v>
      </c>
      <c r="U891" s="19">
        <f t="shared" si="236"/>
        <v>0</v>
      </c>
      <c r="V891" s="5">
        <f t="shared" si="229"/>
        <v>45871</v>
      </c>
      <c r="W891" s="4">
        <v>45852</v>
      </c>
      <c r="X891" s="19">
        <f t="shared" si="237"/>
        <v>19</v>
      </c>
      <c r="Y891" s="51">
        <f t="shared" si="253"/>
        <v>45899</v>
      </c>
      <c r="Z891" s="4">
        <v>45835</v>
      </c>
      <c r="AA891" s="49">
        <f t="shared" si="238"/>
        <v>64</v>
      </c>
      <c r="AB891" s="51">
        <f t="shared" si="230"/>
        <v>45901</v>
      </c>
      <c r="AC891" s="49">
        <f t="shared" si="231"/>
        <v>66</v>
      </c>
      <c r="AD891" s="43">
        <f t="shared" si="232"/>
        <v>45901</v>
      </c>
      <c r="AE891" s="4">
        <v>45835</v>
      </c>
      <c r="AF891" s="19">
        <f t="shared" si="252"/>
        <v>66</v>
      </c>
      <c r="AG891" s="10"/>
      <c r="AH891" s="1"/>
      <c r="AI891" s="1"/>
      <c r="AJ891" s="1"/>
      <c r="AK891" s="1"/>
      <c r="AL891" s="1"/>
    </row>
    <row r="892" spans="1:38" ht="14.45">
      <c r="A892" s="156">
        <v>891</v>
      </c>
      <c r="B892" s="59">
        <v>45901</v>
      </c>
      <c r="C892" s="34">
        <v>631215191</v>
      </c>
      <c r="D892" s="23" t="s">
        <v>177</v>
      </c>
      <c r="E892" s="23">
        <v>2884.79</v>
      </c>
      <c r="F892" s="23" t="s">
        <v>1899</v>
      </c>
      <c r="G892" s="14" t="s">
        <v>190</v>
      </c>
      <c r="H892" s="23" t="s">
        <v>40</v>
      </c>
      <c r="I892" s="23" t="s">
        <v>93</v>
      </c>
      <c r="J892" s="97">
        <f t="shared" si="226"/>
        <v>45801</v>
      </c>
      <c r="L892" s="19" t="str">
        <f t="shared" si="239"/>
        <v/>
      </c>
      <c r="M892" s="5">
        <f t="shared" si="227"/>
        <v>45812</v>
      </c>
      <c r="N892" s="4">
        <v>45792</v>
      </c>
      <c r="O892" s="19">
        <f t="shared" si="233"/>
        <v>20</v>
      </c>
      <c r="P892" s="5">
        <f t="shared" si="228"/>
        <v>45827</v>
      </c>
      <c r="Q892" s="4">
        <v>45797</v>
      </c>
      <c r="R892" s="19">
        <f t="shared" si="234"/>
        <v>30</v>
      </c>
      <c r="S892" s="5">
        <f t="shared" si="235"/>
        <v>45832</v>
      </c>
      <c r="T892" s="4">
        <v>45832</v>
      </c>
      <c r="U892" s="19">
        <f t="shared" si="236"/>
        <v>0</v>
      </c>
      <c r="V892" s="5">
        <f t="shared" si="229"/>
        <v>45871</v>
      </c>
      <c r="W892" s="4">
        <v>45852</v>
      </c>
      <c r="X892" s="19">
        <f t="shared" si="237"/>
        <v>19</v>
      </c>
      <c r="Y892" s="51">
        <f t="shared" si="253"/>
        <v>45899</v>
      </c>
      <c r="Z892" s="4">
        <v>45835</v>
      </c>
      <c r="AA892" s="49">
        <f t="shared" si="238"/>
        <v>64</v>
      </c>
      <c r="AB892" s="51">
        <f t="shared" si="230"/>
        <v>45901</v>
      </c>
      <c r="AC892" s="49">
        <f t="shared" si="231"/>
        <v>66</v>
      </c>
      <c r="AD892" s="43">
        <f t="shared" si="232"/>
        <v>45901</v>
      </c>
      <c r="AE892" s="4">
        <v>45835</v>
      </c>
      <c r="AF892" s="19">
        <f t="shared" si="252"/>
        <v>66</v>
      </c>
      <c r="AG892" s="10"/>
      <c r="AH892" s="1"/>
      <c r="AI892" s="1"/>
      <c r="AJ892" s="1"/>
      <c r="AK892" s="1"/>
      <c r="AL892" s="1"/>
    </row>
    <row r="893" spans="1:38" ht="14.45">
      <c r="A893" s="156">
        <v>892</v>
      </c>
      <c r="B893" s="59">
        <v>45901</v>
      </c>
      <c r="C893" s="34">
        <v>631209616</v>
      </c>
      <c r="D893" s="23" t="s">
        <v>177</v>
      </c>
      <c r="E893" s="23">
        <v>2884.79</v>
      </c>
      <c r="F893" s="23" t="s">
        <v>1900</v>
      </c>
      <c r="G893" s="14" t="s">
        <v>190</v>
      </c>
      <c r="H893" s="23" t="s">
        <v>40</v>
      </c>
      <c r="I893" s="23" t="s">
        <v>93</v>
      </c>
      <c r="J893" s="97">
        <f t="shared" si="226"/>
        <v>45801</v>
      </c>
      <c r="L893" s="19" t="str">
        <f t="shared" si="239"/>
        <v/>
      </c>
      <c r="M893" s="5">
        <f t="shared" si="227"/>
        <v>45812</v>
      </c>
      <c r="N893" s="4">
        <v>45792</v>
      </c>
      <c r="O893" s="19">
        <f t="shared" si="233"/>
        <v>20</v>
      </c>
      <c r="P893" s="5">
        <f t="shared" si="228"/>
        <v>45827</v>
      </c>
      <c r="Q893" s="4">
        <v>45797</v>
      </c>
      <c r="R893" s="19">
        <f t="shared" si="234"/>
        <v>30</v>
      </c>
      <c r="S893" s="5">
        <f t="shared" si="235"/>
        <v>45832</v>
      </c>
      <c r="T893" s="4">
        <v>45832</v>
      </c>
      <c r="U893" s="19">
        <f t="shared" si="236"/>
        <v>0</v>
      </c>
      <c r="V893" s="5">
        <f t="shared" si="229"/>
        <v>45871</v>
      </c>
      <c r="W893" s="4">
        <v>45852</v>
      </c>
      <c r="X893" s="19">
        <f t="shared" si="237"/>
        <v>19</v>
      </c>
      <c r="Y893" s="51">
        <f t="shared" si="253"/>
        <v>45899</v>
      </c>
      <c r="Z893" s="4">
        <v>45835</v>
      </c>
      <c r="AA893" s="49">
        <f t="shared" si="238"/>
        <v>64</v>
      </c>
      <c r="AB893" s="51">
        <f t="shared" si="230"/>
        <v>45901</v>
      </c>
      <c r="AC893" s="49">
        <f t="shared" si="231"/>
        <v>66</v>
      </c>
      <c r="AD893" s="43">
        <f t="shared" si="232"/>
        <v>45901</v>
      </c>
      <c r="AE893" s="4">
        <v>45835</v>
      </c>
      <c r="AF893" s="19">
        <f t="shared" si="252"/>
        <v>66</v>
      </c>
      <c r="AG893" s="10"/>
      <c r="AH893" s="1"/>
      <c r="AI893" s="1"/>
      <c r="AJ893" s="1"/>
      <c r="AK893" s="1"/>
      <c r="AL893" s="1"/>
    </row>
    <row r="894" spans="1:38" ht="14.45">
      <c r="A894" s="156">
        <v>893</v>
      </c>
      <c r="B894" s="59">
        <v>45901</v>
      </c>
      <c r="C894" s="34">
        <v>631212750</v>
      </c>
      <c r="D894" s="23" t="s">
        <v>177</v>
      </c>
      <c r="E894" s="23">
        <v>2884.79</v>
      </c>
      <c r="F894" s="23" t="s">
        <v>1901</v>
      </c>
      <c r="G894" s="14" t="s">
        <v>190</v>
      </c>
      <c r="H894" s="23" t="s">
        <v>40</v>
      </c>
      <c r="I894" s="23" t="s">
        <v>93</v>
      </c>
      <c r="J894" s="97">
        <f t="shared" si="226"/>
        <v>45801</v>
      </c>
      <c r="L894" s="19" t="str">
        <f t="shared" si="239"/>
        <v/>
      </c>
      <c r="M894" s="5">
        <f t="shared" si="227"/>
        <v>45812</v>
      </c>
      <c r="N894" s="4">
        <v>45792</v>
      </c>
      <c r="O894" s="19">
        <f t="shared" si="233"/>
        <v>20</v>
      </c>
      <c r="P894" s="5">
        <f t="shared" si="228"/>
        <v>45827</v>
      </c>
      <c r="Q894" s="4">
        <v>45797</v>
      </c>
      <c r="R894" s="19">
        <f t="shared" si="234"/>
        <v>30</v>
      </c>
      <c r="S894" s="5">
        <f t="shared" si="235"/>
        <v>45832</v>
      </c>
      <c r="T894" s="4">
        <v>45832</v>
      </c>
      <c r="U894" s="19">
        <f t="shared" si="236"/>
        <v>0</v>
      </c>
      <c r="V894" s="5">
        <f t="shared" si="229"/>
        <v>45871</v>
      </c>
      <c r="W894" s="4">
        <v>45852</v>
      </c>
      <c r="X894" s="19">
        <f t="shared" si="237"/>
        <v>19</v>
      </c>
      <c r="Y894" s="51">
        <f t="shared" si="253"/>
        <v>45899</v>
      </c>
      <c r="Z894" s="4">
        <v>45835</v>
      </c>
      <c r="AA894" s="49">
        <f t="shared" si="238"/>
        <v>64</v>
      </c>
      <c r="AB894" s="51">
        <f t="shared" si="230"/>
        <v>45901</v>
      </c>
      <c r="AC894" s="49">
        <f t="shared" si="231"/>
        <v>66</v>
      </c>
      <c r="AD894" s="43">
        <f t="shared" si="232"/>
        <v>45901</v>
      </c>
      <c r="AE894" s="4">
        <v>45835</v>
      </c>
      <c r="AF894" s="19">
        <f t="shared" si="252"/>
        <v>66</v>
      </c>
      <c r="AG894" s="10"/>
      <c r="AH894" s="1"/>
      <c r="AI894" s="1"/>
      <c r="AJ894" s="1"/>
      <c r="AK894" s="1"/>
      <c r="AL894" s="1"/>
    </row>
    <row r="895" spans="1:38" ht="14.45">
      <c r="A895" s="156">
        <v>894</v>
      </c>
      <c r="B895" s="59">
        <v>45901</v>
      </c>
      <c r="C895" s="34">
        <v>631143443</v>
      </c>
      <c r="D895" s="23" t="s">
        <v>177</v>
      </c>
      <c r="E895" s="23">
        <v>2863.89</v>
      </c>
      <c r="F895" s="23" t="s">
        <v>1902</v>
      </c>
      <c r="G895" s="14" t="s">
        <v>190</v>
      </c>
      <c r="H895" s="23" t="s">
        <v>40</v>
      </c>
      <c r="I895" s="23" t="s">
        <v>93</v>
      </c>
      <c r="J895" s="97">
        <f t="shared" si="226"/>
        <v>45801</v>
      </c>
      <c r="L895" s="19" t="str">
        <f t="shared" si="239"/>
        <v/>
      </c>
      <c r="M895" s="5">
        <f t="shared" si="227"/>
        <v>45812</v>
      </c>
      <c r="N895" s="4">
        <v>45792</v>
      </c>
      <c r="O895" s="19">
        <f t="shared" si="233"/>
        <v>20</v>
      </c>
      <c r="P895" s="5">
        <f t="shared" si="228"/>
        <v>45827</v>
      </c>
      <c r="Q895" s="4">
        <v>45797</v>
      </c>
      <c r="R895" s="19">
        <f t="shared" si="234"/>
        <v>30</v>
      </c>
      <c r="S895" s="5">
        <f t="shared" si="235"/>
        <v>45832</v>
      </c>
      <c r="T895" s="4">
        <v>45832</v>
      </c>
      <c r="U895" s="19">
        <f t="shared" si="236"/>
        <v>0</v>
      </c>
      <c r="V895" s="5">
        <f t="shared" si="229"/>
        <v>45871</v>
      </c>
      <c r="W895" s="4">
        <v>45852</v>
      </c>
      <c r="X895" s="19">
        <f t="shared" si="237"/>
        <v>19</v>
      </c>
      <c r="Y895" s="51">
        <f t="shared" si="253"/>
        <v>45899</v>
      </c>
      <c r="Z895" s="4">
        <v>45835</v>
      </c>
      <c r="AA895" s="49">
        <f t="shared" si="238"/>
        <v>64</v>
      </c>
      <c r="AB895" s="51">
        <f t="shared" si="230"/>
        <v>45901</v>
      </c>
      <c r="AC895" s="49">
        <f t="shared" si="231"/>
        <v>66</v>
      </c>
      <c r="AD895" s="43">
        <f t="shared" si="232"/>
        <v>45901</v>
      </c>
      <c r="AE895" s="4">
        <v>45835</v>
      </c>
      <c r="AF895" s="19">
        <f t="shared" si="252"/>
        <v>66</v>
      </c>
      <c r="AG895" s="10"/>
      <c r="AH895" s="1"/>
      <c r="AI895" s="1"/>
      <c r="AJ895" s="1"/>
      <c r="AK895" s="1"/>
      <c r="AL895" s="1"/>
    </row>
    <row r="896" spans="1:38" ht="14.45">
      <c r="A896" s="156">
        <v>895</v>
      </c>
      <c r="B896" s="59">
        <v>45901</v>
      </c>
      <c r="C896" s="34">
        <v>631192648</v>
      </c>
      <c r="D896" s="23" t="s">
        <v>177</v>
      </c>
      <c r="E896" s="23">
        <v>2884.79</v>
      </c>
      <c r="F896" s="23" t="s">
        <v>1903</v>
      </c>
      <c r="G896" s="14" t="s">
        <v>190</v>
      </c>
      <c r="H896" s="23" t="s">
        <v>40</v>
      </c>
      <c r="I896" s="23" t="s">
        <v>93</v>
      </c>
      <c r="J896" s="97">
        <f t="shared" si="226"/>
        <v>45801</v>
      </c>
      <c r="L896" s="19" t="str">
        <f t="shared" si="239"/>
        <v/>
      </c>
      <c r="M896" s="5">
        <f t="shared" si="227"/>
        <v>45812</v>
      </c>
      <c r="N896" s="4">
        <v>45792</v>
      </c>
      <c r="O896" s="19">
        <f t="shared" si="233"/>
        <v>20</v>
      </c>
      <c r="P896" s="5">
        <f t="shared" si="228"/>
        <v>45827</v>
      </c>
      <c r="Q896" s="4">
        <v>45797</v>
      </c>
      <c r="R896" s="19">
        <f t="shared" si="234"/>
        <v>30</v>
      </c>
      <c r="S896" s="5">
        <f t="shared" si="235"/>
        <v>45832</v>
      </c>
      <c r="T896" s="4">
        <v>45832</v>
      </c>
      <c r="U896" s="19">
        <f t="shared" si="236"/>
        <v>0</v>
      </c>
      <c r="V896" s="5">
        <f t="shared" si="229"/>
        <v>45871</v>
      </c>
      <c r="W896" s="4">
        <v>45852</v>
      </c>
      <c r="X896" s="19">
        <f t="shared" si="237"/>
        <v>19</v>
      </c>
      <c r="Y896" s="51">
        <f t="shared" si="253"/>
        <v>45899</v>
      </c>
      <c r="Z896" s="4">
        <v>45835</v>
      </c>
      <c r="AA896" s="49">
        <f t="shared" si="238"/>
        <v>64</v>
      </c>
      <c r="AB896" s="51">
        <f t="shared" si="230"/>
        <v>45901</v>
      </c>
      <c r="AC896" s="49">
        <f t="shared" si="231"/>
        <v>66</v>
      </c>
      <c r="AD896" s="43">
        <f t="shared" si="232"/>
        <v>45901</v>
      </c>
      <c r="AE896" s="4">
        <v>45835</v>
      </c>
      <c r="AF896" s="19">
        <f t="shared" si="252"/>
        <v>66</v>
      </c>
      <c r="AG896" s="10"/>
      <c r="AH896" s="1"/>
      <c r="AI896" s="1"/>
      <c r="AJ896" s="1"/>
      <c r="AK896" s="1"/>
      <c r="AL896" s="1"/>
    </row>
    <row r="897" spans="1:38" ht="14.45">
      <c r="A897" s="156">
        <v>896</v>
      </c>
      <c r="B897" s="59">
        <v>45901</v>
      </c>
      <c r="C897" s="34">
        <v>631150430</v>
      </c>
      <c r="D897" s="23" t="s">
        <v>177</v>
      </c>
      <c r="E897" s="23">
        <v>2884.79</v>
      </c>
      <c r="F897" s="23" t="s">
        <v>1904</v>
      </c>
      <c r="G897" s="14" t="s">
        <v>190</v>
      </c>
      <c r="H897" s="23" t="s">
        <v>40</v>
      </c>
      <c r="I897" s="23" t="s">
        <v>93</v>
      </c>
      <c r="J897" s="97">
        <f t="shared" si="226"/>
        <v>45801</v>
      </c>
      <c r="L897" s="19" t="str">
        <f t="shared" si="239"/>
        <v/>
      </c>
      <c r="M897" s="5">
        <f t="shared" si="227"/>
        <v>45812</v>
      </c>
      <c r="N897" s="4">
        <v>45792</v>
      </c>
      <c r="O897" s="19">
        <f t="shared" si="233"/>
        <v>20</v>
      </c>
      <c r="P897" s="5">
        <f t="shared" si="228"/>
        <v>45827</v>
      </c>
      <c r="Q897" s="4">
        <v>45797</v>
      </c>
      <c r="R897" s="19">
        <f t="shared" si="234"/>
        <v>30</v>
      </c>
      <c r="S897" s="5">
        <f t="shared" si="235"/>
        <v>45832</v>
      </c>
      <c r="T897" s="4">
        <v>45832</v>
      </c>
      <c r="U897" s="19">
        <f t="shared" si="236"/>
        <v>0</v>
      </c>
      <c r="V897" s="5">
        <f t="shared" si="229"/>
        <v>45871</v>
      </c>
      <c r="W897" s="4">
        <v>45852</v>
      </c>
      <c r="X897" s="19">
        <f t="shared" si="237"/>
        <v>19</v>
      </c>
      <c r="Y897" s="51">
        <f t="shared" si="253"/>
        <v>45899</v>
      </c>
      <c r="Z897" s="4">
        <v>45835</v>
      </c>
      <c r="AA897" s="49">
        <f t="shared" si="238"/>
        <v>64</v>
      </c>
      <c r="AB897" s="51">
        <f t="shared" si="230"/>
        <v>45901</v>
      </c>
      <c r="AC897" s="49">
        <f t="shared" si="231"/>
        <v>66</v>
      </c>
      <c r="AD897" s="43">
        <f t="shared" si="232"/>
        <v>45901</v>
      </c>
      <c r="AE897" s="4">
        <v>45835</v>
      </c>
      <c r="AF897" s="19">
        <f t="shared" si="252"/>
        <v>66</v>
      </c>
      <c r="AG897" s="10"/>
      <c r="AH897" s="1"/>
      <c r="AI897" s="1"/>
      <c r="AJ897" s="1"/>
      <c r="AK897" s="1"/>
      <c r="AL897" s="1"/>
    </row>
    <row r="898" spans="1:38" ht="14.45">
      <c r="A898" s="156">
        <v>897</v>
      </c>
      <c r="B898" s="59">
        <v>45901</v>
      </c>
      <c r="C898" s="34">
        <v>631154796</v>
      </c>
      <c r="D898" s="23" t="s">
        <v>177</v>
      </c>
      <c r="E898" s="23">
        <v>2884.79</v>
      </c>
      <c r="F898" s="23" t="s">
        <v>1905</v>
      </c>
      <c r="G898" s="14" t="s">
        <v>190</v>
      </c>
      <c r="H898" s="23" t="s">
        <v>40</v>
      </c>
      <c r="I898" s="23" t="s">
        <v>93</v>
      </c>
      <c r="J898" s="97">
        <f t="shared" ref="J898:J961" si="254">B898-100</f>
        <v>45801</v>
      </c>
      <c r="L898" s="19" t="str">
        <f t="shared" si="239"/>
        <v/>
      </c>
      <c r="M898" s="5">
        <f t="shared" ref="M898:M961" si="255">B898-89</f>
        <v>45812</v>
      </c>
      <c r="N898" s="4">
        <v>45792</v>
      </c>
      <c r="O898" s="19">
        <f t="shared" si="233"/>
        <v>20</v>
      </c>
      <c r="P898" s="5">
        <f t="shared" ref="P898:P961" si="256">B898-74</f>
        <v>45827</v>
      </c>
      <c r="Q898" s="4">
        <v>45797</v>
      </c>
      <c r="R898" s="19">
        <f t="shared" si="234"/>
        <v>30</v>
      </c>
      <c r="S898" s="5">
        <f t="shared" si="235"/>
        <v>45832</v>
      </c>
      <c r="T898" s="4">
        <v>45832</v>
      </c>
      <c r="U898" s="19">
        <f t="shared" si="236"/>
        <v>0</v>
      </c>
      <c r="V898" s="5">
        <f t="shared" ref="V898:V961" si="257">B898-30</f>
        <v>45871</v>
      </c>
      <c r="W898" s="4">
        <v>45852</v>
      </c>
      <c r="X898" s="19">
        <f t="shared" si="237"/>
        <v>19</v>
      </c>
      <c r="Y898" s="51">
        <f t="shared" si="253"/>
        <v>45899</v>
      </c>
      <c r="Z898" s="4">
        <v>45835</v>
      </c>
      <c r="AA898" s="49">
        <f t="shared" si="238"/>
        <v>64</v>
      </c>
      <c r="AB898" s="51">
        <f t="shared" ref="AB898:AB961" si="258">IF(B898&lt;&gt;"", B898, "")</f>
        <v>45901</v>
      </c>
      <c r="AC898" s="49">
        <f t="shared" ref="AC898:AC961" si="259">IF(OR(AB898="", Z898=""), "", AB898-Z898)</f>
        <v>66</v>
      </c>
      <c r="AD898" s="43">
        <f t="shared" ref="AD898:AD961" si="260">IF(B898&lt;&gt;"", B898, "")</f>
        <v>45901</v>
      </c>
      <c r="AE898" s="4">
        <v>45835</v>
      </c>
      <c r="AF898" s="19">
        <f t="shared" si="252"/>
        <v>66</v>
      </c>
      <c r="AG898" s="10"/>
      <c r="AH898" s="1"/>
      <c r="AI898" s="1"/>
      <c r="AJ898" s="1"/>
      <c r="AK898" s="1"/>
      <c r="AL898" s="1"/>
    </row>
    <row r="899" spans="1:38" ht="14.45">
      <c r="A899" s="156">
        <v>898</v>
      </c>
      <c r="B899" s="59">
        <v>45901</v>
      </c>
      <c r="C899" s="34">
        <v>631155108</v>
      </c>
      <c r="D899" s="23" t="s">
        <v>177</v>
      </c>
      <c r="E899" s="23">
        <v>2884.79</v>
      </c>
      <c r="F899" s="23" t="s">
        <v>1906</v>
      </c>
      <c r="G899" s="14" t="s">
        <v>190</v>
      </c>
      <c r="H899" s="23" t="s">
        <v>40</v>
      </c>
      <c r="I899" s="23" t="s">
        <v>93</v>
      </c>
      <c r="J899" s="97">
        <f t="shared" si="254"/>
        <v>45801</v>
      </c>
      <c r="L899" s="19" t="str">
        <f t="shared" si="239"/>
        <v/>
      </c>
      <c r="M899" s="5">
        <f t="shared" si="255"/>
        <v>45812</v>
      </c>
      <c r="N899" s="4">
        <v>45792</v>
      </c>
      <c r="O899" s="19">
        <f t="shared" si="233"/>
        <v>20</v>
      </c>
      <c r="P899" s="5">
        <f t="shared" si="256"/>
        <v>45827</v>
      </c>
      <c r="Q899" s="4">
        <v>45797</v>
      </c>
      <c r="R899" s="19">
        <f t="shared" si="234"/>
        <v>30</v>
      </c>
      <c r="S899" s="5">
        <f t="shared" si="235"/>
        <v>45832</v>
      </c>
      <c r="T899" s="4">
        <v>45832</v>
      </c>
      <c r="U899" s="19">
        <f t="shared" si="236"/>
        <v>0</v>
      </c>
      <c r="V899" s="5">
        <f t="shared" si="257"/>
        <v>45871</v>
      </c>
      <c r="W899" s="4">
        <v>45852</v>
      </c>
      <c r="X899" s="19">
        <f t="shared" si="237"/>
        <v>19</v>
      </c>
      <c r="Y899" s="51">
        <f t="shared" si="253"/>
        <v>45899</v>
      </c>
      <c r="Z899" s="4">
        <v>45835</v>
      </c>
      <c r="AA899" s="49">
        <f t="shared" si="238"/>
        <v>64</v>
      </c>
      <c r="AB899" s="51">
        <f t="shared" si="258"/>
        <v>45901</v>
      </c>
      <c r="AC899" s="49">
        <f t="shared" si="259"/>
        <v>66</v>
      </c>
      <c r="AD899" s="43">
        <f t="shared" si="260"/>
        <v>45901</v>
      </c>
      <c r="AE899" s="4">
        <v>45835</v>
      </c>
      <c r="AF899" s="19">
        <f t="shared" si="252"/>
        <v>66</v>
      </c>
      <c r="AG899" s="10"/>
      <c r="AH899" s="1"/>
      <c r="AI899" s="1"/>
      <c r="AJ899" s="1"/>
      <c r="AK899" s="1"/>
      <c r="AL899" s="1"/>
    </row>
    <row r="900" spans="1:38" ht="14.45">
      <c r="A900" s="156">
        <v>899</v>
      </c>
      <c r="B900" s="59">
        <v>45901</v>
      </c>
      <c r="C900" s="34">
        <v>631208964</v>
      </c>
      <c r="D900" s="23" t="s">
        <v>177</v>
      </c>
      <c r="E900" s="23">
        <v>2153.44</v>
      </c>
      <c r="F900" s="23" t="s">
        <v>1907</v>
      </c>
      <c r="G900" s="14" t="s">
        <v>190</v>
      </c>
      <c r="H900" s="23" t="s">
        <v>40</v>
      </c>
      <c r="I900" s="23" t="s">
        <v>93</v>
      </c>
      <c r="J900" s="97">
        <f t="shared" si="254"/>
        <v>45801</v>
      </c>
      <c r="L900" s="19" t="str">
        <f t="shared" si="239"/>
        <v/>
      </c>
      <c r="M900" s="5">
        <f t="shared" si="255"/>
        <v>45812</v>
      </c>
      <c r="N900" s="4">
        <v>45792</v>
      </c>
      <c r="O900" s="19">
        <f t="shared" si="233"/>
        <v>20</v>
      </c>
      <c r="P900" s="5">
        <f t="shared" si="256"/>
        <v>45827</v>
      </c>
      <c r="Q900" s="4">
        <v>45797</v>
      </c>
      <c r="R900" s="19">
        <f t="shared" si="234"/>
        <v>30</v>
      </c>
      <c r="S900" s="5">
        <f t="shared" si="235"/>
        <v>45832</v>
      </c>
      <c r="T900" s="4">
        <v>45832</v>
      </c>
      <c r="U900" s="19">
        <f t="shared" si="236"/>
        <v>0</v>
      </c>
      <c r="V900" s="5">
        <f t="shared" si="257"/>
        <v>45871</v>
      </c>
      <c r="W900" s="4">
        <v>45852</v>
      </c>
      <c r="X900" s="19">
        <f t="shared" si="237"/>
        <v>19</v>
      </c>
      <c r="Y900" s="51">
        <f t="shared" si="253"/>
        <v>45899</v>
      </c>
      <c r="Z900" s="4">
        <v>45835</v>
      </c>
      <c r="AA900" s="49">
        <f t="shared" si="238"/>
        <v>64</v>
      </c>
      <c r="AB900" s="51">
        <f t="shared" si="258"/>
        <v>45901</v>
      </c>
      <c r="AC900" s="49">
        <f t="shared" si="259"/>
        <v>66</v>
      </c>
      <c r="AD900" s="43">
        <f t="shared" si="260"/>
        <v>45901</v>
      </c>
      <c r="AE900" s="4">
        <v>45835</v>
      </c>
      <c r="AF900" s="19">
        <f t="shared" si="252"/>
        <v>66</v>
      </c>
      <c r="AG900" s="10"/>
      <c r="AH900" s="1"/>
      <c r="AI900" s="1"/>
      <c r="AJ900" s="1"/>
      <c r="AK900" s="1"/>
      <c r="AL900" s="1"/>
    </row>
    <row r="901" spans="1:38" ht="14.45">
      <c r="A901" s="156">
        <v>900</v>
      </c>
      <c r="B901" s="59">
        <v>45901</v>
      </c>
      <c r="C901" s="34">
        <v>631150992</v>
      </c>
      <c r="D901" s="23" t="s">
        <v>177</v>
      </c>
      <c r="E901" s="23">
        <v>2153.44</v>
      </c>
      <c r="F901" s="23" t="s">
        <v>1908</v>
      </c>
      <c r="G901" s="14" t="s">
        <v>190</v>
      </c>
      <c r="H901" s="23" t="s">
        <v>40</v>
      </c>
      <c r="I901" s="23" t="s">
        <v>93</v>
      </c>
      <c r="J901" s="97">
        <f t="shared" si="254"/>
        <v>45801</v>
      </c>
      <c r="L901" s="19" t="str">
        <f t="shared" si="239"/>
        <v/>
      </c>
      <c r="M901" s="5">
        <f t="shared" si="255"/>
        <v>45812</v>
      </c>
      <c r="N901" s="4">
        <v>45792</v>
      </c>
      <c r="O901" s="19">
        <f t="shared" si="233"/>
        <v>20</v>
      </c>
      <c r="P901" s="5">
        <f t="shared" si="256"/>
        <v>45827</v>
      </c>
      <c r="Q901" s="4">
        <v>45797</v>
      </c>
      <c r="R901" s="19">
        <f t="shared" si="234"/>
        <v>30</v>
      </c>
      <c r="S901" s="5">
        <f t="shared" ref="S901:S964" si="261">B901-69</f>
        <v>45832</v>
      </c>
      <c r="T901" s="4">
        <v>45832</v>
      </c>
      <c r="U901" s="19">
        <f t="shared" si="236"/>
        <v>0</v>
      </c>
      <c r="V901" s="5">
        <f t="shared" si="257"/>
        <v>45871</v>
      </c>
      <c r="W901" s="4">
        <v>45852</v>
      </c>
      <c r="X901" s="19">
        <f t="shared" si="237"/>
        <v>19</v>
      </c>
      <c r="Y901" s="51">
        <f t="shared" si="253"/>
        <v>45899</v>
      </c>
      <c r="Z901" s="4">
        <v>45835</v>
      </c>
      <c r="AA901" s="49">
        <f t="shared" si="238"/>
        <v>64</v>
      </c>
      <c r="AB901" s="51">
        <f t="shared" si="258"/>
        <v>45901</v>
      </c>
      <c r="AC901" s="49">
        <f t="shared" si="259"/>
        <v>66</v>
      </c>
      <c r="AD901" s="43">
        <f t="shared" si="260"/>
        <v>45901</v>
      </c>
      <c r="AE901" s="4">
        <v>45835</v>
      </c>
      <c r="AF901" s="19">
        <f t="shared" si="252"/>
        <v>66</v>
      </c>
      <c r="AG901" s="10"/>
      <c r="AH901" s="1"/>
      <c r="AI901" s="1"/>
      <c r="AJ901" s="1"/>
      <c r="AK901" s="1"/>
      <c r="AL901" s="1"/>
    </row>
    <row r="902" spans="1:38" ht="14.45">
      <c r="A902" s="156">
        <v>901</v>
      </c>
      <c r="B902" s="59">
        <v>45901</v>
      </c>
      <c r="C902" s="34">
        <v>631168408</v>
      </c>
      <c r="D902" s="23" t="s">
        <v>177</v>
      </c>
      <c r="E902" s="23">
        <v>2153.44</v>
      </c>
      <c r="F902" s="23" t="s">
        <v>1909</v>
      </c>
      <c r="G902" s="14" t="s">
        <v>190</v>
      </c>
      <c r="H902" s="23" t="s">
        <v>40</v>
      </c>
      <c r="I902" s="23" t="s">
        <v>93</v>
      </c>
      <c r="J902" s="97">
        <f t="shared" si="254"/>
        <v>45801</v>
      </c>
      <c r="L902" s="19" t="str">
        <f t="shared" si="239"/>
        <v/>
      </c>
      <c r="M902" s="5">
        <f t="shared" si="255"/>
        <v>45812</v>
      </c>
      <c r="N902" s="4">
        <v>45792</v>
      </c>
      <c r="O902" s="19">
        <f t="shared" si="233"/>
        <v>20</v>
      </c>
      <c r="P902" s="5">
        <f t="shared" si="256"/>
        <v>45827</v>
      </c>
      <c r="Q902" s="4">
        <v>45797</v>
      </c>
      <c r="R902" s="19">
        <f t="shared" si="234"/>
        <v>30</v>
      </c>
      <c r="S902" s="5">
        <f t="shared" si="261"/>
        <v>45832</v>
      </c>
      <c r="T902" s="4">
        <v>45832</v>
      </c>
      <c r="U902" s="19">
        <f t="shared" si="236"/>
        <v>0</v>
      </c>
      <c r="V902" s="5">
        <f t="shared" si="257"/>
        <v>45871</v>
      </c>
      <c r="W902" s="4">
        <v>45852</v>
      </c>
      <c r="X902" s="19">
        <f t="shared" si="237"/>
        <v>19</v>
      </c>
      <c r="Y902" s="51">
        <f t="shared" si="253"/>
        <v>45899</v>
      </c>
      <c r="Z902" s="4">
        <v>45835</v>
      </c>
      <c r="AA902" s="49">
        <f t="shared" si="238"/>
        <v>64</v>
      </c>
      <c r="AB902" s="51">
        <f t="shared" si="258"/>
        <v>45901</v>
      </c>
      <c r="AC902" s="49">
        <f t="shared" si="259"/>
        <v>66</v>
      </c>
      <c r="AD902" s="43">
        <f t="shared" si="260"/>
        <v>45901</v>
      </c>
      <c r="AE902" s="4">
        <v>45835</v>
      </c>
      <c r="AF902" s="19">
        <f t="shared" si="252"/>
        <v>66</v>
      </c>
      <c r="AG902" s="10"/>
      <c r="AH902" s="1"/>
      <c r="AI902" s="1"/>
      <c r="AJ902" s="1"/>
      <c r="AK902" s="1"/>
      <c r="AL902" s="1"/>
    </row>
    <row r="903" spans="1:38" ht="14.45">
      <c r="A903" s="156">
        <v>902</v>
      </c>
      <c r="B903" s="59">
        <v>45901</v>
      </c>
      <c r="C903" s="34">
        <v>631195633</v>
      </c>
      <c r="D903" s="23" t="s">
        <v>177</v>
      </c>
      <c r="E903" s="23">
        <v>1944.48</v>
      </c>
      <c r="F903" s="23" t="s">
        <v>1910</v>
      </c>
      <c r="G903" s="14" t="s">
        <v>190</v>
      </c>
      <c r="H903" s="23" t="s">
        <v>40</v>
      </c>
      <c r="I903" s="23" t="s">
        <v>93</v>
      </c>
      <c r="J903" s="97">
        <f t="shared" si="254"/>
        <v>45801</v>
      </c>
      <c r="L903" s="19" t="str">
        <f t="shared" si="239"/>
        <v/>
      </c>
      <c r="M903" s="5">
        <f t="shared" si="255"/>
        <v>45812</v>
      </c>
      <c r="N903" s="4">
        <v>45792</v>
      </c>
      <c r="O903" s="19">
        <f t="shared" ref="O903:O967" si="262">IF(OR(M903="", N903=""), "", M903-N903)</f>
        <v>20</v>
      </c>
      <c r="P903" s="5">
        <f t="shared" si="256"/>
        <v>45827</v>
      </c>
      <c r="Q903" s="4">
        <v>45797</v>
      </c>
      <c r="R903" s="19">
        <f t="shared" ref="R903:R967" si="263">IF(OR(P903="", Q903=""), "", P903-Q903)</f>
        <v>30</v>
      </c>
      <c r="S903" s="5">
        <f t="shared" si="261"/>
        <v>45832</v>
      </c>
      <c r="T903" s="4">
        <v>45832</v>
      </c>
      <c r="U903" s="19">
        <f t="shared" ref="U903:U967" si="264">IF(OR(S903="", T903=""), "", S903-T903)</f>
        <v>0</v>
      </c>
      <c r="V903" s="5">
        <f t="shared" si="257"/>
        <v>45871</v>
      </c>
      <c r="W903" s="4">
        <v>45852</v>
      </c>
      <c r="X903" s="19">
        <f t="shared" ref="X903:X967" si="265">IF(OR(V903="", W903=""), "", V903-W903)</f>
        <v>19</v>
      </c>
      <c r="Y903" s="51">
        <f t="shared" si="253"/>
        <v>45899</v>
      </c>
      <c r="Z903" s="4">
        <v>45835</v>
      </c>
      <c r="AA903" s="49">
        <f t="shared" ref="AA903:AA967" si="266">IF(OR(Y903="", Z903=""), "", Y903-Z903)</f>
        <v>64</v>
      </c>
      <c r="AB903" s="51">
        <f t="shared" si="258"/>
        <v>45901</v>
      </c>
      <c r="AC903" s="49">
        <f t="shared" si="259"/>
        <v>66</v>
      </c>
      <c r="AD903" s="43">
        <f t="shared" si="260"/>
        <v>45901</v>
      </c>
      <c r="AE903" s="4">
        <v>45835</v>
      </c>
      <c r="AF903" s="19">
        <f t="shared" si="252"/>
        <v>66</v>
      </c>
      <c r="AG903" s="10"/>
      <c r="AH903" s="1"/>
      <c r="AI903" s="1"/>
      <c r="AJ903" s="1"/>
      <c r="AK903" s="1"/>
      <c r="AL903" s="1"/>
    </row>
    <row r="904" spans="1:38" ht="14.45">
      <c r="A904" s="156">
        <v>903</v>
      </c>
      <c r="B904" s="59">
        <v>45901</v>
      </c>
      <c r="C904" s="34">
        <v>631148533</v>
      </c>
      <c r="D904" s="23" t="s">
        <v>177</v>
      </c>
      <c r="E904" s="23">
        <v>3302.71</v>
      </c>
      <c r="F904" s="23" t="s">
        <v>1911</v>
      </c>
      <c r="G904" s="14" t="s">
        <v>190</v>
      </c>
      <c r="H904" s="23" t="s">
        <v>40</v>
      </c>
      <c r="I904" s="23" t="s">
        <v>93</v>
      </c>
      <c r="J904" s="97">
        <f t="shared" si="254"/>
        <v>45801</v>
      </c>
      <c r="L904" s="19" t="str">
        <f t="shared" si="239"/>
        <v/>
      </c>
      <c r="M904" s="5">
        <f t="shared" si="255"/>
        <v>45812</v>
      </c>
      <c r="N904" s="4">
        <v>45792</v>
      </c>
      <c r="O904" s="19">
        <f t="shared" si="262"/>
        <v>20</v>
      </c>
      <c r="P904" s="5">
        <f t="shared" si="256"/>
        <v>45827</v>
      </c>
      <c r="Q904" s="4">
        <v>45797</v>
      </c>
      <c r="R904" s="19">
        <f t="shared" si="263"/>
        <v>30</v>
      </c>
      <c r="S904" s="5">
        <f t="shared" si="261"/>
        <v>45832</v>
      </c>
      <c r="T904" s="4">
        <v>45832</v>
      </c>
      <c r="U904" s="19">
        <f t="shared" si="264"/>
        <v>0</v>
      </c>
      <c r="V904" s="5">
        <f t="shared" si="257"/>
        <v>45871</v>
      </c>
      <c r="W904" s="4">
        <v>45852</v>
      </c>
      <c r="X904" s="19">
        <f t="shared" si="265"/>
        <v>19</v>
      </c>
      <c r="Y904" s="51">
        <f t="shared" si="253"/>
        <v>45899</v>
      </c>
      <c r="Z904" s="4">
        <v>45835</v>
      </c>
      <c r="AA904" s="49">
        <f t="shared" si="266"/>
        <v>64</v>
      </c>
      <c r="AB904" s="51">
        <f t="shared" si="258"/>
        <v>45901</v>
      </c>
      <c r="AC904" s="49">
        <f t="shared" si="259"/>
        <v>66</v>
      </c>
      <c r="AD904" s="43">
        <f t="shared" si="260"/>
        <v>45901</v>
      </c>
      <c r="AE904" s="4">
        <v>45835</v>
      </c>
      <c r="AF904" s="19">
        <f t="shared" si="252"/>
        <v>66</v>
      </c>
      <c r="AG904" s="10"/>
      <c r="AH904" s="1"/>
      <c r="AI904" s="1"/>
      <c r="AJ904" s="1"/>
      <c r="AK904" s="1"/>
      <c r="AL904" s="1"/>
    </row>
    <row r="905" spans="1:38" ht="14.45">
      <c r="A905" s="156">
        <v>904</v>
      </c>
      <c r="B905" s="59">
        <v>45901</v>
      </c>
      <c r="C905" s="34">
        <v>631177599</v>
      </c>
      <c r="D905" s="23" t="s">
        <v>177</v>
      </c>
      <c r="E905" s="23">
        <v>2926.59</v>
      </c>
      <c r="F905" s="23" t="s">
        <v>1912</v>
      </c>
      <c r="G905" s="14" t="s">
        <v>190</v>
      </c>
      <c r="H905" s="23" t="s">
        <v>40</v>
      </c>
      <c r="I905" s="23" t="s">
        <v>93</v>
      </c>
      <c r="J905" s="97">
        <f t="shared" si="254"/>
        <v>45801</v>
      </c>
      <c r="L905" s="19" t="str">
        <f t="shared" si="239"/>
        <v/>
      </c>
      <c r="M905" s="5">
        <f t="shared" si="255"/>
        <v>45812</v>
      </c>
      <c r="N905" s="4">
        <v>45792</v>
      </c>
      <c r="O905" s="19">
        <f t="shared" si="262"/>
        <v>20</v>
      </c>
      <c r="P905" s="5">
        <f t="shared" si="256"/>
        <v>45827</v>
      </c>
      <c r="Q905" s="4">
        <v>45797</v>
      </c>
      <c r="R905" s="19">
        <f t="shared" si="263"/>
        <v>30</v>
      </c>
      <c r="S905" s="5">
        <f t="shared" si="261"/>
        <v>45832</v>
      </c>
      <c r="T905" s="4">
        <v>45832</v>
      </c>
      <c r="U905" s="19">
        <f t="shared" si="264"/>
        <v>0</v>
      </c>
      <c r="V905" s="5">
        <f t="shared" si="257"/>
        <v>45871</v>
      </c>
      <c r="W905" s="4">
        <v>45852</v>
      </c>
      <c r="X905" s="19">
        <f t="shared" si="265"/>
        <v>19</v>
      </c>
      <c r="Y905" s="51">
        <f t="shared" si="253"/>
        <v>45899</v>
      </c>
      <c r="Z905" s="4">
        <v>45835</v>
      </c>
      <c r="AA905" s="49">
        <f t="shared" si="266"/>
        <v>64</v>
      </c>
      <c r="AB905" s="51">
        <f t="shared" si="258"/>
        <v>45901</v>
      </c>
      <c r="AC905" s="49">
        <f t="shared" si="259"/>
        <v>66</v>
      </c>
      <c r="AD905" s="43">
        <f t="shared" si="260"/>
        <v>45901</v>
      </c>
      <c r="AE905" s="4">
        <v>45835</v>
      </c>
      <c r="AF905" s="19">
        <f t="shared" si="252"/>
        <v>66</v>
      </c>
      <c r="AG905" s="10"/>
      <c r="AH905" s="1"/>
      <c r="AI905" s="1"/>
      <c r="AJ905" s="1"/>
      <c r="AK905" s="1"/>
      <c r="AL905" s="1"/>
    </row>
    <row r="906" spans="1:38" ht="14.45">
      <c r="A906" s="156">
        <v>905</v>
      </c>
      <c r="B906" s="59">
        <v>45901</v>
      </c>
      <c r="C906" s="34">
        <v>631206877</v>
      </c>
      <c r="D906" s="23" t="s">
        <v>177</v>
      </c>
      <c r="E906" s="23">
        <v>2926.59</v>
      </c>
      <c r="F906" s="23" t="s">
        <v>1913</v>
      </c>
      <c r="G906" s="14" t="s">
        <v>190</v>
      </c>
      <c r="H906" s="23" t="s">
        <v>40</v>
      </c>
      <c r="I906" s="23" t="s">
        <v>93</v>
      </c>
      <c r="J906" s="97">
        <f t="shared" si="254"/>
        <v>45801</v>
      </c>
      <c r="L906" s="19" t="str">
        <f t="shared" si="239"/>
        <v/>
      </c>
      <c r="M906" s="5">
        <f t="shared" si="255"/>
        <v>45812</v>
      </c>
      <c r="N906" s="4">
        <v>45792</v>
      </c>
      <c r="O906" s="19">
        <f t="shared" si="262"/>
        <v>20</v>
      </c>
      <c r="P906" s="5">
        <f t="shared" si="256"/>
        <v>45827</v>
      </c>
      <c r="Q906" s="4">
        <v>45797</v>
      </c>
      <c r="R906" s="19">
        <f t="shared" si="263"/>
        <v>30</v>
      </c>
      <c r="S906" s="5">
        <f t="shared" si="261"/>
        <v>45832</v>
      </c>
      <c r="T906" s="4">
        <v>45832</v>
      </c>
      <c r="U906" s="19">
        <f t="shared" si="264"/>
        <v>0</v>
      </c>
      <c r="V906" s="5">
        <f t="shared" si="257"/>
        <v>45871</v>
      </c>
      <c r="W906" s="4">
        <v>45852</v>
      </c>
      <c r="X906" s="19">
        <f t="shared" si="265"/>
        <v>19</v>
      </c>
      <c r="Y906" s="51">
        <f t="shared" si="253"/>
        <v>45899</v>
      </c>
      <c r="Z906" s="4">
        <v>45835</v>
      </c>
      <c r="AA906" s="49">
        <f t="shared" si="266"/>
        <v>64</v>
      </c>
      <c r="AB906" s="51">
        <f t="shared" si="258"/>
        <v>45901</v>
      </c>
      <c r="AC906" s="49">
        <f t="shared" si="259"/>
        <v>66</v>
      </c>
      <c r="AD906" s="43">
        <f t="shared" si="260"/>
        <v>45901</v>
      </c>
      <c r="AE906" s="4">
        <v>45835</v>
      </c>
      <c r="AF906" s="19">
        <f t="shared" si="252"/>
        <v>66</v>
      </c>
      <c r="AG906" s="10"/>
      <c r="AH906" s="1"/>
      <c r="AI906" s="1"/>
      <c r="AJ906" s="1"/>
      <c r="AK906" s="1"/>
      <c r="AL906" s="1"/>
    </row>
    <row r="907" spans="1:38" ht="14.45">
      <c r="A907" s="156">
        <v>906</v>
      </c>
      <c r="B907" s="59">
        <v>45901</v>
      </c>
      <c r="C907" s="34" t="s">
        <v>1914</v>
      </c>
      <c r="D907" s="23" t="s">
        <v>1316</v>
      </c>
      <c r="E907" s="23">
        <v>3838</v>
      </c>
      <c r="F907" s="23" t="s">
        <v>1915</v>
      </c>
      <c r="G907" s="14" t="s">
        <v>35</v>
      </c>
      <c r="H907" s="23" t="s">
        <v>36</v>
      </c>
      <c r="I907" s="23" t="s">
        <v>62</v>
      </c>
      <c r="J907" s="97">
        <f t="shared" si="254"/>
        <v>45801</v>
      </c>
      <c r="L907" s="19" t="str">
        <f t="shared" si="239"/>
        <v/>
      </c>
      <c r="M907" s="5">
        <f t="shared" si="255"/>
        <v>45812</v>
      </c>
      <c r="O907" s="19" t="str">
        <f t="shared" si="262"/>
        <v/>
      </c>
      <c r="P907" s="5">
        <f t="shared" si="256"/>
        <v>45827</v>
      </c>
      <c r="R907" s="19" t="str">
        <f t="shared" si="263"/>
        <v/>
      </c>
      <c r="S907" s="5">
        <f t="shared" si="261"/>
        <v>45832</v>
      </c>
      <c r="U907" s="19" t="str">
        <f t="shared" si="264"/>
        <v/>
      </c>
      <c r="V907" s="5">
        <f t="shared" si="257"/>
        <v>45871</v>
      </c>
      <c r="W907" s="6">
        <v>45873</v>
      </c>
      <c r="X907" s="19">
        <f t="shared" si="265"/>
        <v>-2</v>
      </c>
      <c r="Y907" s="51">
        <f t="shared" si="253"/>
        <v>45899</v>
      </c>
      <c r="Z907" s="51">
        <v>45897</v>
      </c>
      <c r="AA907" s="49">
        <f t="shared" si="266"/>
        <v>2</v>
      </c>
      <c r="AB907" s="51">
        <f t="shared" si="258"/>
        <v>45901</v>
      </c>
      <c r="AC907" s="49">
        <f t="shared" si="259"/>
        <v>4</v>
      </c>
      <c r="AD907" s="43">
        <f t="shared" si="260"/>
        <v>45901</v>
      </c>
      <c r="AE907" s="4">
        <v>45897</v>
      </c>
      <c r="AF907" s="19">
        <f t="shared" si="252"/>
        <v>4</v>
      </c>
      <c r="AG907" s="10"/>
      <c r="AH907" s="1"/>
      <c r="AI907" s="1"/>
      <c r="AJ907" s="1"/>
      <c r="AK907" s="1"/>
      <c r="AL907" s="1"/>
    </row>
    <row r="908" spans="1:38" ht="14.45">
      <c r="A908" s="156">
        <v>907</v>
      </c>
      <c r="B908" s="59">
        <v>45901</v>
      </c>
      <c r="C908" s="34" t="s">
        <v>1916</v>
      </c>
      <c r="D908" s="23" t="s">
        <v>1316</v>
      </c>
      <c r="E908" s="23">
        <v>3838</v>
      </c>
      <c r="F908" s="23" t="s">
        <v>1917</v>
      </c>
      <c r="G908" s="14" t="s">
        <v>35</v>
      </c>
      <c r="H908" s="23" t="s">
        <v>36</v>
      </c>
      <c r="I908" s="23" t="s">
        <v>62</v>
      </c>
      <c r="J908" s="97">
        <f t="shared" si="254"/>
        <v>45801</v>
      </c>
      <c r="L908" s="19" t="str">
        <f t="shared" si="239"/>
        <v/>
      </c>
      <c r="M908" s="5">
        <f t="shared" si="255"/>
        <v>45812</v>
      </c>
      <c r="O908" s="19" t="str">
        <f t="shared" si="262"/>
        <v/>
      </c>
      <c r="P908" s="5">
        <f t="shared" si="256"/>
        <v>45827</v>
      </c>
      <c r="R908" s="19" t="str">
        <f t="shared" si="263"/>
        <v/>
      </c>
      <c r="S908" s="5">
        <f t="shared" si="261"/>
        <v>45832</v>
      </c>
      <c r="U908" s="19" t="str">
        <f t="shared" si="264"/>
        <v/>
      </c>
      <c r="V908" s="5">
        <f t="shared" si="257"/>
        <v>45871</v>
      </c>
      <c r="W908" s="6">
        <v>45873</v>
      </c>
      <c r="X908" s="19">
        <f t="shared" si="265"/>
        <v>-2</v>
      </c>
      <c r="Y908" s="51">
        <f t="shared" si="253"/>
        <v>45899</v>
      </c>
      <c r="Z908" s="51">
        <v>45897</v>
      </c>
      <c r="AA908" s="49">
        <f t="shared" si="266"/>
        <v>2</v>
      </c>
      <c r="AB908" s="51">
        <f t="shared" si="258"/>
        <v>45901</v>
      </c>
      <c r="AC908" s="49">
        <f t="shared" si="259"/>
        <v>4</v>
      </c>
      <c r="AD908" s="43">
        <f t="shared" si="260"/>
        <v>45901</v>
      </c>
      <c r="AE908" s="4">
        <v>45897</v>
      </c>
      <c r="AF908" s="19">
        <f t="shared" si="252"/>
        <v>4</v>
      </c>
      <c r="AG908" s="10"/>
      <c r="AH908" s="1"/>
      <c r="AI908" s="1"/>
      <c r="AJ908" s="1"/>
      <c r="AK908" s="1"/>
      <c r="AL908" s="1"/>
    </row>
    <row r="909" spans="1:38" ht="14.45">
      <c r="A909" s="156">
        <v>908</v>
      </c>
      <c r="B909" s="60">
        <v>45901</v>
      </c>
      <c r="C909" s="41">
        <v>642168892</v>
      </c>
      <c r="D909" s="24" t="s">
        <v>1918</v>
      </c>
      <c r="E909" s="24">
        <v>867.3</v>
      </c>
      <c r="F909" s="24" t="s">
        <v>1919</v>
      </c>
      <c r="G909" s="14" t="s">
        <v>128</v>
      </c>
      <c r="H909" s="24" t="s">
        <v>40</v>
      </c>
      <c r="I909" s="24" t="s">
        <v>93</v>
      </c>
      <c r="J909" s="98">
        <f t="shared" si="254"/>
        <v>45801</v>
      </c>
      <c r="K909" s="7">
        <v>45805</v>
      </c>
      <c r="L909" s="99">
        <f t="shared" si="239"/>
        <v>-4</v>
      </c>
      <c r="M909" s="20">
        <f t="shared" si="255"/>
        <v>45812</v>
      </c>
      <c r="N909" s="7"/>
      <c r="O909" s="99" t="str">
        <f t="shared" si="262"/>
        <v/>
      </c>
      <c r="P909" s="20">
        <f t="shared" si="256"/>
        <v>45827</v>
      </c>
      <c r="Q909" s="7"/>
      <c r="R909" s="99" t="str">
        <f t="shared" si="263"/>
        <v/>
      </c>
      <c r="S909" s="20">
        <f t="shared" si="261"/>
        <v>45832</v>
      </c>
      <c r="T909" s="7"/>
      <c r="U909" s="99" t="str">
        <f t="shared" si="264"/>
        <v/>
      </c>
      <c r="V909" s="20">
        <f t="shared" si="257"/>
        <v>45871</v>
      </c>
      <c r="W909" s="47"/>
      <c r="X909" s="99" t="str">
        <f t="shared" si="265"/>
        <v/>
      </c>
      <c r="Y909" s="66">
        <f t="shared" si="253"/>
        <v>45899</v>
      </c>
      <c r="Z909" s="50"/>
      <c r="AA909" s="50" t="str">
        <f t="shared" si="266"/>
        <v/>
      </c>
      <c r="AB909" s="51">
        <f t="shared" si="258"/>
        <v>45901</v>
      </c>
      <c r="AC909" s="49" t="str">
        <f t="shared" si="259"/>
        <v/>
      </c>
      <c r="AD909" s="100">
        <f t="shared" si="260"/>
        <v>45901</v>
      </c>
      <c r="AE909" s="7"/>
      <c r="AF909" s="99" t="str">
        <f t="shared" si="252"/>
        <v/>
      </c>
      <c r="AG909" s="36" t="s">
        <v>1479</v>
      </c>
      <c r="AH909" s="1"/>
      <c r="AI909" s="1"/>
      <c r="AJ909" s="1"/>
      <c r="AK909" s="1"/>
      <c r="AL909" s="1"/>
    </row>
    <row r="910" spans="1:38" ht="14.45">
      <c r="A910" s="156">
        <v>909</v>
      </c>
      <c r="B910" s="59">
        <v>45902</v>
      </c>
      <c r="C910" s="34" t="s">
        <v>1920</v>
      </c>
      <c r="D910" s="23" t="s">
        <v>38</v>
      </c>
      <c r="E910" s="23">
        <v>1872.59</v>
      </c>
      <c r="F910" s="23" t="s">
        <v>1921</v>
      </c>
      <c r="G910" s="14" t="s">
        <v>190</v>
      </c>
      <c r="H910" s="23" t="s">
        <v>40</v>
      </c>
      <c r="I910" s="23" t="s">
        <v>41</v>
      </c>
      <c r="J910" s="97">
        <f t="shared" si="254"/>
        <v>45802</v>
      </c>
      <c r="K910" s="4">
        <v>45802</v>
      </c>
      <c r="L910" s="19">
        <f t="shared" si="239"/>
        <v>0</v>
      </c>
      <c r="M910" s="5">
        <f t="shared" si="255"/>
        <v>45813</v>
      </c>
      <c r="N910" s="4">
        <v>45895</v>
      </c>
      <c r="O910" s="19">
        <f t="shared" si="262"/>
        <v>-82</v>
      </c>
      <c r="P910" s="5">
        <f t="shared" si="256"/>
        <v>45828</v>
      </c>
      <c r="Q910" s="4">
        <v>45896</v>
      </c>
      <c r="R910" s="19">
        <f t="shared" si="263"/>
        <v>-68</v>
      </c>
      <c r="S910" s="5">
        <f t="shared" si="261"/>
        <v>45833</v>
      </c>
      <c r="T910" s="4">
        <v>45901</v>
      </c>
      <c r="U910" s="19">
        <f t="shared" si="264"/>
        <v>-68</v>
      </c>
      <c r="V910" s="5">
        <f t="shared" si="257"/>
        <v>45872</v>
      </c>
      <c r="W910" s="6">
        <v>45872</v>
      </c>
      <c r="X910" s="19">
        <f t="shared" si="265"/>
        <v>0</v>
      </c>
      <c r="Y910" s="51">
        <f t="shared" si="253"/>
        <v>45900</v>
      </c>
      <c r="Z910" s="51">
        <v>45901</v>
      </c>
      <c r="AA910" s="49">
        <f t="shared" si="266"/>
        <v>-1</v>
      </c>
      <c r="AB910" s="51">
        <f t="shared" si="258"/>
        <v>45902</v>
      </c>
      <c r="AC910" s="49">
        <f t="shared" si="259"/>
        <v>1</v>
      </c>
      <c r="AD910" s="43">
        <f t="shared" si="260"/>
        <v>45902</v>
      </c>
      <c r="AE910" s="4">
        <v>45902</v>
      </c>
      <c r="AF910" s="19">
        <f t="shared" si="252"/>
        <v>0</v>
      </c>
      <c r="AG910" s="10"/>
    </row>
    <row r="911" spans="1:38" ht="14.45">
      <c r="A911" s="156">
        <v>910</v>
      </c>
      <c r="B911" s="59">
        <v>45903</v>
      </c>
      <c r="C911" s="34">
        <v>111721319</v>
      </c>
      <c r="D911" s="23" t="s">
        <v>1922</v>
      </c>
      <c r="E911" s="23">
        <v>28388</v>
      </c>
      <c r="F911" s="23" t="s">
        <v>1923</v>
      </c>
      <c r="G911" s="14" t="s">
        <v>35</v>
      </c>
      <c r="H911" s="23" t="s">
        <v>36</v>
      </c>
      <c r="I911" s="23" t="s">
        <v>37</v>
      </c>
      <c r="J911" s="97">
        <f t="shared" si="254"/>
        <v>45803</v>
      </c>
      <c r="L911" s="19" t="str">
        <f t="shared" si="239"/>
        <v/>
      </c>
      <c r="M911" s="5">
        <f t="shared" si="255"/>
        <v>45814</v>
      </c>
      <c r="O911" s="19" t="str">
        <f t="shared" si="262"/>
        <v/>
      </c>
      <c r="P911" s="5">
        <f t="shared" si="256"/>
        <v>45829</v>
      </c>
      <c r="R911" s="19" t="str">
        <f t="shared" si="263"/>
        <v/>
      </c>
      <c r="S911" s="5">
        <f t="shared" si="261"/>
        <v>45834</v>
      </c>
      <c r="T911" s="4">
        <v>45859</v>
      </c>
      <c r="U911" s="19">
        <f t="shared" si="264"/>
        <v>-25</v>
      </c>
      <c r="V911" s="5">
        <f t="shared" si="257"/>
        <v>45873</v>
      </c>
      <c r="W911" s="6">
        <v>45875</v>
      </c>
      <c r="X911" s="19">
        <f t="shared" si="265"/>
        <v>-2</v>
      </c>
      <c r="Y911" s="51">
        <f t="shared" si="253"/>
        <v>45901</v>
      </c>
      <c r="Z911" s="51">
        <v>45896</v>
      </c>
      <c r="AA911" s="49">
        <f t="shared" si="266"/>
        <v>5</v>
      </c>
      <c r="AB911" s="51">
        <f t="shared" si="258"/>
        <v>45903</v>
      </c>
      <c r="AC911" s="49">
        <f t="shared" si="259"/>
        <v>7</v>
      </c>
      <c r="AD911" s="43">
        <f t="shared" si="260"/>
        <v>45903</v>
      </c>
      <c r="AE911" s="4">
        <v>45903</v>
      </c>
      <c r="AF911" s="19">
        <f t="shared" si="252"/>
        <v>0</v>
      </c>
      <c r="AG911" s="10"/>
      <c r="AH911" s="1"/>
      <c r="AI911" s="1"/>
      <c r="AJ911" s="1"/>
      <c r="AK911" s="1"/>
      <c r="AL911" s="1"/>
    </row>
    <row r="912" spans="1:38" ht="14.45">
      <c r="A912" s="156">
        <v>911</v>
      </c>
      <c r="B912" s="59">
        <v>45903</v>
      </c>
      <c r="C912" s="34" t="s">
        <v>1924</v>
      </c>
      <c r="D912" s="23" t="s">
        <v>1925</v>
      </c>
      <c r="E912" s="23">
        <v>3492.01</v>
      </c>
      <c r="F912" s="23" t="s">
        <v>1926</v>
      </c>
      <c r="G912" s="23" t="s">
        <v>35</v>
      </c>
      <c r="H912" s="23" t="s">
        <v>40</v>
      </c>
      <c r="I912" s="23" t="s">
        <v>93</v>
      </c>
      <c r="J912" s="97">
        <f t="shared" si="254"/>
        <v>45803</v>
      </c>
      <c r="L912" s="19" t="str">
        <f t="shared" si="239"/>
        <v/>
      </c>
      <c r="M912" s="5">
        <f t="shared" si="255"/>
        <v>45814</v>
      </c>
      <c r="O912" s="19" t="str">
        <f t="shared" si="262"/>
        <v/>
      </c>
      <c r="P912" s="5">
        <f t="shared" si="256"/>
        <v>45829</v>
      </c>
      <c r="R912" s="19" t="str">
        <f t="shared" si="263"/>
        <v/>
      </c>
      <c r="S912" s="5">
        <f t="shared" si="261"/>
        <v>45834</v>
      </c>
      <c r="T912" s="4">
        <v>45873</v>
      </c>
      <c r="U912" s="19">
        <f t="shared" si="264"/>
        <v>-39</v>
      </c>
      <c r="V912" s="5">
        <f t="shared" si="257"/>
        <v>45873</v>
      </c>
      <c r="W912" s="6">
        <v>45880</v>
      </c>
      <c r="X912" s="19">
        <f t="shared" si="265"/>
        <v>-7</v>
      </c>
      <c r="Y912" s="51">
        <f t="shared" si="253"/>
        <v>45901</v>
      </c>
      <c r="Z912" s="51">
        <v>45894</v>
      </c>
      <c r="AA912" s="49">
        <f t="shared" si="266"/>
        <v>7</v>
      </c>
      <c r="AB912" s="51">
        <f t="shared" si="258"/>
        <v>45903</v>
      </c>
      <c r="AC912" s="49">
        <f t="shared" si="259"/>
        <v>9</v>
      </c>
      <c r="AD912" s="43">
        <f t="shared" si="260"/>
        <v>45903</v>
      </c>
      <c r="AE912" s="4">
        <v>45903</v>
      </c>
      <c r="AF912" s="19">
        <f t="shared" si="252"/>
        <v>0</v>
      </c>
      <c r="AG912" s="10"/>
      <c r="AH912" s="1"/>
      <c r="AI912" s="1"/>
      <c r="AJ912" s="1"/>
      <c r="AK912" s="1"/>
      <c r="AL912" s="1"/>
    </row>
    <row r="913" spans="1:38" ht="14.45">
      <c r="A913" s="156">
        <v>912</v>
      </c>
      <c r="B913" s="59">
        <v>45903</v>
      </c>
      <c r="C913" s="34" t="s">
        <v>1927</v>
      </c>
      <c r="D913" s="23" t="s">
        <v>1925</v>
      </c>
      <c r="E913" s="23">
        <v>3685.53</v>
      </c>
      <c r="F913" s="23" t="s">
        <v>1928</v>
      </c>
      <c r="G913" s="23" t="s">
        <v>35</v>
      </c>
      <c r="H913" s="23" t="s">
        <v>40</v>
      </c>
      <c r="I913" s="23" t="s">
        <v>93</v>
      </c>
      <c r="J913" s="97">
        <f t="shared" si="254"/>
        <v>45803</v>
      </c>
      <c r="L913" s="19" t="str">
        <f t="shared" ref="L913:L979" si="267">IF(OR(J913="", K913=""), "", J913-K913)</f>
        <v/>
      </c>
      <c r="M913" s="5">
        <f t="shared" si="255"/>
        <v>45814</v>
      </c>
      <c r="O913" s="19" t="str">
        <f t="shared" si="262"/>
        <v/>
      </c>
      <c r="P913" s="5">
        <f t="shared" si="256"/>
        <v>45829</v>
      </c>
      <c r="R913" s="19" t="str">
        <f t="shared" si="263"/>
        <v/>
      </c>
      <c r="S913" s="5">
        <f t="shared" si="261"/>
        <v>45834</v>
      </c>
      <c r="T913" s="4">
        <v>45873</v>
      </c>
      <c r="U913" s="19">
        <f t="shared" si="264"/>
        <v>-39</v>
      </c>
      <c r="V913" s="5">
        <f t="shared" si="257"/>
        <v>45873</v>
      </c>
      <c r="W913" s="6">
        <v>45880</v>
      </c>
      <c r="X913" s="19">
        <f t="shared" si="265"/>
        <v>-7</v>
      </c>
      <c r="Y913" s="51">
        <f t="shared" si="253"/>
        <v>45901</v>
      </c>
      <c r="Z913" s="51">
        <v>45894</v>
      </c>
      <c r="AA913" s="49">
        <f t="shared" si="266"/>
        <v>7</v>
      </c>
      <c r="AB913" s="51">
        <f t="shared" si="258"/>
        <v>45903</v>
      </c>
      <c r="AC913" s="49">
        <f t="shared" si="259"/>
        <v>9</v>
      </c>
      <c r="AD913" s="43">
        <f t="shared" si="260"/>
        <v>45903</v>
      </c>
      <c r="AE913" s="4">
        <v>45903</v>
      </c>
      <c r="AF913" s="19">
        <f t="shared" si="252"/>
        <v>0</v>
      </c>
      <c r="AG913" s="10"/>
      <c r="AH913" s="1"/>
      <c r="AI913" s="1"/>
      <c r="AJ913" s="1"/>
      <c r="AK913" s="1"/>
      <c r="AL913" s="1"/>
    </row>
    <row r="914" spans="1:38" ht="14.45">
      <c r="A914" s="156">
        <v>913</v>
      </c>
      <c r="B914" s="59">
        <v>45903</v>
      </c>
      <c r="C914" s="34" t="s">
        <v>1929</v>
      </c>
      <c r="D914" s="23" t="s">
        <v>1925</v>
      </c>
      <c r="E914" s="23">
        <v>1029.04</v>
      </c>
      <c r="F914" s="23" t="s">
        <v>1930</v>
      </c>
      <c r="G914" s="23" t="s">
        <v>35</v>
      </c>
      <c r="H914" s="23" t="s">
        <v>40</v>
      </c>
      <c r="I914" s="23" t="s">
        <v>93</v>
      </c>
      <c r="J914" s="97">
        <f t="shared" si="254"/>
        <v>45803</v>
      </c>
      <c r="L914" s="19" t="str">
        <f t="shared" si="267"/>
        <v/>
      </c>
      <c r="M914" s="5">
        <f t="shared" si="255"/>
        <v>45814</v>
      </c>
      <c r="O914" s="19" t="str">
        <f t="shared" si="262"/>
        <v/>
      </c>
      <c r="P914" s="5">
        <f t="shared" si="256"/>
        <v>45829</v>
      </c>
      <c r="R914" s="19" t="str">
        <f t="shared" si="263"/>
        <v/>
      </c>
      <c r="S914" s="5">
        <f t="shared" si="261"/>
        <v>45834</v>
      </c>
      <c r="T914" s="4">
        <v>45873</v>
      </c>
      <c r="U914" s="19">
        <f t="shared" si="264"/>
        <v>-39</v>
      </c>
      <c r="V914" s="5">
        <f t="shared" si="257"/>
        <v>45873</v>
      </c>
      <c r="W914" s="6">
        <v>45880</v>
      </c>
      <c r="X914" s="19">
        <f t="shared" si="265"/>
        <v>-7</v>
      </c>
      <c r="Y914" s="51">
        <f t="shared" si="253"/>
        <v>45901</v>
      </c>
      <c r="Z914" s="51">
        <v>45894</v>
      </c>
      <c r="AA914" s="49">
        <f t="shared" si="266"/>
        <v>7</v>
      </c>
      <c r="AB914" s="51">
        <f t="shared" si="258"/>
        <v>45903</v>
      </c>
      <c r="AC914" s="49">
        <f t="shared" si="259"/>
        <v>9</v>
      </c>
      <c r="AD914" s="43">
        <f t="shared" si="260"/>
        <v>45903</v>
      </c>
      <c r="AE914" s="4">
        <v>45903</v>
      </c>
      <c r="AF914" s="19">
        <f t="shared" si="252"/>
        <v>0</v>
      </c>
      <c r="AG914" s="10"/>
      <c r="AH914" s="1"/>
      <c r="AI914" s="1"/>
      <c r="AJ914" s="1"/>
      <c r="AK914" s="1"/>
      <c r="AL914" s="1"/>
    </row>
    <row r="915" spans="1:38" ht="14.45">
      <c r="A915" s="156">
        <v>914</v>
      </c>
      <c r="B915" s="59">
        <v>45904</v>
      </c>
      <c r="C915" s="34" t="s">
        <v>1931</v>
      </c>
      <c r="D915" s="23" t="s">
        <v>38</v>
      </c>
      <c r="E915" s="23">
        <v>220.21</v>
      </c>
      <c r="F915" s="23" t="s">
        <v>1932</v>
      </c>
      <c r="G915" s="14" t="s">
        <v>190</v>
      </c>
      <c r="H915" s="23" t="s">
        <v>40</v>
      </c>
      <c r="I915" s="23" t="s">
        <v>41</v>
      </c>
      <c r="J915" s="97">
        <f t="shared" si="254"/>
        <v>45804</v>
      </c>
      <c r="K915" s="4">
        <v>45804</v>
      </c>
      <c r="L915" s="19">
        <f t="shared" si="267"/>
        <v>0</v>
      </c>
      <c r="M915" s="5">
        <f t="shared" si="255"/>
        <v>45815</v>
      </c>
      <c r="N915" s="4">
        <v>45895</v>
      </c>
      <c r="O915" s="19">
        <f t="shared" si="262"/>
        <v>-80</v>
      </c>
      <c r="P915" s="5">
        <f t="shared" si="256"/>
        <v>45830</v>
      </c>
      <c r="Q915" s="4">
        <v>45896</v>
      </c>
      <c r="R915" s="19">
        <f t="shared" si="263"/>
        <v>-66</v>
      </c>
      <c r="S915" s="5">
        <f t="shared" si="261"/>
        <v>45835</v>
      </c>
      <c r="T915" s="4">
        <v>45901</v>
      </c>
      <c r="U915" s="19">
        <f t="shared" si="264"/>
        <v>-66</v>
      </c>
      <c r="V915" s="5">
        <f t="shared" si="257"/>
        <v>45874</v>
      </c>
      <c r="W915" s="6">
        <v>45874</v>
      </c>
      <c r="X915" s="19">
        <f t="shared" si="265"/>
        <v>0</v>
      </c>
      <c r="Y915" s="51">
        <f t="shared" si="253"/>
        <v>45902</v>
      </c>
      <c r="Z915" s="51">
        <v>45901</v>
      </c>
      <c r="AA915" s="49">
        <f t="shared" si="266"/>
        <v>1</v>
      </c>
      <c r="AB915" s="51">
        <f t="shared" si="258"/>
        <v>45904</v>
      </c>
      <c r="AC915" s="49">
        <f t="shared" si="259"/>
        <v>3</v>
      </c>
      <c r="AD915" s="43">
        <f t="shared" si="260"/>
        <v>45904</v>
      </c>
      <c r="AE915" s="4">
        <v>45904</v>
      </c>
      <c r="AF915" s="19">
        <f t="shared" si="252"/>
        <v>0</v>
      </c>
      <c r="AG915" s="10"/>
    </row>
    <row r="916" spans="1:38" ht="14.45">
      <c r="A916" s="156">
        <v>915</v>
      </c>
      <c r="B916" s="59">
        <v>45904</v>
      </c>
      <c r="C916" s="34" t="s">
        <v>577</v>
      </c>
      <c r="D916" s="23" t="s">
        <v>578</v>
      </c>
      <c r="E916" s="23">
        <v>1575.04</v>
      </c>
      <c r="F916" s="23" t="s">
        <v>579</v>
      </c>
      <c r="G916" s="14" t="s">
        <v>35</v>
      </c>
      <c r="H916" s="23" t="s">
        <v>40</v>
      </c>
      <c r="I916" s="23" t="s">
        <v>62</v>
      </c>
      <c r="J916" s="97">
        <f t="shared" si="254"/>
        <v>45804</v>
      </c>
      <c r="L916" s="19" t="str">
        <f t="shared" si="267"/>
        <v/>
      </c>
      <c r="M916" s="5">
        <f t="shared" si="255"/>
        <v>45815</v>
      </c>
      <c r="O916" s="19" t="str">
        <f t="shared" si="262"/>
        <v/>
      </c>
      <c r="P916" s="5">
        <f t="shared" si="256"/>
        <v>45830</v>
      </c>
      <c r="R916" s="19" t="str">
        <f t="shared" si="263"/>
        <v/>
      </c>
      <c r="S916" s="5">
        <f t="shared" si="261"/>
        <v>45835</v>
      </c>
      <c r="T916" s="4">
        <v>45836</v>
      </c>
      <c r="U916" s="19">
        <f t="shared" si="264"/>
        <v>-1</v>
      </c>
      <c r="V916" s="5">
        <f t="shared" si="257"/>
        <v>45874</v>
      </c>
      <c r="W916" s="6">
        <v>45869</v>
      </c>
      <c r="X916" s="19">
        <f t="shared" si="265"/>
        <v>5</v>
      </c>
      <c r="Y916" s="51">
        <f t="shared" si="253"/>
        <v>45902</v>
      </c>
      <c r="Z916" s="51">
        <v>45903</v>
      </c>
      <c r="AA916" s="49">
        <f t="shared" si="266"/>
        <v>-1</v>
      </c>
      <c r="AB916" s="51">
        <f t="shared" si="258"/>
        <v>45904</v>
      </c>
      <c r="AC916" s="49">
        <f t="shared" si="259"/>
        <v>1</v>
      </c>
      <c r="AD916" s="43">
        <f t="shared" si="260"/>
        <v>45904</v>
      </c>
      <c r="AF916" s="19" t="str">
        <f t="shared" si="252"/>
        <v/>
      </c>
      <c r="AG916" s="10" t="s">
        <v>367</v>
      </c>
      <c r="AH916" s="1"/>
      <c r="AI916" s="1"/>
      <c r="AJ916" s="1"/>
      <c r="AK916" s="1"/>
      <c r="AL916" s="1"/>
    </row>
    <row r="917" spans="1:38" ht="14.45">
      <c r="A917" s="156">
        <v>916</v>
      </c>
      <c r="B917" s="59">
        <v>45904</v>
      </c>
      <c r="C917" s="34" t="s">
        <v>580</v>
      </c>
      <c r="D917" s="23" t="s">
        <v>578</v>
      </c>
      <c r="E917" s="23">
        <v>22050.6</v>
      </c>
      <c r="F917" s="23" t="s">
        <v>581</v>
      </c>
      <c r="G917" s="14" t="s">
        <v>35</v>
      </c>
      <c r="H917" s="23" t="s">
        <v>36</v>
      </c>
      <c r="I917" s="23" t="s">
        <v>62</v>
      </c>
      <c r="J917" s="97">
        <f t="shared" si="254"/>
        <v>45804</v>
      </c>
      <c r="L917" s="19" t="str">
        <f t="shared" si="267"/>
        <v/>
      </c>
      <c r="M917" s="5">
        <f t="shared" si="255"/>
        <v>45815</v>
      </c>
      <c r="O917" s="19" t="str">
        <f t="shared" si="262"/>
        <v/>
      </c>
      <c r="P917" s="5">
        <f t="shared" si="256"/>
        <v>45830</v>
      </c>
      <c r="R917" s="19" t="str">
        <f t="shared" si="263"/>
        <v/>
      </c>
      <c r="S917" s="5">
        <f t="shared" si="261"/>
        <v>45835</v>
      </c>
      <c r="U917" s="19" t="str">
        <f t="shared" si="264"/>
        <v/>
      </c>
      <c r="V917" s="5">
        <f t="shared" si="257"/>
        <v>45874</v>
      </c>
      <c r="W917" s="6">
        <v>45869</v>
      </c>
      <c r="X917" s="19">
        <f t="shared" si="265"/>
        <v>5</v>
      </c>
      <c r="Y917" s="51">
        <f t="shared" si="253"/>
        <v>45902</v>
      </c>
      <c r="Z917" s="51"/>
      <c r="AA917" s="49" t="str">
        <f t="shared" si="266"/>
        <v/>
      </c>
      <c r="AB917" s="51">
        <f t="shared" si="258"/>
        <v>45904</v>
      </c>
      <c r="AC917" s="49" t="str">
        <f t="shared" si="259"/>
        <v/>
      </c>
      <c r="AD917" s="43">
        <f t="shared" si="260"/>
        <v>45904</v>
      </c>
      <c r="AF917" s="19" t="str">
        <f t="shared" si="252"/>
        <v/>
      </c>
      <c r="AG917" s="10" t="s">
        <v>367</v>
      </c>
      <c r="AH917" s="1"/>
      <c r="AI917" s="1"/>
      <c r="AJ917" s="1"/>
      <c r="AK917" s="1"/>
      <c r="AL917" s="1"/>
    </row>
    <row r="918" spans="1:38" ht="14.45">
      <c r="A918" s="156">
        <v>917</v>
      </c>
      <c r="B918" s="59">
        <v>45904</v>
      </c>
      <c r="C918" s="34" t="s">
        <v>1933</v>
      </c>
      <c r="D918" s="23" t="s">
        <v>1934</v>
      </c>
      <c r="E918" s="23">
        <v>1167</v>
      </c>
      <c r="F918" s="23" t="s">
        <v>1935</v>
      </c>
      <c r="G918" s="14" t="s">
        <v>46</v>
      </c>
      <c r="H918" s="23" t="s">
        <v>40</v>
      </c>
      <c r="I918" s="23" t="s">
        <v>62</v>
      </c>
      <c r="J918" s="97">
        <f t="shared" si="254"/>
        <v>45804</v>
      </c>
      <c r="K918" s="4">
        <v>45803</v>
      </c>
      <c r="L918" s="19">
        <f t="shared" si="267"/>
        <v>1</v>
      </c>
      <c r="M918" s="5">
        <f t="shared" si="255"/>
        <v>45815</v>
      </c>
      <c r="O918" s="19" t="str">
        <f t="shared" si="262"/>
        <v/>
      </c>
      <c r="P918" s="5">
        <f t="shared" si="256"/>
        <v>45830</v>
      </c>
      <c r="R918" s="19" t="str">
        <f t="shared" si="263"/>
        <v/>
      </c>
      <c r="S918" s="5">
        <f t="shared" si="261"/>
        <v>45835</v>
      </c>
      <c r="T918" s="4">
        <v>45847</v>
      </c>
      <c r="U918" s="19">
        <f t="shared" si="264"/>
        <v>-12</v>
      </c>
      <c r="V918" s="5">
        <f t="shared" si="257"/>
        <v>45874</v>
      </c>
      <c r="W918" s="6">
        <v>45875</v>
      </c>
      <c r="X918" s="19">
        <f t="shared" si="265"/>
        <v>-1</v>
      </c>
      <c r="Y918" s="51">
        <f t="shared" si="253"/>
        <v>45902</v>
      </c>
      <c r="Z918" s="4">
        <v>45902</v>
      </c>
      <c r="AA918" s="49">
        <f t="shared" si="266"/>
        <v>0</v>
      </c>
      <c r="AB918" s="51">
        <f t="shared" si="258"/>
        <v>45904</v>
      </c>
      <c r="AC918" s="49">
        <f t="shared" si="259"/>
        <v>2</v>
      </c>
      <c r="AD918" s="43">
        <f t="shared" si="260"/>
        <v>45904</v>
      </c>
      <c r="AE918" s="4">
        <v>45902</v>
      </c>
      <c r="AF918" s="19">
        <f t="shared" si="252"/>
        <v>2</v>
      </c>
      <c r="AG918" s="10"/>
      <c r="AH918" s="1"/>
      <c r="AI918" s="1"/>
      <c r="AJ918" s="1"/>
      <c r="AK918" s="1"/>
      <c r="AL918" s="1"/>
    </row>
    <row r="919" spans="1:38" ht="14.45">
      <c r="A919" s="156">
        <v>918</v>
      </c>
      <c r="B919" s="59">
        <v>45904</v>
      </c>
      <c r="C919" s="34" t="s">
        <v>1936</v>
      </c>
      <c r="D919" s="23" t="s">
        <v>1934</v>
      </c>
      <c r="E919" s="23">
        <v>5715.16</v>
      </c>
      <c r="F919" s="23" t="s">
        <v>1937</v>
      </c>
      <c r="G919" s="14" t="s">
        <v>35</v>
      </c>
      <c r="H919" s="23" t="s">
        <v>40</v>
      </c>
      <c r="I919" s="23" t="s">
        <v>37</v>
      </c>
      <c r="J919" s="97">
        <f t="shared" si="254"/>
        <v>45804</v>
      </c>
      <c r="L919" s="19" t="str">
        <f t="shared" si="267"/>
        <v/>
      </c>
      <c r="M919" s="5">
        <f t="shared" si="255"/>
        <v>45815</v>
      </c>
      <c r="O919" s="19" t="str">
        <f t="shared" si="262"/>
        <v/>
      </c>
      <c r="P919" s="5">
        <f t="shared" si="256"/>
        <v>45830</v>
      </c>
      <c r="R919" s="19" t="str">
        <f t="shared" si="263"/>
        <v/>
      </c>
      <c r="S919" s="5">
        <f t="shared" si="261"/>
        <v>45835</v>
      </c>
      <c r="T919" s="4">
        <v>45840</v>
      </c>
      <c r="U919" s="19">
        <f t="shared" si="264"/>
        <v>-5</v>
      </c>
      <c r="V919" s="5">
        <f t="shared" si="257"/>
        <v>45874</v>
      </c>
      <c r="W919" s="6">
        <v>45877</v>
      </c>
      <c r="X919" s="19">
        <f t="shared" si="265"/>
        <v>-3</v>
      </c>
      <c r="Y919" s="51">
        <f t="shared" si="253"/>
        <v>45902</v>
      </c>
      <c r="Z919" s="4">
        <v>45902</v>
      </c>
      <c r="AA919" s="49">
        <f t="shared" si="266"/>
        <v>0</v>
      </c>
      <c r="AB919" s="51">
        <f t="shared" si="258"/>
        <v>45904</v>
      </c>
      <c r="AC919" s="49">
        <f t="shared" si="259"/>
        <v>2</v>
      </c>
      <c r="AD919" s="43">
        <f t="shared" si="260"/>
        <v>45904</v>
      </c>
      <c r="AE919" s="4">
        <v>45918</v>
      </c>
      <c r="AF919" s="19">
        <f t="shared" si="252"/>
        <v>-14</v>
      </c>
      <c r="AG919" s="10"/>
      <c r="AH919" s="1"/>
      <c r="AI919" s="1"/>
      <c r="AJ919" s="1"/>
      <c r="AK919" s="1"/>
      <c r="AL919" s="1"/>
    </row>
    <row r="920" spans="1:38" ht="14.45">
      <c r="A920" s="156">
        <v>919</v>
      </c>
      <c r="B920" s="59">
        <v>45905</v>
      </c>
      <c r="C920" s="34" t="s">
        <v>1938</v>
      </c>
      <c r="D920" s="23" t="s">
        <v>77</v>
      </c>
      <c r="E920" s="23">
        <v>31185.9</v>
      </c>
      <c r="F920" s="23" t="s">
        <v>1939</v>
      </c>
      <c r="G920" s="14" t="s">
        <v>46</v>
      </c>
      <c r="H920" s="23" t="s">
        <v>40</v>
      </c>
      <c r="I920" s="23" t="s">
        <v>229</v>
      </c>
      <c r="J920" s="97">
        <f t="shared" si="254"/>
        <v>45805</v>
      </c>
      <c r="K920" s="4">
        <v>45803</v>
      </c>
      <c r="L920" s="19">
        <f t="shared" si="267"/>
        <v>2</v>
      </c>
      <c r="M920" s="5">
        <f t="shared" si="255"/>
        <v>45816</v>
      </c>
      <c r="O920" s="19" t="str">
        <f t="shared" si="262"/>
        <v/>
      </c>
      <c r="P920" s="5">
        <f t="shared" si="256"/>
        <v>45831</v>
      </c>
      <c r="R920" s="19" t="str">
        <f t="shared" si="263"/>
        <v/>
      </c>
      <c r="S920" s="5">
        <f t="shared" si="261"/>
        <v>45836</v>
      </c>
      <c r="T920" s="4">
        <v>45847</v>
      </c>
      <c r="U920" s="19">
        <f t="shared" si="264"/>
        <v>-11</v>
      </c>
      <c r="V920" s="5">
        <f t="shared" si="257"/>
        <v>45875</v>
      </c>
      <c r="W920" s="6">
        <v>45881</v>
      </c>
      <c r="X920" s="19">
        <f t="shared" si="265"/>
        <v>-6</v>
      </c>
      <c r="Y920" s="51">
        <f t="shared" si="253"/>
        <v>45903</v>
      </c>
      <c r="Z920" s="4">
        <v>45905</v>
      </c>
      <c r="AA920" s="49">
        <f t="shared" si="266"/>
        <v>-2</v>
      </c>
      <c r="AB920" s="51">
        <f t="shared" si="258"/>
        <v>45905</v>
      </c>
      <c r="AC920" s="49">
        <f t="shared" si="259"/>
        <v>0</v>
      </c>
      <c r="AD920" s="43">
        <f t="shared" si="260"/>
        <v>45905</v>
      </c>
      <c r="AE920" s="4">
        <v>45905</v>
      </c>
      <c r="AF920" s="19">
        <f t="shared" si="252"/>
        <v>0</v>
      </c>
      <c r="AG920" s="10"/>
      <c r="AH920" s="1"/>
      <c r="AI920" s="1"/>
      <c r="AJ920" s="1"/>
      <c r="AK920" s="1"/>
      <c r="AL920" s="1"/>
    </row>
    <row r="921" spans="1:38" ht="14.45">
      <c r="A921" s="156">
        <v>920</v>
      </c>
      <c r="B921" s="59">
        <v>45905</v>
      </c>
      <c r="C921" s="34">
        <v>111802588</v>
      </c>
      <c r="D921" s="23" t="s">
        <v>108</v>
      </c>
      <c r="E921" s="23">
        <v>5065.05</v>
      </c>
      <c r="F921" s="23" t="s">
        <v>1940</v>
      </c>
      <c r="G921" s="14" t="s">
        <v>46</v>
      </c>
      <c r="H921" s="23" t="s">
        <v>36</v>
      </c>
      <c r="I921" s="23" t="s">
        <v>37</v>
      </c>
      <c r="J921" s="97">
        <f t="shared" si="254"/>
        <v>45805</v>
      </c>
      <c r="K921" s="4">
        <v>45803</v>
      </c>
      <c r="L921" s="19">
        <f t="shared" si="267"/>
        <v>2</v>
      </c>
      <c r="M921" s="5">
        <f t="shared" si="255"/>
        <v>45816</v>
      </c>
      <c r="O921" s="19" t="str">
        <f t="shared" si="262"/>
        <v/>
      </c>
      <c r="P921" s="5">
        <f t="shared" si="256"/>
        <v>45831</v>
      </c>
      <c r="R921" s="19" t="str">
        <f t="shared" si="263"/>
        <v/>
      </c>
      <c r="S921" s="5">
        <f t="shared" si="261"/>
        <v>45836</v>
      </c>
      <c r="T921" s="4">
        <v>45876</v>
      </c>
      <c r="U921" s="19">
        <f t="shared" si="264"/>
        <v>-40</v>
      </c>
      <c r="V921" s="5">
        <f t="shared" si="257"/>
        <v>45875</v>
      </c>
      <c r="W921" s="6">
        <v>45880</v>
      </c>
      <c r="X921" s="19">
        <f t="shared" si="265"/>
        <v>-5</v>
      </c>
      <c r="Y921" s="51">
        <f t="shared" si="253"/>
        <v>45903</v>
      </c>
      <c r="Z921" s="4">
        <v>45884</v>
      </c>
      <c r="AA921" s="49">
        <f t="shared" si="266"/>
        <v>19</v>
      </c>
      <c r="AB921" s="51">
        <f t="shared" si="258"/>
        <v>45905</v>
      </c>
      <c r="AC921" s="49">
        <f t="shared" si="259"/>
        <v>21</v>
      </c>
      <c r="AD921" s="43">
        <f t="shared" si="260"/>
        <v>45905</v>
      </c>
      <c r="AE921" s="4">
        <v>45884</v>
      </c>
      <c r="AF921" s="19">
        <f t="shared" si="252"/>
        <v>21</v>
      </c>
      <c r="AG921" s="10"/>
      <c r="AH921" s="1"/>
      <c r="AI921" s="1"/>
      <c r="AJ921" s="1"/>
      <c r="AK921" s="1"/>
      <c r="AL921" s="1"/>
    </row>
    <row r="922" spans="1:38" ht="14.45">
      <c r="A922" s="156">
        <v>921</v>
      </c>
      <c r="B922" s="59">
        <v>45905</v>
      </c>
      <c r="C922" s="34" t="s">
        <v>1941</v>
      </c>
      <c r="D922" s="23" t="s">
        <v>1942</v>
      </c>
      <c r="E922" s="23">
        <v>29495</v>
      </c>
      <c r="F922" s="23" t="s">
        <v>1943</v>
      </c>
      <c r="G922" s="14" t="s">
        <v>46</v>
      </c>
      <c r="H922" s="23" t="s">
        <v>40</v>
      </c>
      <c r="I922" s="23" t="s">
        <v>229</v>
      </c>
      <c r="J922" s="97">
        <f t="shared" si="254"/>
        <v>45805</v>
      </c>
      <c r="K922" s="4">
        <v>45803</v>
      </c>
      <c r="L922" s="19">
        <f t="shared" si="267"/>
        <v>2</v>
      </c>
      <c r="M922" s="5">
        <f t="shared" si="255"/>
        <v>45816</v>
      </c>
      <c r="O922" s="19" t="str">
        <f t="shared" si="262"/>
        <v/>
      </c>
      <c r="P922" s="5">
        <f t="shared" si="256"/>
        <v>45831</v>
      </c>
      <c r="R922" s="19" t="str">
        <f t="shared" si="263"/>
        <v/>
      </c>
      <c r="S922" s="5">
        <f t="shared" si="261"/>
        <v>45836</v>
      </c>
      <c r="T922" s="4">
        <v>45880</v>
      </c>
      <c r="U922" s="19">
        <f t="shared" si="264"/>
        <v>-44</v>
      </c>
      <c r="V922" s="5">
        <f t="shared" si="257"/>
        <v>45875</v>
      </c>
      <c r="W922" s="6">
        <v>45880</v>
      </c>
      <c r="X922" s="19">
        <f t="shared" si="265"/>
        <v>-5</v>
      </c>
      <c r="Y922" s="51">
        <f t="shared" si="253"/>
        <v>45903</v>
      </c>
      <c r="Z922" s="4">
        <v>45903</v>
      </c>
      <c r="AA922" s="49">
        <f t="shared" si="266"/>
        <v>0</v>
      </c>
      <c r="AB922" s="51">
        <f t="shared" si="258"/>
        <v>45905</v>
      </c>
      <c r="AC922" s="49">
        <f t="shared" si="259"/>
        <v>2</v>
      </c>
      <c r="AD922" s="43">
        <f t="shared" si="260"/>
        <v>45905</v>
      </c>
      <c r="AE922" s="4">
        <v>45905</v>
      </c>
      <c r="AF922" s="19">
        <f t="shared" si="252"/>
        <v>0</v>
      </c>
      <c r="AG922" s="10"/>
      <c r="AH922" s="1"/>
      <c r="AI922" s="1"/>
      <c r="AJ922" s="1"/>
      <c r="AK922" s="1"/>
      <c r="AL922" s="1"/>
    </row>
    <row r="923" spans="1:38" ht="14.45">
      <c r="A923" s="156">
        <v>922</v>
      </c>
      <c r="B923" s="59">
        <v>45906</v>
      </c>
      <c r="C923" s="34" t="s">
        <v>1944</v>
      </c>
      <c r="D923" s="23" t="s">
        <v>38</v>
      </c>
      <c r="E923" s="23">
        <v>667.5</v>
      </c>
      <c r="F923" s="23" t="s">
        <v>1945</v>
      </c>
      <c r="G923" s="14" t="s">
        <v>190</v>
      </c>
      <c r="H923" s="23" t="s">
        <v>40</v>
      </c>
      <c r="I923" s="23" t="s">
        <v>41</v>
      </c>
      <c r="J923" s="97">
        <f t="shared" si="254"/>
        <v>45806</v>
      </c>
      <c r="K923" s="4">
        <v>45806</v>
      </c>
      <c r="L923" s="19">
        <f t="shared" si="267"/>
        <v>0</v>
      </c>
      <c r="M923" s="5">
        <f t="shared" si="255"/>
        <v>45817</v>
      </c>
      <c r="N923" s="4">
        <v>45895</v>
      </c>
      <c r="O923" s="19">
        <f t="shared" si="262"/>
        <v>-78</v>
      </c>
      <c r="P923" s="5">
        <f t="shared" si="256"/>
        <v>45832</v>
      </c>
      <c r="Q923" s="4">
        <v>45896</v>
      </c>
      <c r="R923" s="19">
        <f t="shared" si="263"/>
        <v>-64</v>
      </c>
      <c r="S923" s="5">
        <f t="shared" si="261"/>
        <v>45837</v>
      </c>
      <c r="T923" s="4">
        <v>45901</v>
      </c>
      <c r="U923" s="19">
        <f t="shared" si="264"/>
        <v>-64</v>
      </c>
      <c r="V923" s="5">
        <f t="shared" si="257"/>
        <v>45876</v>
      </c>
      <c r="W923" s="6">
        <v>45876</v>
      </c>
      <c r="X923" s="19">
        <f t="shared" si="265"/>
        <v>0</v>
      </c>
      <c r="Y923" s="51">
        <f t="shared" si="253"/>
        <v>45904</v>
      </c>
      <c r="Z923" s="51">
        <v>45901</v>
      </c>
      <c r="AA923" s="49">
        <f t="shared" si="266"/>
        <v>3</v>
      </c>
      <c r="AB923" s="51">
        <f t="shared" si="258"/>
        <v>45906</v>
      </c>
      <c r="AC923" s="49">
        <f t="shared" si="259"/>
        <v>5</v>
      </c>
      <c r="AD923" s="43">
        <f t="shared" si="260"/>
        <v>45906</v>
      </c>
      <c r="AE923" s="4">
        <v>45906</v>
      </c>
      <c r="AF923" s="19">
        <f t="shared" si="252"/>
        <v>0</v>
      </c>
      <c r="AG923" s="10"/>
    </row>
    <row r="924" spans="1:38" ht="14.45">
      <c r="A924" s="156">
        <v>923</v>
      </c>
      <c r="B924" s="59">
        <v>45906</v>
      </c>
      <c r="C924" s="34">
        <v>637797523</v>
      </c>
      <c r="D924" s="23" t="s">
        <v>1946</v>
      </c>
      <c r="E924" s="23">
        <v>24574.66</v>
      </c>
      <c r="F924" s="23" t="s">
        <v>1947</v>
      </c>
      <c r="G924" s="14" t="s">
        <v>120</v>
      </c>
      <c r="H924" s="23" t="s">
        <v>40</v>
      </c>
      <c r="I924" s="23" t="s">
        <v>93</v>
      </c>
      <c r="J924" s="97">
        <f t="shared" si="254"/>
        <v>45806</v>
      </c>
      <c r="L924" s="19" t="str">
        <f t="shared" si="267"/>
        <v/>
      </c>
      <c r="M924" s="5">
        <f t="shared" si="255"/>
        <v>45817</v>
      </c>
      <c r="O924" s="19" t="str">
        <f t="shared" si="262"/>
        <v/>
      </c>
      <c r="P924" s="5">
        <f t="shared" si="256"/>
        <v>45832</v>
      </c>
      <c r="R924" s="19" t="str">
        <f t="shared" si="263"/>
        <v/>
      </c>
      <c r="S924" s="5">
        <f t="shared" si="261"/>
        <v>45837</v>
      </c>
      <c r="T924" s="4">
        <v>45833</v>
      </c>
      <c r="U924" s="19">
        <f t="shared" si="264"/>
        <v>4</v>
      </c>
      <c r="V924" s="5">
        <f t="shared" si="257"/>
        <v>45876</v>
      </c>
      <c r="W924" s="6">
        <v>45870</v>
      </c>
      <c r="X924" s="19">
        <f t="shared" si="265"/>
        <v>6</v>
      </c>
      <c r="Y924" s="51">
        <f t="shared" si="253"/>
        <v>45904</v>
      </c>
      <c r="Z924" s="4">
        <v>45902</v>
      </c>
      <c r="AA924" s="49">
        <f t="shared" si="266"/>
        <v>2</v>
      </c>
      <c r="AB924" s="51">
        <f t="shared" si="258"/>
        <v>45906</v>
      </c>
      <c r="AC924" s="49">
        <f t="shared" si="259"/>
        <v>4</v>
      </c>
      <c r="AD924" s="43">
        <f t="shared" si="260"/>
        <v>45906</v>
      </c>
      <c r="AE924" s="4">
        <v>45902</v>
      </c>
      <c r="AF924" s="19">
        <f t="shared" si="252"/>
        <v>4</v>
      </c>
      <c r="AG924" s="10"/>
      <c r="AH924" s="1"/>
      <c r="AI924" s="1"/>
      <c r="AJ924" s="1"/>
      <c r="AK924" s="1"/>
      <c r="AL924" s="1"/>
    </row>
    <row r="925" spans="1:38" ht="14.45">
      <c r="A925" s="156">
        <v>924</v>
      </c>
      <c r="B925" s="59">
        <v>45907</v>
      </c>
      <c r="C925" s="34" t="s">
        <v>1948</v>
      </c>
      <c r="D925" s="23" t="s">
        <v>1949</v>
      </c>
      <c r="E925" s="23">
        <v>4547.8500000000004</v>
      </c>
      <c r="F925" s="23" t="s">
        <v>1950</v>
      </c>
      <c r="G925" s="14" t="s">
        <v>190</v>
      </c>
      <c r="H925" s="23" t="s">
        <v>36</v>
      </c>
      <c r="I925" s="23" t="s">
        <v>37</v>
      </c>
      <c r="J925" s="97">
        <f t="shared" si="254"/>
        <v>45807</v>
      </c>
      <c r="K925" s="4">
        <v>45818</v>
      </c>
      <c r="L925" s="19">
        <f t="shared" si="267"/>
        <v>-11</v>
      </c>
      <c r="M925" s="5">
        <f t="shared" si="255"/>
        <v>45818</v>
      </c>
      <c r="N925" s="4">
        <v>45827</v>
      </c>
      <c r="O925" s="19">
        <f t="shared" si="262"/>
        <v>-9</v>
      </c>
      <c r="P925" s="5">
        <f t="shared" si="256"/>
        <v>45833</v>
      </c>
      <c r="Q925" s="4">
        <v>45831</v>
      </c>
      <c r="R925" s="19">
        <f t="shared" si="263"/>
        <v>2</v>
      </c>
      <c r="S925" s="5">
        <f t="shared" si="261"/>
        <v>45838</v>
      </c>
      <c r="T925" s="4">
        <v>45832</v>
      </c>
      <c r="U925" s="19">
        <f t="shared" si="264"/>
        <v>6</v>
      </c>
      <c r="V925" s="5">
        <f t="shared" si="257"/>
        <v>45877</v>
      </c>
      <c r="W925" s="6">
        <v>45877</v>
      </c>
      <c r="X925" s="19">
        <f t="shared" si="265"/>
        <v>0</v>
      </c>
      <c r="Y925" s="51">
        <f t="shared" si="253"/>
        <v>45905</v>
      </c>
      <c r="Z925" s="51">
        <v>45897</v>
      </c>
      <c r="AA925" s="49">
        <f t="shared" si="266"/>
        <v>8</v>
      </c>
      <c r="AB925" s="51">
        <f t="shared" si="258"/>
        <v>45907</v>
      </c>
      <c r="AC925" s="49">
        <f t="shared" si="259"/>
        <v>10</v>
      </c>
      <c r="AD925" s="43">
        <f t="shared" si="260"/>
        <v>45907</v>
      </c>
      <c r="AE925" s="4">
        <v>45898</v>
      </c>
      <c r="AF925" s="19">
        <f t="shared" si="252"/>
        <v>9</v>
      </c>
      <c r="AG925" s="10"/>
      <c r="AH925" s="1"/>
      <c r="AI925" s="1"/>
      <c r="AJ925" s="1"/>
      <c r="AK925" s="1"/>
      <c r="AL925" s="1"/>
    </row>
    <row r="926" spans="1:38" ht="14.45">
      <c r="A926" s="156">
        <v>925</v>
      </c>
      <c r="B926" s="59">
        <v>45908</v>
      </c>
      <c r="C926" s="34">
        <v>634767685</v>
      </c>
      <c r="D926" s="23" t="s">
        <v>1951</v>
      </c>
      <c r="E926" s="23">
        <v>37023.730000000003</v>
      </c>
      <c r="F926" s="23" t="s">
        <v>93</v>
      </c>
      <c r="G926" s="10" t="s">
        <v>120</v>
      </c>
      <c r="H926" s="23" t="s">
        <v>40</v>
      </c>
      <c r="I926" s="23" t="s">
        <v>93</v>
      </c>
      <c r="J926" s="97">
        <f t="shared" si="254"/>
        <v>45808</v>
      </c>
      <c r="L926" s="19" t="str">
        <f t="shared" si="267"/>
        <v/>
      </c>
      <c r="M926" s="5">
        <f t="shared" si="255"/>
        <v>45819</v>
      </c>
      <c r="O926" s="19" t="str">
        <f t="shared" si="262"/>
        <v/>
      </c>
      <c r="P926" s="5">
        <f t="shared" si="256"/>
        <v>45834</v>
      </c>
      <c r="R926" s="19" t="str">
        <f t="shared" si="263"/>
        <v/>
      </c>
      <c r="S926" s="5">
        <f t="shared" si="261"/>
        <v>45839</v>
      </c>
      <c r="T926" s="4">
        <v>45834</v>
      </c>
      <c r="U926" s="19">
        <f t="shared" si="264"/>
        <v>5</v>
      </c>
      <c r="V926" s="5">
        <f t="shared" si="257"/>
        <v>45878</v>
      </c>
      <c r="W926" s="6">
        <v>45877</v>
      </c>
      <c r="X926" s="19">
        <f t="shared" si="265"/>
        <v>1</v>
      </c>
      <c r="Y926" s="51">
        <f t="shared" si="253"/>
        <v>45906</v>
      </c>
      <c r="Z926" s="4">
        <v>45901</v>
      </c>
      <c r="AA926" s="49">
        <f t="shared" si="266"/>
        <v>5</v>
      </c>
      <c r="AB926" s="51">
        <f t="shared" si="258"/>
        <v>45908</v>
      </c>
      <c r="AC926" s="49">
        <f t="shared" si="259"/>
        <v>7</v>
      </c>
      <c r="AD926" s="43">
        <f t="shared" si="260"/>
        <v>45908</v>
      </c>
      <c r="AE926" s="4">
        <v>45901</v>
      </c>
      <c r="AF926" s="19">
        <f t="shared" si="252"/>
        <v>7</v>
      </c>
      <c r="AG926" s="10"/>
      <c r="AH926" s="1"/>
      <c r="AI926" s="1"/>
      <c r="AJ926" s="1"/>
      <c r="AK926" s="1"/>
      <c r="AL926" s="1"/>
    </row>
    <row r="927" spans="1:38" ht="14.45">
      <c r="A927" s="156">
        <v>926</v>
      </c>
      <c r="B927" s="59">
        <v>45908</v>
      </c>
      <c r="C927" s="34" t="s">
        <v>1952</v>
      </c>
      <c r="D927" s="23" t="s">
        <v>1953</v>
      </c>
      <c r="E927" s="23">
        <v>25408</v>
      </c>
      <c r="F927" s="23" t="s">
        <v>1954</v>
      </c>
      <c r="G927" s="14" t="s">
        <v>46</v>
      </c>
      <c r="H927" s="23" t="s">
        <v>40</v>
      </c>
      <c r="I927" s="23" t="s">
        <v>323</v>
      </c>
      <c r="J927" s="97">
        <f t="shared" si="254"/>
        <v>45808</v>
      </c>
      <c r="K927" s="4">
        <v>45803</v>
      </c>
      <c r="L927" s="19">
        <f t="shared" si="267"/>
        <v>5</v>
      </c>
      <c r="M927" s="5">
        <f t="shared" si="255"/>
        <v>45819</v>
      </c>
      <c r="N927" s="4">
        <v>45847</v>
      </c>
      <c r="O927" s="19">
        <f t="shared" si="262"/>
        <v>-28</v>
      </c>
      <c r="P927" s="5">
        <f t="shared" si="256"/>
        <v>45834</v>
      </c>
      <c r="R927" s="19" t="str">
        <f t="shared" si="263"/>
        <v/>
      </c>
      <c r="S927" s="5">
        <f t="shared" si="261"/>
        <v>45839</v>
      </c>
      <c r="T927" s="4">
        <v>45842</v>
      </c>
      <c r="U927" s="19">
        <f t="shared" si="264"/>
        <v>-3</v>
      </c>
      <c r="V927" s="5">
        <f t="shared" si="257"/>
        <v>45878</v>
      </c>
      <c r="W927" s="6">
        <v>45881</v>
      </c>
      <c r="X927" s="19">
        <f t="shared" si="265"/>
        <v>-3</v>
      </c>
      <c r="Y927" s="51">
        <f t="shared" si="253"/>
        <v>45906</v>
      </c>
      <c r="Z927" s="124">
        <v>45902</v>
      </c>
      <c r="AA927" s="49">
        <f t="shared" si="266"/>
        <v>4</v>
      </c>
      <c r="AB927" s="51">
        <f t="shared" si="258"/>
        <v>45908</v>
      </c>
      <c r="AC927" s="49">
        <f t="shared" si="259"/>
        <v>6</v>
      </c>
      <c r="AD927" s="43">
        <f t="shared" si="260"/>
        <v>45908</v>
      </c>
      <c r="AE927" s="4">
        <v>45912</v>
      </c>
      <c r="AF927" s="19">
        <f t="shared" si="252"/>
        <v>-4</v>
      </c>
      <c r="AG927" s="10"/>
      <c r="AH927" s="1"/>
      <c r="AI927" s="1"/>
      <c r="AJ927" s="1"/>
      <c r="AK927" s="1"/>
      <c r="AL927" s="1"/>
    </row>
    <row r="928" spans="1:38" ht="14.45">
      <c r="A928" s="156">
        <v>927</v>
      </c>
      <c r="B928" s="59">
        <v>45909</v>
      </c>
      <c r="C928" s="34" t="s">
        <v>1955</v>
      </c>
      <c r="D928" s="23" t="s">
        <v>1956</v>
      </c>
      <c r="E928" s="23">
        <v>373935.98</v>
      </c>
      <c r="F928" s="23" t="s">
        <v>1957</v>
      </c>
      <c r="G928" s="14" t="s">
        <v>35</v>
      </c>
      <c r="H928" s="23" t="s">
        <v>36</v>
      </c>
      <c r="I928" s="23" t="s">
        <v>47</v>
      </c>
      <c r="J928" s="97">
        <f t="shared" si="254"/>
        <v>45809</v>
      </c>
      <c r="L928" s="19" t="str">
        <f t="shared" si="267"/>
        <v/>
      </c>
      <c r="M928" s="5">
        <f t="shared" si="255"/>
        <v>45820</v>
      </c>
      <c r="O928" s="19" t="str">
        <f t="shared" si="262"/>
        <v/>
      </c>
      <c r="P928" s="5">
        <f t="shared" si="256"/>
        <v>45835</v>
      </c>
      <c r="R928" s="19" t="str">
        <f t="shared" si="263"/>
        <v/>
      </c>
      <c r="S928" s="5">
        <f t="shared" si="261"/>
        <v>45840</v>
      </c>
      <c r="T928" s="4">
        <v>45840</v>
      </c>
      <c r="U928" s="19">
        <f t="shared" si="264"/>
        <v>0</v>
      </c>
      <c r="V928" s="5">
        <f t="shared" si="257"/>
        <v>45879</v>
      </c>
      <c r="W928" s="6">
        <v>45880</v>
      </c>
      <c r="X928" s="19">
        <f t="shared" si="265"/>
        <v>-1</v>
      </c>
      <c r="Y928" s="51">
        <f t="shared" si="253"/>
        <v>45907</v>
      </c>
      <c r="Z928" s="51">
        <v>45908</v>
      </c>
      <c r="AA928" s="49">
        <f t="shared" si="266"/>
        <v>-1</v>
      </c>
      <c r="AB928" s="51">
        <f t="shared" si="258"/>
        <v>45909</v>
      </c>
      <c r="AC928" s="49">
        <f t="shared" si="259"/>
        <v>1</v>
      </c>
      <c r="AD928" s="43">
        <f t="shared" si="260"/>
        <v>45909</v>
      </c>
      <c r="AE928" s="4">
        <v>45925</v>
      </c>
      <c r="AF928" s="19">
        <f t="shared" si="252"/>
        <v>-16</v>
      </c>
      <c r="AG928" s="10"/>
      <c r="AH928" s="1"/>
      <c r="AI928" s="1"/>
      <c r="AJ928" s="1"/>
      <c r="AK928" s="1"/>
      <c r="AL928" s="1"/>
    </row>
    <row r="929" spans="1:38" ht="14.45">
      <c r="A929" s="156">
        <v>928</v>
      </c>
      <c r="B929" s="59">
        <v>45909</v>
      </c>
      <c r="C929" s="34" t="s">
        <v>1958</v>
      </c>
      <c r="D929" s="23" t="s">
        <v>1959</v>
      </c>
      <c r="E929" s="23">
        <v>65637.34</v>
      </c>
      <c r="F929" s="23" t="s">
        <v>1960</v>
      </c>
      <c r="G929" s="14" t="s">
        <v>35</v>
      </c>
      <c r="H929" s="23" t="s">
        <v>36</v>
      </c>
      <c r="I929" s="23" t="s">
        <v>93</v>
      </c>
      <c r="J929" s="97">
        <f t="shared" si="254"/>
        <v>45809</v>
      </c>
      <c r="L929" s="19" t="str">
        <f t="shared" si="267"/>
        <v/>
      </c>
      <c r="M929" s="5">
        <f t="shared" si="255"/>
        <v>45820</v>
      </c>
      <c r="O929" s="19" t="str">
        <f t="shared" si="262"/>
        <v/>
      </c>
      <c r="P929" s="5">
        <f t="shared" si="256"/>
        <v>45835</v>
      </c>
      <c r="R929" s="19" t="str">
        <f t="shared" si="263"/>
        <v/>
      </c>
      <c r="S929" s="5">
        <f t="shared" si="261"/>
        <v>45840</v>
      </c>
      <c r="T929" s="4">
        <v>45840</v>
      </c>
      <c r="U929" s="19">
        <f t="shared" si="264"/>
        <v>0</v>
      </c>
      <c r="V929" s="5">
        <f t="shared" si="257"/>
        <v>45879</v>
      </c>
      <c r="W929" s="6">
        <v>45881</v>
      </c>
      <c r="X929" s="19">
        <f t="shared" si="265"/>
        <v>-2</v>
      </c>
      <c r="Y929" s="51">
        <f t="shared" si="253"/>
        <v>45907</v>
      </c>
      <c r="Z929" s="51">
        <v>45894</v>
      </c>
      <c r="AA929" s="49">
        <f t="shared" si="266"/>
        <v>13</v>
      </c>
      <c r="AB929" s="51">
        <f t="shared" si="258"/>
        <v>45909</v>
      </c>
      <c r="AC929" s="49">
        <f t="shared" si="259"/>
        <v>15</v>
      </c>
      <c r="AD929" s="43">
        <f t="shared" si="260"/>
        <v>45909</v>
      </c>
      <c r="AE929" s="4">
        <v>45894</v>
      </c>
      <c r="AF929" s="19">
        <f t="shared" si="252"/>
        <v>15</v>
      </c>
      <c r="AG929" s="10"/>
      <c r="AH929" s="1"/>
      <c r="AI929" s="1"/>
      <c r="AJ929" s="1"/>
      <c r="AK929" s="1"/>
      <c r="AL929" s="1"/>
    </row>
    <row r="930" spans="1:38" ht="14.45">
      <c r="A930" s="156">
        <v>929</v>
      </c>
      <c r="B930" s="59">
        <v>45909</v>
      </c>
      <c r="C930" s="34">
        <v>644078503</v>
      </c>
      <c r="D930" s="23" t="s">
        <v>1961</v>
      </c>
      <c r="E930" s="23">
        <v>11264.95</v>
      </c>
      <c r="F930" s="23" t="s">
        <v>1962</v>
      </c>
      <c r="G930" s="23" t="s">
        <v>51</v>
      </c>
      <c r="H930" s="23" t="s">
        <v>40</v>
      </c>
      <c r="I930" s="23" t="s">
        <v>93</v>
      </c>
      <c r="J930" s="97">
        <f t="shared" si="254"/>
        <v>45809</v>
      </c>
      <c r="K930" s="4">
        <v>45833</v>
      </c>
      <c r="L930" s="19">
        <f t="shared" si="267"/>
        <v>-24</v>
      </c>
      <c r="M930" s="5">
        <f t="shared" si="255"/>
        <v>45820</v>
      </c>
      <c r="N930" s="4">
        <v>45833</v>
      </c>
      <c r="O930" s="19">
        <f t="shared" si="262"/>
        <v>-13</v>
      </c>
      <c r="P930" s="5">
        <f t="shared" si="256"/>
        <v>45835</v>
      </c>
      <c r="R930" s="19" t="str">
        <f t="shared" si="263"/>
        <v/>
      </c>
      <c r="S930" s="5">
        <f t="shared" si="261"/>
        <v>45840</v>
      </c>
      <c r="T930" s="4">
        <v>45839</v>
      </c>
      <c r="U930" s="19">
        <f t="shared" si="264"/>
        <v>1</v>
      </c>
      <c r="V930" s="5">
        <f t="shared" si="257"/>
        <v>45879</v>
      </c>
      <c r="W930" s="6">
        <v>45887</v>
      </c>
      <c r="X930" s="19">
        <f t="shared" si="265"/>
        <v>-8</v>
      </c>
      <c r="Y930" s="51">
        <f t="shared" si="253"/>
        <v>45907</v>
      </c>
      <c r="Z930" s="51">
        <v>45905</v>
      </c>
      <c r="AA930" s="49">
        <f>IF(OR(Y930="", Z930=""), "", Y930-Z930)</f>
        <v>2</v>
      </c>
      <c r="AB930" s="51">
        <f t="shared" si="258"/>
        <v>45909</v>
      </c>
      <c r="AC930" s="49">
        <f t="shared" si="259"/>
        <v>4</v>
      </c>
      <c r="AD930" s="43">
        <f t="shared" si="260"/>
        <v>45909</v>
      </c>
      <c r="AE930" s="4">
        <v>45905</v>
      </c>
      <c r="AF930" s="19">
        <f>IF(OR(AD930="", AE930=""), "", AD930-AE930)</f>
        <v>4</v>
      </c>
      <c r="AG930" s="10"/>
      <c r="AH930" s="1"/>
      <c r="AI930" s="1"/>
      <c r="AJ930" s="1"/>
      <c r="AK930" s="1"/>
      <c r="AL930" s="1"/>
    </row>
    <row r="931" spans="1:38" ht="14.45">
      <c r="A931" s="156">
        <v>930</v>
      </c>
      <c r="B931" s="59">
        <v>45911</v>
      </c>
      <c r="C931" s="34" t="s">
        <v>1963</v>
      </c>
      <c r="D931" s="23" t="s">
        <v>1964</v>
      </c>
      <c r="E931" s="23">
        <v>4274.91</v>
      </c>
      <c r="F931" s="23" t="s">
        <v>1965</v>
      </c>
      <c r="G931" s="14" t="s">
        <v>35</v>
      </c>
      <c r="H931" s="23" t="s">
        <v>36</v>
      </c>
      <c r="I931" s="23" t="s">
        <v>93</v>
      </c>
      <c r="J931" s="97">
        <f t="shared" si="254"/>
        <v>45811</v>
      </c>
      <c r="L931" s="19" t="str">
        <f t="shared" si="267"/>
        <v/>
      </c>
      <c r="M931" s="5">
        <f t="shared" si="255"/>
        <v>45822</v>
      </c>
      <c r="O931" s="19" t="str">
        <f t="shared" si="262"/>
        <v/>
      </c>
      <c r="P931" s="5">
        <f t="shared" si="256"/>
        <v>45837</v>
      </c>
      <c r="R931" s="19" t="str">
        <f t="shared" si="263"/>
        <v/>
      </c>
      <c r="S931" s="5">
        <f t="shared" si="261"/>
        <v>45842</v>
      </c>
      <c r="T931" s="4">
        <v>45842</v>
      </c>
      <c r="U931" s="19">
        <f t="shared" si="264"/>
        <v>0</v>
      </c>
      <c r="V931" s="5">
        <f t="shared" si="257"/>
        <v>45881</v>
      </c>
      <c r="W931" s="6">
        <v>45882</v>
      </c>
      <c r="X931" s="19">
        <f t="shared" si="265"/>
        <v>-1</v>
      </c>
      <c r="Y931" s="51">
        <f t="shared" si="253"/>
        <v>45909</v>
      </c>
      <c r="Z931" s="51">
        <v>45909</v>
      </c>
      <c r="AA931" s="49">
        <f t="shared" si="266"/>
        <v>0</v>
      </c>
      <c r="AB931" s="51">
        <f t="shared" si="258"/>
        <v>45911</v>
      </c>
      <c r="AC931" s="49">
        <f t="shared" si="259"/>
        <v>2</v>
      </c>
      <c r="AD931" s="43">
        <f t="shared" si="260"/>
        <v>45911</v>
      </c>
      <c r="AE931" s="4">
        <v>45911</v>
      </c>
      <c r="AF931" s="19">
        <f t="shared" si="252"/>
        <v>0</v>
      </c>
      <c r="AG931" s="10"/>
      <c r="AH931" s="1"/>
      <c r="AI931" s="1"/>
      <c r="AJ931" s="1"/>
      <c r="AK931" s="1"/>
      <c r="AL931" s="1"/>
    </row>
    <row r="932" spans="1:38" ht="14.45">
      <c r="A932" s="156">
        <v>931</v>
      </c>
      <c r="B932" s="59">
        <v>45911</v>
      </c>
      <c r="C932" s="34" t="s">
        <v>1966</v>
      </c>
      <c r="D932" s="23" t="s">
        <v>38</v>
      </c>
      <c r="E932" s="23">
        <v>35.4</v>
      </c>
      <c r="F932" s="23" t="s">
        <v>1967</v>
      </c>
      <c r="G932" s="14" t="s">
        <v>190</v>
      </c>
      <c r="H932" s="23" t="s">
        <v>40</v>
      </c>
      <c r="I932" s="23" t="s">
        <v>41</v>
      </c>
      <c r="J932" s="97">
        <f t="shared" si="254"/>
        <v>45811</v>
      </c>
      <c r="K932" s="4">
        <v>45811</v>
      </c>
      <c r="L932" s="19">
        <f t="shared" si="267"/>
        <v>0</v>
      </c>
      <c r="M932" s="5">
        <f t="shared" si="255"/>
        <v>45822</v>
      </c>
      <c r="N932" s="4">
        <v>45895</v>
      </c>
      <c r="O932" s="19">
        <f t="shared" si="262"/>
        <v>-73</v>
      </c>
      <c r="P932" s="5">
        <f t="shared" si="256"/>
        <v>45837</v>
      </c>
      <c r="Q932" s="4">
        <v>45896</v>
      </c>
      <c r="R932" s="19">
        <f t="shared" si="263"/>
        <v>-59</v>
      </c>
      <c r="S932" s="5">
        <f t="shared" si="261"/>
        <v>45842</v>
      </c>
      <c r="T932" s="4">
        <v>45901</v>
      </c>
      <c r="U932" s="19">
        <f t="shared" si="264"/>
        <v>-59</v>
      </c>
      <c r="V932" s="5">
        <f t="shared" si="257"/>
        <v>45881</v>
      </c>
      <c r="W932" s="6">
        <v>45881</v>
      </c>
      <c r="X932" s="19">
        <f t="shared" si="265"/>
        <v>0</v>
      </c>
      <c r="Y932" s="51">
        <f t="shared" si="253"/>
        <v>45909</v>
      </c>
      <c r="Z932" s="51">
        <v>45901</v>
      </c>
      <c r="AA932" s="49">
        <f t="shared" si="266"/>
        <v>8</v>
      </c>
      <c r="AB932" s="51">
        <f t="shared" si="258"/>
        <v>45911</v>
      </c>
      <c r="AC932" s="49">
        <f t="shared" si="259"/>
        <v>10</v>
      </c>
      <c r="AD932" s="43">
        <f t="shared" si="260"/>
        <v>45911</v>
      </c>
      <c r="AE932" s="4">
        <v>45912</v>
      </c>
      <c r="AF932" s="19">
        <f t="shared" si="252"/>
        <v>-1</v>
      </c>
      <c r="AG932" s="10"/>
    </row>
    <row r="933" spans="1:38" ht="14.45">
      <c r="A933" s="156">
        <v>932</v>
      </c>
      <c r="B933" s="59">
        <v>45911</v>
      </c>
      <c r="C933" s="34" t="s">
        <v>1968</v>
      </c>
      <c r="D933" s="23" t="s">
        <v>38</v>
      </c>
      <c r="E933" s="23">
        <v>247.66</v>
      </c>
      <c r="F933" s="23" t="s">
        <v>1969</v>
      </c>
      <c r="G933" s="14" t="s">
        <v>190</v>
      </c>
      <c r="H933" s="23" t="s">
        <v>40</v>
      </c>
      <c r="I933" s="23" t="s">
        <v>41</v>
      </c>
      <c r="J933" s="97">
        <f t="shared" si="254"/>
        <v>45811</v>
      </c>
      <c r="K933" s="4">
        <v>45811</v>
      </c>
      <c r="L933" s="19">
        <f t="shared" si="267"/>
        <v>0</v>
      </c>
      <c r="M933" s="5">
        <f t="shared" si="255"/>
        <v>45822</v>
      </c>
      <c r="N933" s="4">
        <v>45895</v>
      </c>
      <c r="O933" s="19">
        <f t="shared" si="262"/>
        <v>-73</v>
      </c>
      <c r="P933" s="5">
        <f t="shared" si="256"/>
        <v>45837</v>
      </c>
      <c r="Q933" s="4">
        <v>45896</v>
      </c>
      <c r="R933" s="19">
        <f t="shared" si="263"/>
        <v>-59</v>
      </c>
      <c r="S933" s="5">
        <f t="shared" si="261"/>
        <v>45842</v>
      </c>
      <c r="T933" s="4">
        <v>45901</v>
      </c>
      <c r="U933" s="19">
        <f t="shared" si="264"/>
        <v>-59</v>
      </c>
      <c r="V933" s="5">
        <f t="shared" si="257"/>
        <v>45881</v>
      </c>
      <c r="W933" s="6">
        <v>45881</v>
      </c>
      <c r="X933" s="19">
        <f t="shared" si="265"/>
        <v>0</v>
      </c>
      <c r="Y933" s="51">
        <f t="shared" si="253"/>
        <v>45909</v>
      </c>
      <c r="Z933" s="51">
        <v>45901</v>
      </c>
      <c r="AA933" s="49">
        <f t="shared" si="266"/>
        <v>8</v>
      </c>
      <c r="AB933" s="51">
        <f t="shared" si="258"/>
        <v>45911</v>
      </c>
      <c r="AC933" s="49">
        <f t="shared" si="259"/>
        <v>10</v>
      </c>
      <c r="AD933" s="43">
        <f t="shared" si="260"/>
        <v>45911</v>
      </c>
      <c r="AE933" s="4">
        <v>45912</v>
      </c>
      <c r="AF933" s="19">
        <f t="shared" si="252"/>
        <v>-1</v>
      </c>
      <c r="AG933" s="10"/>
    </row>
    <row r="934" spans="1:38" ht="14.45">
      <c r="A934" s="156">
        <v>933</v>
      </c>
      <c r="B934" s="59">
        <v>45911</v>
      </c>
      <c r="C934" s="34" t="s">
        <v>1970</v>
      </c>
      <c r="D934" s="23" t="s">
        <v>38</v>
      </c>
      <c r="E934" s="23">
        <v>103.44</v>
      </c>
      <c r="F934" s="23" t="s">
        <v>1971</v>
      </c>
      <c r="G934" s="14" t="s">
        <v>190</v>
      </c>
      <c r="H934" s="23" t="s">
        <v>40</v>
      </c>
      <c r="I934" s="23" t="s">
        <v>41</v>
      </c>
      <c r="J934" s="97">
        <f t="shared" si="254"/>
        <v>45811</v>
      </c>
      <c r="K934" s="4">
        <v>45811</v>
      </c>
      <c r="L934" s="19">
        <f t="shared" si="267"/>
        <v>0</v>
      </c>
      <c r="M934" s="5">
        <f t="shared" si="255"/>
        <v>45822</v>
      </c>
      <c r="N934" s="4">
        <v>45895</v>
      </c>
      <c r="O934" s="19">
        <f t="shared" si="262"/>
        <v>-73</v>
      </c>
      <c r="P934" s="5">
        <f t="shared" si="256"/>
        <v>45837</v>
      </c>
      <c r="Q934" s="4">
        <v>45896</v>
      </c>
      <c r="R934" s="19">
        <f t="shared" si="263"/>
        <v>-59</v>
      </c>
      <c r="S934" s="5">
        <f t="shared" si="261"/>
        <v>45842</v>
      </c>
      <c r="T934" s="4">
        <v>45901</v>
      </c>
      <c r="U934" s="19">
        <f t="shared" si="264"/>
        <v>-59</v>
      </c>
      <c r="V934" s="5">
        <f t="shared" si="257"/>
        <v>45881</v>
      </c>
      <c r="W934" s="6">
        <v>45881</v>
      </c>
      <c r="X934" s="19">
        <f t="shared" si="265"/>
        <v>0</v>
      </c>
      <c r="Y934" s="51">
        <f t="shared" si="253"/>
        <v>45909</v>
      </c>
      <c r="Z934" s="51">
        <v>45901</v>
      </c>
      <c r="AA934" s="49">
        <f t="shared" si="266"/>
        <v>8</v>
      </c>
      <c r="AB934" s="51">
        <f t="shared" si="258"/>
        <v>45911</v>
      </c>
      <c r="AC934" s="49">
        <f t="shared" si="259"/>
        <v>10</v>
      </c>
      <c r="AD934" s="43">
        <f t="shared" si="260"/>
        <v>45911</v>
      </c>
      <c r="AE934" s="4">
        <v>45912</v>
      </c>
      <c r="AF934" s="19">
        <f t="shared" si="252"/>
        <v>-1</v>
      </c>
      <c r="AG934" s="10"/>
    </row>
    <row r="935" spans="1:38" ht="14.45">
      <c r="A935" s="156">
        <v>934</v>
      </c>
      <c r="B935" s="59">
        <v>45911</v>
      </c>
      <c r="C935" s="34">
        <v>651968596</v>
      </c>
      <c r="D935" s="23" t="s">
        <v>1972</v>
      </c>
      <c r="E935" s="23">
        <v>24396.89</v>
      </c>
      <c r="F935" s="23" t="s">
        <v>1973</v>
      </c>
      <c r="G935" s="14" t="s">
        <v>51</v>
      </c>
      <c r="H935" s="23" t="s">
        <v>40</v>
      </c>
      <c r="I935" s="23" t="s">
        <v>93</v>
      </c>
      <c r="J935" s="97">
        <f t="shared" si="254"/>
        <v>45811</v>
      </c>
      <c r="K935" s="4">
        <v>45833</v>
      </c>
      <c r="L935" s="19">
        <f t="shared" si="267"/>
        <v>-22</v>
      </c>
      <c r="M935" s="5">
        <f t="shared" si="255"/>
        <v>45822</v>
      </c>
      <c r="O935" s="19" t="str">
        <f t="shared" si="262"/>
        <v/>
      </c>
      <c r="P935" s="5">
        <f t="shared" si="256"/>
        <v>45837</v>
      </c>
      <c r="R935" s="19" t="str">
        <f t="shared" si="263"/>
        <v/>
      </c>
      <c r="S935" s="5">
        <f t="shared" si="261"/>
        <v>45842</v>
      </c>
      <c r="T935" s="4">
        <v>45841</v>
      </c>
      <c r="U935" s="19">
        <f t="shared" si="264"/>
        <v>1</v>
      </c>
      <c r="V935" s="5">
        <f t="shared" si="257"/>
        <v>45881</v>
      </c>
      <c r="W935" s="6">
        <v>45887</v>
      </c>
      <c r="X935" s="19">
        <f t="shared" si="265"/>
        <v>-6</v>
      </c>
      <c r="Y935" s="51">
        <f t="shared" si="253"/>
        <v>45909</v>
      </c>
      <c r="Z935" s="51">
        <v>45911</v>
      </c>
      <c r="AA935" s="49">
        <v>-2</v>
      </c>
      <c r="AB935" s="51">
        <f t="shared" si="258"/>
        <v>45911</v>
      </c>
      <c r="AC935" s="49">
        <f t="shared" si="259"/>
        <v>0</v>
      </c>
      <c r="AD935" s="43">
        <f t="shared" si="260"/>
        <v>45911</v>
      </c>
      <c r="AE935" s="4">
        <v>45919</v>
      </c>
      <c r="AF935" s="19">
        <f t="shared" si="252"/>
        <v>-8</v>
      </c>
      <c r="AG935" s="10"/>
      <c r="AH935" s="1"/>
      <c r="AI935" s="1"/>
      <c r="AJ935" s="1"/>
      <c r="AK935" s="1"/>
      <c r="AL935" s="1"/>
    </row>
    <row r="936" spans="1:38" ht="14.45">
      <c r="A936" s="156">
        <v>935</v>
      </c>
      <c r="B936" s="59">
        <v>45911</v>
      </c>
      <c r="C936" s="34" t="s">
        <v>1974</v>
      </c>
      <c r="D936" s="23" t="s">
        <v>1975</v>
      </c>
      <c r="E936" s="23">
        <v>5527.49</v>
      </c>
      <c r="F936" s="23" t="s">
        <v>1976</v>
      </c>
      <c r="G936" s="14" t="s">
        <v>46</v>
      </c>
      <c r="H936" s="23" t="s">
        <v>36</v>
      </c>
      <c r="I936" s="23" t="s">
        <v>37</v>
      </c>
      <c r="J936" s="97">
        <f t="shared" si="254"/>
        <v>45811</v>
      </c>
      <c r="K936" s="4">
        <v>45803</v>
      </c>
      <c r="L936" s="19">
        <f t="shared" si="267"/>
        <v>8</v>
      </c>
      <c r="M936" s="5">
        <f t="shared" si="255"/>
        <v>45822</v>
      </c>
      <c r="N936" s="4">
        <v>45847</v>
      </c>
      <c r="O936" s="19">
        <f t="shared" si="262"/>
        <v>-25</v>
      </c>
      <c r="P936" s="5">
        <f t="shared" si="256"/>
        <v>45837</v>
      </c>
      <c r="R936" s="19" t="str">
        <f t="shared" si="263"/>
        <v/>
      </c>
      <c r="S936" s="5">
        <f t="shared" si="261"/>
        <v>45842</v>
      </c>
      <c r="T936" s="4">
        <v>45847</v>
      </c>
      <c r="U936" s="19">
        <f t="shared" si="264"/>
        <v>-5</v>
      </c>
      <c r="V936" s="5">
        <f t="shared" si="257"/>
        <v>45881</v>
      </c>
      <c r="W936" s="6">
        <v>45884</v>
      </c>
      <c r="X936" s="19">
        <f t="shared" si="265"/>
        <v>-3</v>
      </c>
      <c r="Y936" s="51">
        <f t="shared" si="253"/>
        <v>45909</v>
      </c>
      <c r="Z936" s="124">
        <v>45905</v>
      </c>
      <c r="AA936" s="49">
        <f t="shared" si="266"/>
        <v>4</v>
      </c>
      <c r="AB936" s="51">
        <f t="shared" si="258"/>
        <v>45911</v>
      </c>
      <c r="AC936" s="49">
        <f t="shared" si="259"/>
        <v>6</v>
      </c>
      <c r="AD936" s="43">
        <f t="shared" si="260"/>
        <v>45911</v>
      </c>
      <c r="AE936" s="4">
        <v>45905</v>
      </c>
      <c r="AF936" s="19">
        <f t="shared" si="252"/>
        <v>6</v>
      </c>
      <c r="AG936" s="10"/>
      <c r="AH936" s="1"/>
      <c r="AI936" s="1"/>
      <c r="AJ936" s="1"/>
      <c r="AK936" s="1"/>
      <c r="AL936" s="1"/>
    </row>
    <row r="937" spans="1:38" ht="14.45">
      <c r="A937" s="156">
        <v>936</v>
      </c>
      <c r="B937" s="59">
        <v>45912</v>
      </c>
      <c r="C937" s="34" t="s">
        <v>1977</v>
      </c>
      <c r="D937" s="23" t="s">
        <v>1978</v>
      </c>
      <c r="E937" s="23">
        <v>8614.32</v>
      </c>
      <c r="F937" s="23" t="s">
        <v>1979</v>
      </c>
      <c r="G937" s="14" t="s">
        <v>46</v>
      </c>
      <c r="H937" s="23" t="s">
        <v>36</v>
      </c>
      <c r="I937" s="23" t="s">
        <v>37</v>
      </c>
      <c r="J937" s="97">
        <f t="shared" si="254"/>
        <v>45812</v>
      </c>
      <c r="K937" s="4">
        <v>45803</v>
      </c>
      <c r="L937" s="19">
        <f t="shared" si="267"/>
        <v>9</v>
      </c>
      <c r="M937" s="5">
        <f t="shared" si="255"/>
        <v>45823</v>
      </c>
      <c r="O937" s="19" t="str">
        <f t="shared" si="262"/>
        <v/>
      </c>
      <c r="P937" s="5">
        <f t="shared" si="256"/>
        <v>45838</v>
      </c>
      <c r="R937" s="19" t="str">
        <f t="shared" si="263"/>
        <v/>
      </c>
      <c r="S937" s="5">
        <f t="shared" si="261"/>
        <v>45843</v>
      </c>
      <c r="T937" s="4">
        <v>45847</v>
      </c>
      <c r="U937" s="19">
        <f t="shared" si="264"/>
        <v>-4</v>
      </c>
      <c r="V937" s="5">
        <f t="shared" si="257"/>
        <v>45882</v>
      </c>
      <c r="W937" s="6">
        <v>45884</v>
      </c>
      <c r="X937" s="19">
        <f t="shared" si="265"/>
        <v>-2</v>
      </c>
      <c r="Y937" s="51">
        <f t="shared" si="253"/>
        <v>45910</v>
      </c>
      <c r="Z937" s="124">
        <v>45905</v>
      </c>
      <c r="AA937" s="49">
        <f t="shared" si="266"/>
        <v>5</v>
      </c>
      <c r="AB937" s="51">
        <f t="shared" si="258"/>
        <v>45912</v>
      </c>
      <c r="AC937" s="49">
        <f t="shared" si="259"/>
        <v>7</v>
      </c>
      <c r="AD937" s="43">
        <f t="shared" si="260"/>
        <v>45912</v>
      </c>
      <c r="AE937" s="4">
        <v>45905</v>
      </c>
      <c r="AF937" s="19">
        <f t="shared" si="252"/>
        <v>7</v>
      </c>
      <c r="AG937" s="10"/>
      <c r="AH937" s="1"/>
      <c r="AI937" s="1"/>
      <c r="AJ937" s="1"/>
      <c r="AK937" s="1"/>
      <c r="AL937" s="1"/>
    </row>
    <row r="938" spans="1:38" ht="14.45">
      <c r="A938" s="156">
        <v>937</v>
      </c>
      <c r="B938" s="59">
        <v>45912</v>
      </c>
      <c r="C938" s="34" t="s">
        <v>1980</v>
      </c>
      <c r="D938" s="23" t="s">
        <v>38</v>
      </c>
      <c r="E938" s="23">
        <v>695.76</v>
      </c>
      <c r="F938" s="23" t="s">
        <v>1981</v>
      </c>
      <c r="G938" s="14" t="s">
        <v>190</v>
      </c>
      <c r="H938" s="23" t="s">
        <v>40</v>
      </c>
      <c r="I938" s="23" t="s">
        <v>41</v>
      </c>
      <c r="J938" s="97">
        <f t="shared" si="254"/>
        <v>45812</v>
      </c>
      <c r="K938" s="4">
        <v>45812</v>
      </c>
      <c r="L938" s="19">
        <f t="shared" si="267"/>
        <v>0</v>
      </c>
      <c r="M938" s="5">
        <f t="shared" si="255"/>
        <v>45823</v>
      </c>
      <c r="N938" s="4">
        <v>45895</v>
      </c>
      <c r="O938" s="19">
        <f t="shared" si="262"/>
        <v>-72</v>
      </c>
      <c r="P938" s="5">
        <f t="shared" si="256"/>
        <v>45838</v>
      </c>
      <c r="Q938" s="4">
        <v>45896</v>
      </c>
      <c r="R938" s="19">
        <f t="shared" si="263"/>
        <v>-58</v>
      </c>
      <c r="S938" s="5">
        <f t="shared" si="261"/>
        <v>45843</v>
      </c>
      <c r="T938" s="4">
        <v>45901</v>
      </c>
      <c r="U938" s="19">
        <f t="shared" si="264"/>
        <v>-58</v>
      </c>
      <c r="V938" s="5">
        <f t="shared" si="257"/>
        <v>45882</v>
      </c>
      <c r="W938" s="6">
        <v>45882</v>
      </c>
      <c r="X938" s="19">
        <f t="shared" si="265"/>
        <v>0</v>
      </c>
      <c r="Y938" s="51">
        <f t="shared" si="253"/>
        <v>45910</v>
      </c>
      <c r="Z938" s="51">
        <v>45901</v>
      </c>
      <c r="AA938" s="49">
        <f t="shared" si="266"/>
        <v>9</v>
      </c>
      <c r="AB938" s="51">
        <f t="shared" si="258"/>
        <v>45912</v>
      </c>
      <c r="AC938" s="49">
        <f t="shared" si="259"/>
        <v>11</v>
      </c>
      <c r="AD938" s="43">
        <f t="shared" si="260"/>
        <v>45912</v>
      </c>
      <c r="AE938" s="4">
        <v>45912</v>
      </c>
      <c r="AF938" s="19">
        <f t="shared" si="252"/>
        <v>0</v>
      </c>
      <c r="AG938" s="10"/>
    </row>
    <row r="939" spans="1:38" ht="14.45">
      <c r="A939" s="156">
        <v>938</v>
      </c>
      <c r="B939" s="59">
        <v>45912</v>
      </c>
      <c r="C939" s="34" t="s">
        <v>1982</v>
      </c>
      <c r="D939" s="23" t="s">
        <v>1983</v>
      </c>
      <c r="E939" s="23">
        <v>22670.87</v>
      </c>
      <c r="F939" s="23" t="s">
        <v>37</v>
      </c>
      <c r="G939" s="14" t="s">
        <v>35</v>
      </c>
      <c r="H939" s="23" t="s">
        <v>36</v>
      </c>
      <c r="I939" s="23" t="s">
        <v>37</v>
      </c>
      <c r="J939" s="97">
        <f t="shared" si="254"/>
        <v>45812</v>
      </c>
      <c r="L939" s="19" t="str">
        <f t="shared" si="267"/>
        <v/>
      </c>
      <c r="M939" s="5">
        <f t="shared" si="255"/>
        <v>45823</v>
      </c>
      <c r="O939" s="19" t="str">
        <f t="shared" si="262"/>
        <v/>
      </c>
      <c r="P939" s="5">
        <f t="shared" si="256"/>
        <v>45838</v>
      </c>
      <c r="R939" s="19" t="str">
        <f t="shared" si="263"/>
        <v/>
      </c>
      <c r="S939" s="5">
        <f t="shared" si="261"/>
        <v>45843</v>
      </c>
      <c r="T939" s="4">
        <v>45843</v>
      </c>
      <c r="U939" s="19">
        <f t="shared" si="264"/>
        <v>0</v>
      </c>
      <c r="V939" s="5">
        <f t="shared" si="257"/>
        <v>45882</v>
      </c>
      <c r="W939" s="6">
        <v>45883</v>
      </c>
      <c r="X939" s="19">
        <f t="shared" si="265"/>
        <v>-1</v>
      </c>
      <c r="Y939" s="51">
        <f t="shared" si="253"/>
        <v>45910</v>
      </c>
      <c r="Z939" s="51">
        <v>45909</v>
      </c>
      <c r="AA939" s="49">
        <f t="shared" si="266"/>
        <v>1</v>
      </c>
      <c r="AB939" s="51">
        <f t="shared" si="258"/>
        <v>45912</v>
      </c>
      <c r="AC939" s="49">
        <f t="shared" si="259"/>
        <v>3</v>
      </c>
      <c r="AD939" s="43">
        <f t="shared" si="260"/>
        <v>45912</v>
      </c>
      <c r="AE939" s="4">
        <v>45917</v>
      </c>
      <c r="AF939" s="19">
        <f t="shared" si="252"/>
        <v>-5</v>
      </c>
      <c r="AG939" s="10"/>
      <c r="AH939" s="1"/>
      <c r="AI939" s="1"/>
      <c r="AJ939" s="1"/>
      <c r="AK939" s="1"/>
      <c r="AL939" s="1"/>
    </row>
    <row r="940" spans="1:38" ht="14.45">
      <c r="A940" s="156">
        <v>939</v>
      </c>
      <c r="B940" s="59">
        <v>45913</v>
      </c>
      <c r="C940" s="34" t="s">
        <v>1984</v>
      </c>
      <c r="D940" s="23" t="s">
        <v>1985</v>
      </c>
      <c r="E940" s="23">
        <v>11316</v>
      </c>
      <c r="F940" s="23" t="s">
        <v>1986</v>
      </c>
      <c r="G940" s="14" t="s">
        <v>46</v>
      </c>
      <c r="H940" s="23" t="s">
        <v>36</v>
      </c>
      <c r="I940" s="23" t="s">
        <v>62</v>
      </c>
      <c r="J940" s="97">
        <f t="shared" si="254"/>
        <v>45813</v>
      </c>
      <c r="K940" s="4">
        <v>45803</v>
      </c>
      <c r="L940" s="19">
        <f t="shared" si="267"/>
        <v>10</v>
      </c>
      <c r="M940" s="5">
        <f t="shared" si="255"/>
        <v>45824</v>
      </c>
      <c r="O940" s="19" t="str">
        <f t="shared" si="262"/>
        <v/>
      </c>
      <c r="P940" s="5">
        <f t="shared" si="256"/>
        <v>45839</v>
      </c>
      <c r="R940" s="19" t="str">
        <f t="shared" si="263"/>
        <v/>
      </c>
      <c r="S940" s="5">
        <f t="shared" si="261"/>
        <v>45844</v>
      </c>
      <c r="T940" s="4">
        <v>45853</v>
      </c>
      <c r="U940" s="19">
        <f t="shared" si="264"/>
        <v>-9</v>
      </c>
      <c r="V940" s="5">
        <f t="shared" si="257"/>
        <v>45883</v>
      </c>
      <c r="W940" s="6">
        <v>45884</v>
      </c>
      <c r="X940" s="19">
        <f t="shared" si="265"/>
        <v>-1</v>
      </c>
      <c r="Y940" s="51">
        <f t="shared" si="253"/>
        <v>45911</v>
      </c>
      <c r="Z940" s="124">
        <v>45903</v>
      </c>
      <c r="AA940" s="49">
        <f t="shared" si="266"/>
        <v>8</v>
      </c>
      <c r="AB940" s="51">
        <f t="shared" si="258"/>
        <v>45913</v>
      </c>
      <c r="AC940" s="49">
        <f t="shared" si="259"/>
        <v>10</v>
      </c>
      <c r="AD940" s="43">
        <f t="shared" si="260"/>
        <v>45913</v>
      </c>
      <c r="AE940" s="51">
        <v>45903</v>
      </c>
      <c r="AF940" s="19">
        <f t="shared" si="252"/>
        <v>10</v>
      </c>
      <c r="AG940" s="10"/>
      <c r="AH940" s="1"/>
      <c r="AI940" s="1"/>
      <c r="AJ940" s="1"/>
      <c r="AK940" s="1"/>
      <c r="AL940" s="1"/>
    </row>
    <row r="941" spans="1:38" ht="14.45">
      <c r="A941" s="156">
        <v>940</v>
      </c>
      <c r="B941" s="59">
        <v>45914</v>
      </c>
      <c r="C941" s="41" t="s">
        <v>1987</v>
      </c>
      <c r="D941" s="23" t="s">
        <v>227</v>
      </c>
      <c r="E941" s="23">
        <v>173784.83</v>
      </c>
      <c r="F941" s="23" t="s">
        <v>1988</v>
      </c>
      <c r="G941" s="10" t="s">
        <v>120</v>
      </c>
      <c r="H941" s="23" t="s">
        <v>40</v>
      </c>
      <c r="I941" s="23" t="s">
        <v>62</v>
      </c>
      <c r="J941" s="97">
        <f t="shared" si="254"/>
        <v>45814</v>
      </c>
      <c r="L941" s="19" t="str">
        <f t="shared" si="267"/>
        <v/>
      </c>
      <c r="M941" s="5">
        <f t="shared" si="255"/>
        <v>45825</v>
      </c>
      <c r="O941" s="19" t="str">
        <f t="shared" si="262"/>
        <v/>
      </c>
      <c r="P941" s="5">
        <f t="shared" si="256"/>
        <v>45840</v>
      </c>
      <c r="R941" s="19" t="str">
        <f t="shared" si="263"/>
        <v/>
      </c>
      <c r="S941" s="5">
        <f t="shared" si="261"/>
        <v>45845</v>
      </c>
      <c r="U941" s="19" t="str">
        <f t="shared" si="264"/>
        <v/>
      </c>
      <c r="V941" s="5">
        <f t="shared" si="257"/>
        <v>45884</v>
      </c>
      <c r="W941" s="6"/>
      <c r="X941" s="19" t="str">
        <f t="shared" si="265"/>
        <v/>
      </c>
      <c r="Y941" s="51">
        <f t="shared" si="253"/>
        <v>45912</v>
      </c>
      <c r="Z941" s="51"/>
      <c r="AA941" s="49" t="str">
        <f t="shared" si="266"/>
        <v/>
      </c>
      <c r="AB941" s="51">
        <f t="shared" si="258"/>
        <v>45914</v>
      </c>
      <c r="AC941" s="49" t="str">
        <f t="shared" si="259"/>
        <v/>
      </c>
      <c r="AD941" s="43">
        <f t="shared" si="260"/>
        <v>45914</v>
      </c>
      <c r="AF941" s="19" t="str">
        <f t="shared" si="252"/>
        <v/>
      </c>
      <c r="AG941" s="10" t="s">
        <v>367</v>
      </c>
      <c r="AH941" s="1"/>
      <c r="AI941" s="1"/>
      <c r="AJ941" s="1"/>
      <c r="AK941" s="1"/>
      <c r="AL941" s="1"/>
    </row>
    <row r="942" spans="1:38" ht="14.45">
      <c r="A942" s="156">
        <v>941</v>
      </c>
      <c r="B942" s="59">
        <v>45914</v>
      </c>
      <c r="C942" s="34" t="s">
        <v>1989</v>
      </c>
      <c r="D942" s="23" t="s">
        <v>542</v>
      </c>
      <c r="E942" s="23">
        <v>3415</v>
      </c>
      <c r="F942" s="23" t="s">
        <v>1990</v>
      </c>
      <c r="G942" s="14" t="s">
        <v>51</v>
      </c>
      <c r="H942" s="23" t="s">
        <v>36</v>
      </c>
      <c r="I942" s="23" t="s">
        <v>62</v>
      </c>
      <c r="J942" s="97">
        <f t="shared" si="254"/>
        <v>45814</v>
      </c>
      <c r="K942" s="4">
        <v>45833</v>
      </c>
      <c r="L942" s="19">
        <f t="shared" si="267"/>
        <v>-19</v>
      </c>
      <c r="M942" s="5">
        <f t="shared" si="255"/>
        <v>45825</v>
      </c>
      <c r="O942" s="19" t="str">
        <f t="shared" si="262"/>
        <v/>
      </c>
      <c r="P942" s="5">
        <f t="shared" si="256"/>
        <v>45840</v>
      </c>
      <c r="R942" s="19" t="str">
        <f t="shared" si="263"/>
        <v/>
      </c>
      <c r="S942" s="5">
        <f t="shared" si="261"/>
        <v>45845</v>
      </c>
      <c r="T942" s="4">
        <v>45839</v>
      </c>
      <c r="U942" s="19">
        <f t="shared" si="264"/>
        <v>6</v>
      </c>
      <c r="V942" s="5">
        <f t="shared" si="257"/>
        <v>45884</v>
      </c>
      <c r="W942" s="6">
        <v>45908</v>
      </c>
      <c r="X942" s="19">
        <f t="shared" si="265"/>
        <v>-24</v>
      </c>
      <c r="Y942" s="51">
        <f t="shared" si="253"/>
        <v>45912</v>
      </c>
      <c r="Z942" s="51">
        <v>45912</v>
      </c>
      <c r="AA942" s="49">
        <f t="shared" si="266"/>
        <v>0</v>
      </c>
      <c r="AB942" s="51">
        <f t="shared" si="258"/>
        <v>45914</v>
      </c>
      <c r="AC942" s="49">
        <f t="shared" si="259"/>
        <v>2</v>
      </c>
      <c r="AD942" s="43">
        <f t="shared" si="260"/>
        <v>45914</v>
      </c>
      <c r="AE942" s="4">
        <v>45912</v>
      </c>
      <c r="AF942" s="19">
        <f t="shared" ref="AF942:AF1010" si="268">IF(OR(AD942="", AE942=""), "", AD942-AE942)</f>
        <v>2</v>
      </c>
      <c r="AG942" s="10"/>
      <c r="AH942" s="1"/>
      <c r="AI942" s="1"/>
      <c r="AJ942" s="1"/>
      <c r="AK942" s="1"/>
      <c r="AL942" s="1"/>
    </row>
    <row r="943" spans="1:38" ht="14.45">
      <c r="A943" s="156">
        <v>942</v>
      </c>
      <c r="B943" s="59">
        <v>45915</v>
      </c>
      <c r="C943" s="34" t="s">
        <v>1991</v>
      </c>
      <c r="D943" s="23" t="s">
        <v>38</v>
      </c>
      <c r="E943" s="23">
        <v>1809.01</v>
      </c>
      <c r="F943" s="23" t="s">
        <v>1992</v>
      </c>
      <c r="G943" s="14" t="s">
        <v>190</v>
      </c>
      <c r="H943" s="23" t="s">
        <v>40</v>
      </c>
      <c r="I943" s="23" t="s">
        <v>41</v>
      </c>
      <c r="J943" s="97">
        <f t="shared" si="254"/>
        <v>45815</v>
      </c>
      <c r="K943" s="4">
        <v>45815</v>
      </c>
      <c r="L943" s="19">
        <f t="shared" si="267"/>
        <v>0</v>
      </c>
      <c r="M943" s="5">
        <f t="shared" si="255"/>
        <v>45826</v>
      </c>
      <c r="N943" s="4">
        <v>45895</v>
      </c>
      <c r="O943" s="19">
        <f t="shared" si="262"/>
        <v>-69</v>
      </c>
      <c r="P943" s="5">
        <f t="shared" si="256"/>
        <v>45841</v>
      </c>
      <c r="Q943" s="4">
        <v>45896</v>
      </c>
      <c r="R943" s="19">
        <f t="shared" si="263"/>
        <v>-55</v>
      </c>
      <c r="S943" s="5">
        <f t="shared" si="261"/>
        <v>45846</v>
      </c>
      <c r="T943" s="4">
        <v>45901</v>
      </c>
      <c r="U943" s="19">
        <f t="shared" si="264"/>
        <v>-55</v>
      </c>
      <c r="V943" s="5">
        <f t="shared" si="257"/>
        <v>45885</v>
      </c>
      <c r="W943" s="6">
        <v>45885</v>
      </c>
      <c r="X943" s="19">
        <f t="shared" si="265"/>
        <v>0</v>
      </c>
      <c r="Y943" s="51">
        <f t="shared" si="253"/>
        <v>45913</v>
      </c>
      <c r="Z943" s="51">
        <v>45901</v>
      </c>
      <c r="AA943" s="49">
        <f t="shared" si="266"/>
        <v>12</v>
      </c>
      <c r="AB943" s="51">
        <f t="shared" si="258"/>
        <v>45915</v>
      </c>
      <c r="AC943" s="49">
        <f t="shared" si="259"/>
        <v>14</v>
      </c>
      <c r="AD943" s="43">
        <f t="shared" si="260"/>
        <v>45915</v>
      </c>
      <c r="AE943" s="4">
        <v>45912</v>
      </c>
      <c r="AF943" s="19">
        <f t="shared" si="268"/>
        <v>3</v>
      </c>
      <c r="AG943" s="10"/>
    </row>
    <row r="944" spans="1:38" ht="14.45">
      <c r="A944" s="156">
        <v>943</v>
      </c>
      <c r="B944" s="59">
        <v>45915</v>
      </c>
      <c r="C944" s="34" t="s">
        <v>1993</v>
      </c>
      <c r="D944" s="23" t="s">
        <v>38</v>
      </c>
      <c r="E944" s="23">
        <v>910.59</v>
      </c>
      <c r="F944" s="23" t="s">
        <v>1994</v>
      </c>
      <c r="G944" s="14" t="s">
        <v>190</v>
      </c>
      <c r="H944" s="23" t="s">
        <v>40</v>
      </c>
      <c r="I944" s="23" t="s">
        <v>41</v>
      </c>
      <c r="J944" s="97">
        <f t="shared" si="254"/>
        <v>45815</v>
      </c>
      <c r="K944" s="4">
        <v>45815</v>
      </c>
      <c r="L944" s="19">
        <f t="shared" si="267"/>
        <v>0</v>
      </c>
      <c r="M944" s="5">
        <f t="shared" si="255"/>
        <v>45826</v>
      </c>
      <c r="N944" s="4">
        <v>45895</v>
      </c>
      <c r="O944" s="19">
        <f t="shared" si="262"/>
        <v>-69</v>
      </c>
      <c r="P944" s="5">
        <f t="shared" si="256"/>
        <v>45841</v>
      </c>
      <c r="Q944" s="4">
        <v>45896</v>
      </c>
      <c r="R944" s="19">
        <f t="shared" si="263"/>
        <v>-55</v>
      </c>
      <c r="S944" s="5">
        <f t="shared" si="261"/>
        <v>45846</v>
      </c>
      <c r="T944" s="4">
        <v>45901</v>
      </c>
      <c r="U944" s="19">
        <f t="shared" si="264"/>
        <v>-55</v>
      </c>
      <c r="V944" s="5">
        <f t="shared" si="257"/>
        <v>45885</v>
      </c>
      <c r="W944" s="6">
        <v>45885</v>
      </c>
      <c r="X944" s="19">
        <f t="shared" si="265"/>
        <v>0</v>
      </c>
      <c r="Y944" s="51">
        <f t="shared" si="253"/>
        <v>45913</v>
      </c>
      <c r="Z944" s="51">
        <v>45901</v>
      </c>
      <c r="AA944" s="49">
        <f t="shared" si="266"/>
        <v>12</v>
      </c>
      <c r="AB944" s="51">
        <f t="shared" si="258"/>
        <v>45915</v>
      </c>
      <c r="AC944" s="49">
        <f t="shared" si="259"/>
        <v>14</v>
      </c>
      <c r="AD944" s="43">
        <f t="shared" si="260"/>
        <v>45915</v>
      </c>
      <c r="AE944" s="4">
        <v>45912</v>
      </c>
      <c r="AF944" s="19">
        <f t="shared" si="268"/>
        <v>3</v>
      </c>
      <c r="AG944" s="10"/>
    </row>
    <row r="945" spans="1:38" ht="14.45">
      <c r="A945" s="156">
        <v>944</v>
      </c>
      <c r="B945" s="59">
        <v>45915</v>
      </c>
      <c r="C945" s="34" t="s">
        <v>1995</v>
      </c>
      <c r="D945" s="23" t="s">
        <v>1996</v>
      </c>
      <c r="E945" s="23">
        <v>26514.11</v>
      </c>
      <c r="F945" s="23" t="s">
        <v>1997</v>
      </c>
      <c r="G945" s="14" t="s">
        <v>120</v>
      </c>
      <c r="H945" s="23" t="s">
        <v>40</v>
      </c>
      <c r="I945" s="23" t="s">
        <v>93</v>
      </c>
      <c r="J945" s="97">
        <f t="shared" si="254"/>
        <v>45815</v>
      </c>
      <c r="L945" s="19" t="str">
        <f t="shared" si="267"/>
        <v/>
      </c>
      <c r="M945" s="5">
        <f t="shared" si="255"/>
        <v>45826</v>
      </c>
      <c r="O945" s="19" t="str">
        <f t="shared" si="262"/>
        <v/>
      </c>
      <c r="P945" s="5">
        <f t="shared" si="256"/>
        <v>45841</v>
      </c>
      <c r="R945" s="19" t="str">
        <f t="shared" si="263"/>
        <v/>
      </c>
      <c r="S945" s="5">
        <f t="shared" si="261"/>
        <v>45846</v>
      </c>
      <c r="T945" s="4">
        <v>45834</v>
      </c>
      <c r="U945" s="19">
        <f t="shared" si="264"/>
        <v>12</v>
      </c>
      <c r="V945" s="5">
        <f t="shared" si="257"/>
        <v>45885</v>
      </c>
      <c r="W945" s="6">
        <v>45880</v>
      </c>
      <c r="X945" s="19">
        <f t="shared" si="265"/>
        <v>5</v>
      </c>
      <c r="Y945" s="51">
        <f t="shared" si="253"/>
        <v>45913</v>
      </c>
      <c r="Z945" s="51">
        <v>45912</v>
      </c>
      <c r="AA945" s="49">
        <f t="shared" si="266"/>
        <v>1</v>
      </c>
      <c r="AB945" s="51">
        <f t="shared" si="258"/>
        <v>45915</v>
      </c>
      <c r="AC945" s="49">
        <f t="shared" si="259"/>
        <v>3</v>
      </c>
      <c r="AD945" s="43">
        <f t="shared" si="260"/>
        <v>45915</v>
      </c>
      <c r="AE945" s="4">
        <v>45912</v>
      </c>
      <c r="AF945" s="19">
        <f t="shared" si="268"/>
        <v>3</v>
      </c>
      <c r="AG945" s="10"/>
      <c r="AH945" s="1"/>
      <c r="AI945" s="1"/>
      <c r="AJ945" s="1"/>
      <c r="AK945" s="1"/>
      <c r="AL945" s="1"/>
    </row>
    <row r="946" spans="1:38" ht="14.45">
      <c r="A946" s="156">
        <v>945</v>
      </c>
      <c r="B946" s="59">
        <v>45915</v>
      </c>
      <c r="C946" s="34">
        <v>111721193</v>
      </c>
      <c r="D946" s="23" t="s">
        <v>1998</v>
      </c>
      <c r="E946" s="23">
        <v>1124.32</v>
      </c>
      <c r="F946" s="23" t="s">
        <v>1999</v>
      </c>
      <c r="G946" s="14" t="s">
        <v>35</v>
      </c>
      <c r="H946" s="23" t="s">
        <v>40</v>
      </c>
      <c r="I946" s="23" t="s">
        <v>93</v>
      </c>
      <c r="J946" s="97">
        <f t="shared" si="254"/>
        <v>45815</v>
      </c>
      <c r="L946" s="19" t="str">
        <f t="shared" si="267"/>
        <v/>
      </c>
      <c r="M946" s="5">
        <f t="shared" si="255"/>
        <v>45826</v>
      </c>
      <c r="O946" s="19" t="str">
        <f t="shared" si="262"/>
        <v/>
      </c>
      <c r="P946" s="5">
        <f t="shared" si="256"/>
        <v>45841</v>
      </c>
      <c r="R946" s="19" t="str">
        <f t="shared" si="263"/>
        <v/>
      </c>
      <c r="S946" s="5">
        <f t="shared" si="261"/>
        <v>45846</v>
      </c>
      <c r="T946" s="4">
        <v>45859</v>
      </c>
      <c r="U946" s="19">
        <f t="shared" si="264"/>
        <v>-13</v>
      </c>
      <c r="V946" s="5">
        <f t="shared" si="257"/>
        <v>45885</v>
      </c>
      <c r="W946" s="6">
        <v>45887</v>
      </c>
      <c r="X946" s="19">
        <f t="shared" si="265"/>
        <v>-2</v>
      </c>
      <c r="Y946" s="51">
        <f t="shared" si="253"/>
        <v>45913</v>
      </c>
      <c r="Z946" s="51">
        <v>45903</v>
      </c>
      <c r="AA946" s="49">
        <f t="shared" si="266"/>
        <v>10</v>
      </c>
      <c r="AB946" s="51">
        <f t="shared" si="258"/>
        <v>45915</v>
      </c>
      <c r="AC946" s="49">
        <f t="shared" si="259"/>
        <v>12</v>
      </c>
      <c r="AD946" s="43">
        <f t="shared" si="260"/>
        <v>45915</v>
      </c>
      <c r="AE946" s="4">
        <v>45903</v>
      </c>
      <c r="AF946" s="19">
        <f t="shared" si="268"/>
        <v>12</v>
      </c>
      <c r="AG946" s="10"/>
      <c r="AH946" s="1"/>
      <c r="AI946" s="1"/>
      <c r="AJ946" s="1"/>
      <c r="AK946" s="1"/>
      <c r="AL946" s="1"/>
    </row>
    <row r="947" spans="1:38" ht="14.45">
      <c r="A947" s="156">
        <v>946</v>
      </c>
      <c r="B947" s="59">
        <v>45915</v>
      </c>
      <c r="C947" s="34">
        <v>574560421</v>
      </c>
      <c r="D947" s="23" t="s">
        <v>2000</v>
      </c>
      <c r="E947" s="23">
        <v>638647</v>
      </c>
      <c r="F947" s="23" t="s">
        <v>2001</v>
      </c>
      <c r="G947" s="14" t="s">
        <v>128</v>
      </c>
      <c r="H947" s="23" t="s">
        <v>36</v>
      </c>
      <c r="I947" s="23" t="s">
        <v>62</v>
      </c>
      <c r="J947" s="97">
        <f t="shared" si="254"/>
        <v>45815</v>
      </c>
      <c r="K947" s="4">
        <v>45803</v>
      </c>
      <c r="L947" s="19">
        <f t="shared" si="267"/>
        <v>12</v>
      </c>
      <c r="M947" s="5">
        <f t="shared" si="255"/>
        <v>45826</v>
      </c>
      <c r="N947" s="4">
        <v>45871</v>
      </c>
      <c r="O947" s="19">
        <f t="shared" si="262"/>
        <v>-45</v>
      </c>
      <c r="P947" s="5">
        <f t="shared" si="256"/>
        <v>45841</v>
      </c>
      <c r="Q947" s="4">
        <v>45881</v>
      </c>
      <c r="R947" s="19">
        <f t="shared" si="263"/>
        <v>-40</v>
      </c>
      <c r="S947" s="5">
        <f t="shared" si="261"/>
        <v>45846</v>
      </c>
      <c r="T947" s="4">
        <v>45882</v>
      </c>
      <c r="U947" s="19">
        <f t="shared" si="264"/>
        <v>-36</v>
      </c>
      <c r="V947" s="5">
        <f t="shared" si="257"/>
        <v>45885</v>
      </c>
      <c r="W947" s="6">
        <v>45905</v>
      </c>
      <c r="X947" s="19">
        <f t="shared" si="265"/>
        <v>-20</v>
      </c>
      <c r="Y947" s="51">
        <f t="shared" ref="Y947:Y1010" si="269">B947-2</f>
        <v>45913</v>
      </c>
      <c r="Z947" s="51">
        <v>45912</v>
      </c>
      <c r="AA947" s="49">
        <f t="shared" si="266"/>
        <v>1</v>
      </c>
      <c r="AB947" s="51">
        <f t="shared" si="258"/>
        <v>45915</v>
      </c>
      <c r="AC947" s="49">
        <f t="shared" si="259"/>
        <v>3</v>
      </c>
      <c r="AD947" s="43">
        <f t="shared" si="260"/>
        <v>45915</v>
      </c>
      <c r="AE947" s="4">
        <v>45927</v>
      </c>
      <c r="AF947" s="19">
        <f t="shared" si="268"/>
        <v>-12</v>
      </c>
      <c r="AG947" s="10"/>
      <c r="AH947" s="1"/>
      <c r="AI947" s="1"/>
      <c r="AJ947" s="1"/>
      <c r="AK947" s="1"/>
      <c r="AL947" s="1"/>
    </row>
    <row r="948" spans="1:38" ht="14.45">
      <c r="A948" s="156">
        <v>947</v>
      </c>
      <c r="B948" s="59">
        <v>45915</v>
      </c>
      <c r="C948" s="34">
        <v>631141827</v>
      </c>
      <c r="D948" s="23" t="s">
        <v>2000</v>
      </c>
      <c r="E948" s="23">
        <v>2116164.35</v>
      </c>
      <c r="F948" s="23" t="s">
        <v>2002</v>
      </c>
      <c r="G948" s="14" t="s">
        <v>128</v>
      </c>
      <c r="H948" s="23" t="s">
        <v>36</v>
      </c>
      <c r="I948" s="23" t="s">
        <v>272</v>
      </c>
      <c r="J948" s="97">
        <f t="shared" si="254"/>
        <v>45815</v>
      </c>
      <c r="K948" s="4">
        <v>45803</v>
      </c>
      <c r="L948" s="19">
        <f>IF(OR(J948="", K948=""), "", J948-K948)</f>
        <v>12</v>
      </c>
      <c r="M948" s="5">
        <f t="shared" si="255"/>
        <v>45826</v>
      </c>
      <c r="N948" s="4">
        <v>45871</v>
      </c>
      <c r="O948" s="19">
        <f t="shared" si="262"/>
        <v>-45</v>
      </c>
      <c r="P948" s="5">
        <f t="shared" si="256"/>
        <v>45841</v>
      </c>
      <c r="Q948" s="4">
        <v>45881</v>
      </c>
      <c r="R948" s="19">
        <f t="shared" si="263"/>
        <v>-40</v>
      </c>
      <c r="S948" s="5">
        <f t="shared" si="261"/>
        <v>45846</v>
      </c>
      <c r="T948" s="4">
        <v>45882</v>
      </c>
      <c r="U948" s="19">
        <f t="shared" si="264"/>
        <v>-36</v>
      </c>
      <c r="V948" s="5">
        <f t="shared" si="257"/>
        <v>45885</v>
      </c>
      <c r="W948" s="6">
        <v>45905</v>
      </c>
      <c r="X948" s="19">
        <f t="shared" si="265"/>
        <v>-20</v>
      </c>
      <c r="Y948" s="51">
        <f t="shared" si="269"/>
        <v>45913</v>
      </c>
      <c r="Z948" s="51">
        <v>45912</v>
      </c>
      <c r="AA948" s="49">
        <f t="shared" si="266"/>
        <v>1</v>
      </c>
      <c r="AB948" s="51">
        <f t="shared" si="258"/>
        <v>45915</v>
      </c>
      <c r="AC948" s="49">
        <f t="shared" si="259"/>
        <v>3</v>
      </c>
      <c r="AD948" s="43">
        <f t="shared" si="260"/>
        <v>45915</v>
      </c>
      <c r="AE948" s="4">
        <v>45936</v>
      </c>
      <c r="AF948" s="19">
        <f t="shared" si="268"/>
        <v>-21</v>
      </c>
      <c r="AG948" s="10"/>
      <c r="AH948" s="1"/>
      <c r="AI948" s="1"/>
      <c r="AJ948" s="1"/>
      <c r="AK948" s="1"/>
      <c r="AL948" s="1"/>
    </row>
    <row r="949" spans="1:38" ht="14.45">
      <c r="A949" s="156">
        <v>948</v>
      </c>
      <c r="B949" s="59">
        <v>45915</v>
      </c>
      <c r="C949" s="34" t="s">
        <v>2003</v>
      </c>
      <c r="D949" s="23" t="s">
        <v>2004</v>
      </c>
      <c r="E949" s="23">
        <v>785.06</v>
      </c>
      <c r="F949" s="23" t="s">
        <v>2005</v>
      </c>
      <c r="G949" s="23" t="s">
        <v>120</v>
      </c>
      <c r="H949" s="23" t="s">
        <v>40</v>
      </c>
      <c r="I949" s="23" t="s">
        <v>41</v>
      </c>
      <c r="J949" s="97">
        <f t="shared" si="254"/>
        <v>45815</v>
      </c>
      <c r="K949" s="4">
        <v>45825</v>
      </c>
      <c r="L949" s="19">
        <f t="shared" si="267"/>
        <v>-10</v>
      </c>
      <c r="M949" s="5">
        <f t="shared" si="255"/>
        <v>45826</v>
      </c>
      <c r="N949" s="4">
        <v>45832</v>
      </c>
      <c r="O949" s="19">
        <f t="shared" si="262"/>
        <v>-6</v>
      </c>
      <c r="P949" s="5">
        <f t="shared" si="256"/>
        <v>45841</v>
      </c>
      <c r="R949" s="19" t="str">
        <f t="shared" si="263"/>
        <v/>
      </c>
      <c r="S949" s="5">
        <f t="shared" si="261"/>
        <v>45846</v>
      </c>
      <c r="T949" s="4">
        <v>45846</v>
      </c>
      <c r="U949" s="19">
        <f t="shared" si="264"/>
        <v>0</v>
      </c>
      <c r="V949" s="5">
        <f t="shared" si="257"/>
        <v>45885</v>
      </c>
      <c r="W949" s="6">
        <v>45884</v>
      </c>
      <c r="X949" s="19">
        <f t="shared" si="265"/>
        <v>1</v>
      </c>
      <c r="Y949" s="51">
        <f>B949-2</f>
        <v>45913</v>
      </c>
      <c r="Z949" s="51">
        <v>45895</v>
      </c>
      <c r="AA949" s="49">
        <f t="shared" si="266"/>
        <v>18</v>
      </c>
      <c r="AB949" s="51">
        <f t="shared" si="258"/>
        <v>45915</v>
      </c>
      <c r="AC949" s="49">
        <f t="shared" si="259"/>
        <v>20</v>
      </c>
      <c r="AD949" s="43">
        <f t="shared" si="260"/>
        <v>45915</v>
      </c>
      <c r="AE949" s="4">
        <v>45895</v>
      </c>
      <c r="AF949" s="19">
        <f t="shared" si="268"/>
        <v>20</v>
      </c>
      <c r="AG949" s="10"/>
      <c r="AH949" s="1"/>
      <c r="AI949" s="1"/>
      <c r="AJ949" s="1"/>
      <c r="AK949" s="1"/>
      <c r="AL949" s="1"/>
    </row>
    <row r="950" spans="1:38" ht="14.45">
      <c r="A950" s="156">
        <v>949</v>
      </c>
      <c r="B950" s="59">
        <v>45916</v>
      </c>
      <c r="C950" s="41" t="s">
        <v>2006</v>
      </c>
      <c r="D950" s="23" t="s">
        <v>2007</v>
      </c>
      <c r="E950" s="23">
        <v>696.76</v>
      </c>
      <c r="F950" s="23" t="s">
        <v>2008</v>
      </c>
      <c r="G950" s="23" t="s">
        <v>35</v>
      </c>
      <c r="H950" s="23" t="s">
        <v>40</v>
      </c>
      <c r="I950" s="23" t="s">
        <v>37</v>
      </c>
      <c r="J950" s="97">
        <f t="shared" si="254"/>
        <v>45816</v>
      </c>
      <c r="L950" s="19" t="str">
        <f t="shared" si="267"/>
        <v/>
      </c>
      <c r="M950" s="5">
        <f t="shared" si="255"/>
        <v>45827</v>
      </c>
      <c r="O950" s="19" t="str">
        <f t="shared" si="262"/>
        <v/>
      </c>
      <c r="P950" s="5">
        <f t="shared" si="256"/>
        <v>45842</v>
      </c>
      <c r="R950" s="19" t="str">
        <f t="shared" si="263"/>
        <v/>
      </c>
      <c r="S950" s="5">
        <f t="shared" si="261"/>
        <v>45847</v>
      </c>
      <c r="T950" s="4">
        <v>45852</v>
      </c>
      <c r="U950" s="19">
        <f t="shared" si="264"/>
        <v>-5</v>
      </c>
      <c r="V950" s="5">
        <f t="shared" si="257"/>
        <v>45886</v>
      </c>
      <c r="W950" s="6">
        <v>45887</v>
      </c>
      <c r="X950" s="19">
        <f t="shared" si="265"/>
        <v>-1</v>
      </c>
      <c r="Y950" s="51">
        <f t="shared" si="269"/>
        <v>45914</v>
      </c>
      <c r="Z950" s="51">
        <v>45915</v>
      </c>
      <c r="AA950" s="49">
        <f t="shared" si="266"/>
        <v>-1</v>
      </c>
      <c r="AB950" s="51">
        <f t="shared" si="258"/>
        <v>45916</v>
      </c>
      <c r="AC950" s="49">
        <f t="shared" si="259"/>
        <v>1</v>
      </c>
      <c r="AD950" s="43">
        <f t="shared" si="260"/>
        <v>45916</v>
      </c>
      <c r="AE950" s="4">
        <v>45919</v>
      </c>
      <c r="AF950" s="19">
        <f t="shared" si="268"/>
        <v>-3</v>
      </c>
      <c r="AG950" s="10"/>
      <c r="AH950" s="1"/>
      <c r="AI950" s="1"/>
      <c r="AJ950" s="1"/>
      <c r="AK950" s="1"/>
      <c r="AL950" s="1"/>
    </row>
    <row r="951" spans="1:38" ht="14.45">
      <c r="A951" s="156">
        <v>950</v>
      </c>
      <c r="B951" s="59">
        <v>45916</v>
      </c>
      <c r="C951" s="41" t="s">
        <v>2006</v>
      </c>
      <c r="D951" s="23" t="s">
        <v>2007</v>
      </c>
      <c r="E951" s="23">
        <v>696.76</v>
      </c>
      <c r="F951" s="23" t="s">
        <v>2008</v>
      </c>
      <c r="G951" s="23" t="s">
        <v>35</v>
      </c>
      <c r="H951" s="23" t="s">
        <v>40</v>
      </c>
      <c r="I951" s="23" t="s">
        <v>37</v>
      </c>
      <c r="J951" s="97">
        <f t="shared" si="254"/>
        <v>45816</v>
      </c>
      <c r="L951" s="19" t="str">
        <f t="shared" si="267"/>
        <v/>
      </c>
      <c r="M951" s="5">
        <f t="shared" si="255"/>
        <v>45827</v>
      </c>
      <c r="O951" s="19" t="str">
        <f t="shared" si="262"/>
        <v/>
      </c>
      <c r="P951" s="5">
        <f t="shared" si="256"/>
        <v>45842</v>
      </c>
      <c r="R951" s="19" t="str">
        <f t="shared" si="263"/>
        <v/>
      </c>
      <c r="S951" s="5">
        <f t="shared" si="261"/>
        <v>45847</v>
      </c>
      <c r="U951" s="19" t="str">
        <f t="shared" si="264"/>
        <v/>
      </c>
      <c r="V951" s="5">
        <f t="shared" si="257"/>
        <v>45886</v>
      </c>
      <c r="W951" s="6"/>
      <c r="X951" s="19" t="str">
        <f t="shared" si="265"/>
        <v/>
      </c>
      <c r="Y951" s="51">
        <f t="shared" si="269"/>
        <v>45914</v>
      </c>
      <c r="Z951" s="51"/>
      <c r="AA951" s="49" t="str">
        <f t="shared" si="266"/>
        <v/>
      </c>
      <c r="AB951" s="51">
        <f t="shared" si="258"/>
        <v>45916</v>
      </c>
      <c r="AC951" s="49" t="str">
        <f t="shared" si="259"/>
        <v/>
      </c>
      <c r="AD951" s="43">
        <f t="shared" si="260"/>
        <v>45916</v>
      </c>
      <c r="AF951" s="19" t="str">
        <f t="shared" si="268"/>
        <v/>
      </c>
      <c r="AG951" s="10" t="s">
        <v>367</v>
      </c>
      <c r="AH951" s="1"/>
      <c r="AI951" s="1"/>
      <c r="AJ951" s="1"/>
      <c r="AK951" s="1"/>
      <c r="AL951" s="1"/>
    </row>
    <row r="952" spans="1:38" ht="14.45">
      <c r="A952" s="156">
        <v>951</v>
      </c>
      <c r="B952" s="59">
        <v>45918</v>
      </c>
      <c r="C952" s="34" t="s">
        <v>2009</v>
      </c>
      <c r="D952" s="23" t="s">
        <v>2010</v>
      </c>
      <c r="E952" s="23">
        <v>40644.660000000003</v>
      </c>
      <c r="F952" s="23" t="s">
        <v>2011</v>
      </c>
      <c r="G952" s="14" t="s">
        <v>120</v>
      </c>
      <c r="H952" s="23" t="s">
        <v>40</v>
      </c>
      <c r="I952" s="23" t="s">
        <v>93</v>
      </c>
      <c r="J952" s="97">
        <f t="shared" si="254"/>
        <v>45818</v>
      </c>
      <c r="L952" s="19" t="str">
        <f t="shared" si="267"/>
        <v/>
      </c>
      <c r="M952" s="5">
        <f t="shared" si="255"/>
        <v>45829</v>
      </c>
      <c r="O952" s="19" t="str">
        <f t="shared" si="262"/>
        <v/>
      </c>
      <c r="P952" s="5">
        <f t="shared" si="256"/>
        <v>45844</v>
      </c>
      <c r="R952" s="19" t="str">
        <f t="shared" si="263"/>
        <v/>
      </c>
      <c r="S952" s="5">
        <f t="shared" si="261"/>
        <v>45849</v>
      </c>
      <c r="T952" s="4">
        <v>45835</v>
      </c>
      <c r="U952" s="19">
        <f t="shared" si="264"/>
        <v>14</v>
      </c>
      <c r="V952" s="5">
        <f t="shared" si="257"/>
        <v>45888</v>
      </c>
      <c r="W952" s="6">
        <v>45897</v>
      </c>
      <c r="X952" s="19">
        <f t="shared" si="265"/>
        <v>-9</v>
      </c>
      <c r="Y952" s="51">
        <f t="shared" si="269"/>
        <v>45916</v>
      </c>
      <c r="Z952" s="51">
        <v>45918</v>
      </c>
      <c r="AA952" s="49">
        <f t="shared" si="266"/>
        <v>-2</v>
      </c>
      <c r="AB952" s="51">
        <f t="shared" si="258"/>
        <v>45918</v>
      </c>
      <c r="AC952" s="49">
        <f t="shared" si="259"/>
        <v>0</v>
      </c>
      <c r="AD952" s="43">
        <f t="shared" si="260"/>
        <v>45918</v>
      </c>
      <c r="AF952" s="19" t="str">
        <f t="shared" si="268"/>
        <v/>
      </c>
      <c r="AG952" s="10" t="s">
        <v>53</v>
      </c>
      <c r="AH952" s="1"/>
      <c r="AI952" s="1"/>
      <c r="AJ952" s="1"/>
      <c r="AK952" s="1"/>
      <c r="AL952" s="1"/>
    </row>
    <row r="953" spans="1:38" ht="14.45">
      <c r="A953" s="156">
        <v>952</v>
      </c>
      <c r="B953" s="59">
        <v>45918</v>
      </c>
      <c r="C953" s="34" t="s">
        <v>2012</v>
      </c>
      <c r="D953" s="23" t="s">
        <v>2013</v>
      </c>
      <c r="E953" s="23">
        <v>129666.92</v>
      </c>
      <c r="F953" s="23" t="s">
        <v>2014</v>
      </c>
      <c r="G953" s="14" t="s">
        <v>46</v>
      </c>
      <c r="H953" s="23" t="s">
        <v>36</v>
      </c>
      <c r="I953" s="23" t="s">
        <v>37</v>
      </c>
      <c r="J953" s="97">
        <f t="shared" si="254"/>
        <v>45818</v>
      </c>
      <c r="K953" s="4">
        <v>45803</v>
      </c>
      <c r="L953" s="19">
        <f t="shared" si="267"/>
        <v>15</v>
      </c>
      <c r="M953" s="5">
        <f t="shared" si="255"/>
        <v>45829</v>
      </c>
      <c r="N953" s="4">
        <v>45841</v>
      </c>
      <c r="O953" s="19">
        <f t="shared" si="262"/>
        <v>-12</v>
      </c>
      <c r="P953" s="5">
        <f t="shared" si="256"/>
        <v>45844</v>
      </c>
      <c r="R953" s="19" t="str">
        <f t="shared" si="263"/>
        <v/>
      </c>
      <c r="S953" s="5">
        <f t="shared" si="261"/>
        <v>45849</v>
      </c>
      <c r="T953" s="4">
        <v>45847</v>
      </c>
      <c r="U953" s="19">
        <f t="shared" si="264"/>
        <v>2</v>
      </c>
      <c r="V953" s="5">
        <f t="shared" si="257"/>
        <v>45888</v>
      </c>
      <c r="W953" s="6">
        <v>45889</v>
      </c>
      <c r="X953" s="19">
        <f t="shared" si="265"/>
        <v>-1</v>
      </c>
      <c r="Y953" s="51">
        <f t="shared" si="269"/>
        <v>45916</v>
      </c>
      <c r="Z953" s="124">
        <v>45918</v>
      </c>
      <c r="AA953" s="49">
        <f t="shared" si="266"/>
        <v>-2</v>
      </c>
      <c r="AB953" s="51">
        <f t="shared" si="258"/>
        <v>45918</v>
      </c>
      <c r="AC953" s="49">
        <f t="shared" si="259"/>
        <v>0</v>
      </c>
      <c r="AD953" s="43">
        <f t="shared" si="260"/>
        <v>45918</v>
      </c>
      <c r="AE953" s="4">
        <v>45918</v>
      </c>
      <c r="AF953" s="19">
        <f t="shared" si="268"/>
        <v>0</v>
      </c>
      <c r="AG953" s="10"/>
      <c r="AH953" s="1"/>
      <c r="AI953" s="1"/>
      <c r="AJ953" s="1"/>
      <c r="AK953" s="1"/>
      <c r="AL953" s="1"/>
    </row>
    <row r="954" spans="1:38" ht="14.45">
      <c r="A954" s="156">
        <v>953</v>
      </c>
      <c r="B954" s="59">
        <v>45920</v>
      </c>
      <c r="C954" s="89" t="s">
        <v>2015</v>
      </c>
      <c r="D954" s="23" t="s">
        <v>321</v>
      </c>
      <c r="E954" s="23">
        <v>14125</v>
      </c>
      <c r="F954" s="23" t="s">
        <v>2016</v>
      </c>
      <c r="G954" s="14" t="s">
        <v>46</v>
      </c>
      <c r="H954" s="23" t="s">
        <v>40</v>
      </c>
      <c r="I954" s="23" t="s">
        <v>323</v>
      </c>
      <c r="J954" s="97">
        <f t="shared" si="254"/>
        <v>45820</v>
      </c>
      <c r="K954" s="4">
        <v>45803</v>
      </c>
      <c r="L954" s="19">
        <f t="shared" si="267"/>
        <v>17</v>
      </c>
      <c r="M954" s="5">
        <f t="shared" si="255"/>
        <v>45831</v>
      </c>
      <c r="N954" s="4">
        <v>45841</v>
      </c>
      <c r="O954" s="19">
        <f t="shared" si="262"/>
        <v>-10</v>
      </c>
      <c r="P954" s="5">
        <f t="shared" si="256"/>
        <v>45846</v>
      </c>
      <c r="Q954" s="4">
        <v>45846</v>
      </c>
      <c r="R954" s="19">
        <f t="shared" si="263"/>
        <v>0</v>
      </c>
      <c r="S954" s="5">
        <f t="shared" si="261"/>
        <v>45851</v>
      </c>
      <c r="T954" s="4">
        <v>45841</v>
      </c>
      <c r="U954" s="19">
        <f t="shared" si="264"/>
        <v>10</v>
      </c>
      <c r="V954" s="5">
        <f t="shared" si="257"/>
        <v>45890</v>
      </c>
      <c r="W954" s="6">
        <v>45904</v>
      </c>
      <c r="X954" s="19">
        <f t="shared" si="265"/>
        <v>-14</v>
      </c>
      <c r="Y954" s="51">
        <f t="shared" si="269"/>
        <v>45918</v>
      </c>
      <c r="Z954" s="124">
        <v>45917</v>
      </c>
      <c r="AA954" s="49">
        <f t="shared" si="266"/>
        <v>1</v>
      </c>
      <c r="AB954" s="51">
        <f t="shared" si="258"/>
        <v>45920</v>
      </c>
      <c r="AC954" s="49">
        <f t="shared" si="259"/>
        <v>3</v>
      </c>
      <c r="AD954" s="43">
        <f t="shared" si="260"/>
        <v>45920</v>
      </c>
      <c r="AE954" s="4">
        <v>45929</v>
      </c>
      <c r="AF954" s="19">
        <f t="shared" si="268"/>
        <v>-9</v>
      </c>
      <c r="AG954" s="10"/>
      <c r="AH954" s="1"/>
      <c r="AI954" s="1"/>
      <c r="AJ954" s="1"/>
      <c r="AK954" s="1"/>
      <c r="AL954" s="1"/>
    </row>
    <row r="955" spans="1:38" ht="14.45">
      <c r="A955" s="156">
        <v>954</v>
      </c>
      <c r="B955" s="59">
        <v>45920</v>
      </c>
      <c r="C955" s="34" t="s">
        <v>2017</v>
      </c>
      <c r="D955" s="23" t="s">
        <v>321</v>
      </c>
      <c r="E955" s="23">
        <v>9645</v>
      </c>
      <c r="F955" s="23" t="s">
        <v>2018</v>
      </c>
      <c r="G955" s="14" t="s">
        <v>46</v>
      </c>
      <c r="H955" s="23" t="s">
        <v>40</v>
      </c>
      <c r="I955" s="23" t="s">
        <v>323</v>
      </c>
      <c r="J955" s="97">
        <f t="shared" si="254"/>
        <v>45820</v>
      </c>
      <c r="K955" s="4">
        <v>45803</v>
      </c>
      <c r="L955" s="19">
        <f t="shared" si="267"/>
        <v>17</v>
      </c>
      <c r="M955" s="5">
        <f t="shared" si="255"/>
        <v>45831</v>
      </c>
      <c r="N955" s="4">
        <v>45841</v>
      </c>
      <c r="O955" s="19">
        <f t="shared" si="262"/>
        <v>-10</v>
      </c>
      <c r="P955" s="5">
        <f t="shared" si="256"/>
        <v>45846</v>
      </c>
      <c r="Q955" s="4">
        <v>45846</v>
      </c>
      <c r="R955" s="19">
        <f t="shared" si="263"/>
        <v>0</v>
      </c>
      <c r="S955" s="5">
        <f t="shared" si="261"/>
        <v>45851</v>
      </c>
      <c r="T955" s="4">
        <v>45841</v>
      </c>
      <c r="U955" s="19">
        <f t="shared" si="264"/>
        <v>10</v>
      </c>
      <c r="V955" s="5">
        <f t="shared" si="257"/>
        <v>45890</v>
      </c>
      <c r="W955" s="6">
        <v>45904</v>
      </c>
      <c r="X955" s="19">
        <f t="shared" si="265"/>
        <v>-14</v>
      </c>
      <c r="Y955" s="51">
        <f t="shared" si="269"/>
        <v>45918</v>
      </c>
      <c r="Z955" s="124">
        <v>45917</v>
      </c>
      <c r="AA955" s="49">
        <f t="shared" si="266"/>
        <v>1</v>
      </c>
      <c r="AB955" s="51">
        <f t="shared" si="258"/>
        <v>45920</v>
      </c>
      <c r="AC955" s="49">
        <f t="shared" si="259"/>
        <v>3</v>
      </c>
      <c r="AD955" s="43">
        <f t="shared" si="260"/>
        <v>45920</v>
      </c>
      <c r="AE955" s="4">
        <v>45929</v>
      </c>
      <c r="AF955" s="19">
        <f t="shared" si="268"/>
        <v>-9</v>
      </c>
      <c r="AG955" s="10"/>
      <c r="AH955" s="1"/>
      <c r="AI955" s="1"/>
      <c r="AJ955" s="1"/>
      <c r="AK955" s="1"/>
      <c r="AL955" s="1"/>
    </row>
    <row r="956" spans="1:38" ht="14.45">
      <c r="A956" s="156">
        <v>955</v>
      </c>
      <c r="B956" s="59">
        <v>45920</v>
      </c>
      <c r="C956" s="34" t="s">
        <v>2019</v>
      </c>
      <c r="D956" s="23" t="s">
        <v>321</v>
      </c>
      <c r="E956" s="23">
        <v>37089</v>
      </c>
      <c r="F956" s="23" t="s">
        <v>2020</v>
      </c>
      <c r="G956" s="14" t="s">
        <v>46</v>
      </c>
      <c r="H956" s="23" t="s">
        <v>40</v>
      </c>
      <c r="I956" s="23" t="s">
        <v>323</v>
      </c>
      <c r="J956" s="97">
        <f t="shared" si="254"/>
        <v>45820</v>
      </c>
      <c r="K956" s="4">
        <v>45803</v>
      </c>
      <c r="L956" s="19">
        <f t="shared" si="267"/>
        <v>17</v>
      </c>
      <c r="M956" s="5">
        <f t="shared" si="255"/>
        <v>45831</v>
      </c>
      <c r="N956" s="4">
        <v>45841</v>
      </c>
      <c r="O956" s="19">
        <f t="shared" si="262"/>
        <v>-10</v>
      </c>
      <c r="P956" s="5">
        <f t="shared" si="256"/>
        <v>45846</v>
      </c>
      <c r="Q956" s="4">
        <v>45846</v>
      </c>
      <c r="R956" s="19">
        <f t="shared" si="263"/>
        <v>0</v>
      </c>
      <c r="S956" s="5">
        <f t="shared" si="261"/>
        <v>45851</v>
      </c>
      <c r="T956" s="4">
        <v>45841</v>
      </c>
      <c r="U956" s="19">
        <f t="shared" si="264"/>
        <v>10</v>
      </c>
      <c r="V956" s="5">
        <f t="shared" si="257"/>
        <v>45890</v>
      </c>
      <c r="W956" s="6">
        <v>45904</v>
      </c>
      <c r="X956" s="19">
        <f t="shared" si="265"/>
        <v>-14</v>
      </c>
      <c r="Y956" s="51">
        <f t="shared" si="269"/>
        <v>45918</v>
      </c>
      <c r="Z956" s="124">
        <v>45917</v>
      </c>
      <c r="AA956" s="49">
        <f t="shared" si="266"/>
        <v>1</v>
      </c>
      <c r="AB956" s="51">
        <f t="shared" si="258"/>
        <v>45920</v>
      </c>
      <c r="AC956" s="49">
        <f t="shared" si="259"/>
        <v>3</v>
      </c>
      <c r="AD956" s="43">
        <f t="shared" si="260"/>
        <v>45920</v>
      </c>
      <c r="AE956" s="4">
        <v>45930</v>
      </c>
      <c r="AF956" s="19">
        <f t="shared" si="268"/>
        <v>-10</v>
      </c>
      <c r="AG956" s="10"/>
      <c r="AH956" s="1"/>
      <c r="AI956" s="1"/>
      <c r="AJ956" s="1"/>
      <c r="AK956" s="1"/>
      <c r="AL956" s="1"/>
    </row>
    <row r="957" spans="1:38" ht="14.45">
      <c r="A957" s="156">
        <v>956</v>
      </c>
      <c r="B957" s="59">
        <v>45920</v>
      </c>
      <c r="C957" s="34" t="s">
        <v>2021</v>
      </c>
      <c r="D957" s="23" t="s">
        <v>321</v>
      </c>
      <c r="E957" s="23">
        <v>12646.86</v>
      </c>
      <c r="F957" s="23" t="s">
        <v>2022</v>
      </c>
      <c r="G957" s="14" t="s">
        <v>46</v>
      </c>
      <c r="H957" s="23" t="s">
        <v>40</v>
      </c>
      <c r="I957" s="23" t="s">
        <v>323</v>
      </c>
      <c r="J957" s="97">
        <f t="shared" si="254"/>
        <v>45820</v>
      </c>
      <c r="K957" s="4">
        <v>45803</v>
      </c>
      <c r="L957" s="19">
        <f t="shared" si="267"/>
        <v>17</v>
      </c>
      <c r="M957" s="5">
        <f t="shared" si="255"/>
        <v>45831</v>
      </c>
      <c r="N957" s="4">
        <v>45841</v>
      </c>
      <c r="O957" s="19">
        <f t="shared" si="262"/>
        <v>-10</v>
      </c>
      <c r="P957" s="5">
        <f t="shared" si="256"/>
        <v>45846</v>
      </c>
      <c r="Q957" s="4">
        <v>45846</v>
      </c>
      <c r="R957" s="19">
        <f t="shared" si="263"/>
        <v>0</v>
      </c>
      <c r="S957" s="5">
        <f t="shared" si="261"/>
        <v>45851</v>
      </c>
      <c r="T957" s="4">
        <v>45841</v>
      </c>
      <c r="U957" s="19">
        <f t="shared" si="264"/>
        <v>10</v>
      </c>
      <c r="V957" s="5">
        <f t="shared" si="257"/>
        <v>45890</v>
      </c>
      <c r="W957" s="6">
        <v>45904</v>
      </c>
      <c r="X957" s="19">
        <f t="shared" si="265"/>
        <v>-14</v>
      </c>
      <c r="Y957" s="51">
        <f t="shared" si="269"/>
        <v>45918</v>
      </c>
      <c r="Z957" s="124">
        <v>45917</v>
      </c>
      <c r="AA957" s="49">
        <f t="shared" si="266"/>
        <v>1</v>
      </c>
      <c r="AB957" s="51">
        <f t="shared" si="258"/>
        <v>45920</v>
      </c>
      <c r="AC957" s="49">
        <f t="shared" si="259"/>
        <v>3</v>
      </c>
      <c r="AD957" s="43">
        <f t="shared" si="260"/>
        <v>45920</v>
      </c>
      <c r="AE957" s="4">
        <v>45931</v>
      </c>
      <c r="AF957" s="19">
        <f t="shared" si="268"/>
        <v>-11</v>
      </c>
      <c r="AG957" s="10"/>
      <c r="AH957" s="1"/>
      <c r="AI957" s="1"/>
      <c r="AJ957" s="1"/>
      <c r="AK957" s="1"/>
      <c r="AL957" s="1"/>
    </row>
    <row r="958" spans="1:38" ht="14.45">
      <c r="A958" s="156">
        <v>957</v>
      </c>
      <c r="B958" s="59">
        <v>45920</v>
      </c>
      <c r="C958" s="34" t="s">
        <v>2023</v>
      </c>
      <c r="D958" s="23" t="s">
        <v>321</v>
      </c>
      <c r="E958" s="23">
        <v>20787</v>
      </c>
      <c r="F958" s="23" t="s">
        <v>2024</v>
      </c>
      <c r="G958" s="14" t="s">
        <v>46</v>
      </c>
      <c r="H958" s="23" t="s">
        <v>40</v>
      </c>
      <c r="I958" s="23" t="s">
        <v>323</v>
      </c>
      <c r="J958" s="97">
        <f t="shared" si="254"/>
        <v>45820</v>
      </c>
      <c r="K958" s="4">
        <v>45803</v>
      </c>
      <c r="L958" s="19">
        <f t="shared" si="267"/>
        <v>17</v>
      </c>
      <c r="M958" s="5">
        <f t="shared" si="255"/>
        <v>45831</v>
      </c>
      <c r="N958" s="4">
        <v>45841</v>
      </c>
      <c r="O958" s="19">
        <f t="shared" si="262"/>
        <v>-10</v>
      </c>
      <c r="P958" s="5">
        <f t="shared" si="256"/>
        <v>45846</v>
      </c>
      <c r="Q958" s="4">
        <v>45846</v>
      </c>
      <c r="R958" s="19">
        <f t="shared" si="263"/>
        <v>0</v>
      </c>
      <c r="S958" s="5">
        <f t="shared" si="261"/>
        <v>45851</v>
      </c>
      <c r="T958" s="4">
        <v>45841</v>
      </c>
      <c r="U958" s="19">
        <f t="shared" si="264"/>
        <v>10</v>
      </c>
      <c r="V958" s="5">
        <f t="shared" si="257"/>
        <v>45890</v>
      </c>
      <c r="W958" s="6">
        <v>45904</v>
      </c>
      <c r="X958" s="19">
        <f t="shared" si="265"/>
        <v>-14</v>
      </c>
      <c r="Y958" s="51">
        <f t="shared" si="269"/>
        <v>45918</v>
      </c>
      <c r="Z958" s="124">
        <v>45917</v>
      </c>
      <c r="AA958" s="49">
        <f t="shared" si="266"/>
        <v>1</v>
      </c>
      <c r="AB958" s="51">
        <f t="shared" si="258"/>
        <v>45920</v>
      </c>
      <c r="AC958" s="49">
        <f t="shared" si="259"/>
        <v>3</v>
      </c>
      <c r="AD958" s="43">
        <f t="shared" si="260"/>
        <v>45920</v>
      </c>
      <c r="AE958" s="4">
        <v>45931</v>
      </c>
      <c r="AF958" s="19">
        <f t="shared" si="268"/>
        <v>-11</v>
      </c>
      <c r="AG958" s="10"/>
      <c r="AH958" s="1"/>
      <c r="AI958" s="1"/>
      <c r="AJ958" s="1"/>
      <c r="AK958" s="1"/>
      <c r="AL958" s="1"/>
    </row>
    <row r="959" spans="1:38" ht="14.45">
      <c r="A959" s="156">
        <v>958</v>
      </c>
      <c r="B959" s="59">
        <v>45920</v>
      </c>
      <c r="C959" s="34" t="s">
        <v>2025</v>
      </c>
      <c r="D959" s="23" t="s">
        <v>321</v>
      </c>
      <c r="E959" s="23">
        <v>103764.09</v>
      </c>
      <c r="F959" s="23" t="s">
        <v>2026</v>
      </c>
      <c r="G959" s="14" t="s">
        <v>46</v>
      </c>
      <c r="H959" s="23" t="s">
        <v>40</v>
      </c>
      <c r="I959" s="23" t="s">
        <v>62</v>
      </c>
      <c r="J959" s="97">
        <f t="shared" si="254"/>
        <v>45820</v>
      </c>
      <c r="K959" s="4">
        <v>45803</v>
      </c>
      <c r="L959" s="19">
        <f t="shared" si="267"/>
        <v>17</v>
      </c>
      <c r="M959" s="5">
        <f t="shared" si="255"/>
        <v>45831</v>
      </c>
      <c r="N959" s="4">
        <v>45846</v>
      </c>
      <c r="O959" s="19">
        <f t="shared" si="262"/>
        <v>-15</v>
      </c>
      <c r="P959" s="5">
        <f t="shared" si="256"/>
        <v>45846</v>
      </c>
      <c r="Q959" s="4">
        <v>45846</v>
      </c>
      <c r="R959" s="19">
        <f t="shared" si="263"/>
        <v>0</v>
      </c>
      <c r="S959" s="5">
        <f t="shared" si="261"/>
        <v>45851</v>
      </c>
      <c r="T959" s="4">
        <v>45847</v>
      </c>
      <c r="U959" s="19">
        <f t="shared" si="264"/>
        <v>4</v>
      </c>
      <c r="V959" s="5">
        <f t="shared" si="257"/>
        <v>45890</v>
      </c>
      <c r="W959" s="6">
        <v>45904</v>
      </c>
      <c r="X959" s="19">
        <f t="shared" si="265"/>
        <v>-14</v>
      </c>
      <c r="Y959" s="51">
        <f t="shared" si="269"/>
        <v>45918</v>
      </c>
      <c r="Z959" s="124">
        <v>45918</v>
      </c>
      <c r="AA959" s="49">
        <f t="shared" si="266"/>
        <v>0</v>
      </c>
      <c r="AB959" s="51">
        <f t="shared" si="258"/>
        <v>45920</v>
      </c>
      <c r="AC959" s="49">
        <f t="shared" si="259"/>
        <v>2</v>
      </c>
      <c r="AD959" s="43">
        <f t="shared" si="260"/>
        <v>45920</v>
      </c>
      <c r="AE959" s="4">
        <v>45922</v>
      </c>
      <c r="AF959" s="19">
        <f t="shared" si="268"/>
        <v>-2</v>
      </c>
      <c r="AG959" s="10"/>
      <c r="AH959" s="1"/>
      <c r="AI959" s="1"/>
      <c r="AJ959" s="1"/>
      <c r="AK959" s="1"/>
      <c r="AL959" s="1"/>
    </row>
    <row r="960" spans="1:38" ht="14.45">
      <c r="A960" s="156">
        <v>959</v>
      </c>
      <c r="B960" s="59">
        <v>45920</v>
      </c>
      <c r="C960" s="34" t="s">
        <v>2027</v>
      </c>
      <c r="D960" s="23" t="s">
        <v>642</v>
      </c>
      <c r="E960" s="23">
        <v>27321.57</v>
      </c>
      <c r="F960" s="23" t="s">
        <v>2028</v>
      </c>
      <c r="G960" s="14" t="s">
        <v>35</v>
      </c>
      <c r="H960" s="23" t="s">
        <v>36</v>
      </c>
      <c r="I960" s="23" t="s">
        <v>93</v>
      </c>
      <c r="J960" s="97">
        <f t="shared" si="254"/>
        <v>45820</v>
      </c>
      <c r="L960" s="19" t="str">
        <f t="shared" si="267"/>
        <v/>
      </c>
      <c r="M960" s="5">
        <f t="shared" si="255"/>
        <v>45831</v>
      </c>
      <c r="O960" s="19" t="str">
        <f t="shared" si="262"/>
        <v/>
      </c>
      <c r="P960" s="5">
        <f t="shared" si="256"/>
        <v>45846</v>
      </c>
      <c r="R960" s="19" t="str">
        <f t="shared" si="263"/>
        <v/>
      </c>
      <c r="S960" s="5">
        <f t="shared" si="261"/>
        <v>45851</v>
      </c>
      <c r="U960" s="19" t="str">
        <f t="shared" si="264"/>
        <v/>
      </c>
      <c r="V960" s="5">
        <f t="shared" si="257"/>
        <v>45890</v>
      </c>
      <c r="W960" s="6">
        <v>45888</v>
      </c>
      <c r="X960" s="19">
        <f t="shared" si="265"/>
        <v>2</v>
      </c>
      <c r="Y960" s="51">
        <f t="shared" si="269"/>
        <v>45918</v>
      </c>
      <c r="Z960" s="51">
        <v>45895</v>
      </c>
      <c r="AA960" s="49">
        <f t="shared" si="266"/>
        <v>23</v>
      </c>
      <c r="AB960" s="51">
        <f t="shared" si="258"/>
        <v>45920</v>
      </c>
      <c r="AC960" s="49">
        <f t="shared" si="259"/>
        <v>25</v>
      </c>
      <c r="AD960" s="43">
        <f t="shared" si="260"/>
        <v>45920</v>
      </c>
      <c r="AE960" s="4">
        <v>45918</v>
      </c>
      <c r="AF960" s="19">
        <f t="shared" si="268"/>
        <v>2</v>
      </c>
      <c r="AG960" s="10"/>
      <c r="AH960" s="1"/>
      <c r="AI960" s="1"/>
      <c r="AJ960" s="1"/>
      <c r="AK960" s="1"/>
      <c r="AL960" s="1"/>
    </row>
    <row r="961" spans="1:38" ht="14.45">
      <c r="A961" s="156">
        <v>960</v>
      </c>
      <c r="B961" s="60">
        <v>45915</v>
      </c>
      <c r="C961" s="93" t="s">
        <v>2029</v>
      </c>
      <c r="D961" s="24" t="s">
        <v>38</v>
      </c>
      <c r="E961" s="74">
        <v>27.9</v>
      </c>
      <c r="F961" s="72" t="s">
        <v>996</v>
      </c>
      <c r="G961" s="24" t="s">
        <v>190</v>
      </c>
      <c r="H961" s="24" t="s">
        <v>40</v>
      </c>
      <c r="I961" s="24" t="s">
        <v>41</v>
      </c>
      <c r="J961" s="98">
        <f t="shared" si="254"/>
        <v>45815</v>
      </c>
      <c r="K961" s="7">
        <v>45815</v>
      </c>
      <c r="L961" s="99">
        <f t="shared" ref="L961" si="270">IF(OR(J961="", K961=""), "", J961-K961)</f>
        <v>0</v>
      </c>
      <c r="M961" s="20">
        <f t="shared" si="255"/>
        <v>45826</v>
      </c>
      <c r="N961" s="7">
        <v>45895</v>
      </c>
      <c r="O961" s="99">
        <f t="shared" ref="O961" si="271">IF(OR(M961="", N961=""), "", M961-N961)</f>
        <v>-69</v>
      </c>
      <c r="P961" s="20">
        <f t="shared" si="256"/>
        <v>45841</v>
      </c>
      <c r="Q961" s="7">
        <v>45896</v>
      </c>
      <c r="R961" s="99">
        <f t="shared" ref="R961" si="272">IF(OR(P961="", Q961=""), "", P961-Q961)</f>
        <v>-55</v>
      </c>
      <c r="S961" s="20">
        <f t="shared" si="261"/>
        <v>45846</v>
      </c>
      <c r="T961" s="7">
        <v>45901</v>
      </c>
      <c r="U961" s="99">
        <f t="shared" ref="U961" si="273">IF(OR(S961="", T961=""), "", S961-T961)</f>
        <v>-55</v>
      </c>
      <c r="V961" s="20">
        <f t="shared" si="257"/>
        <v>45885</v>
      </c>
      <c r="W961" s="47">
        <v>45885</v>
      </c>
      <c r="X961" s="99">
        <f t="shared" ref="X961" si="274">IF(OR(V961="", W961=""), "", V961-W961)</f>
        <v>0</v>
      </c>
      <c r="Y961" s="66">
        <f t="shared" si="269"/>
        <v>45913</v>
      </c>
      <c r="Z961" s="7">
        <v>45902</v>
      </c>
      <c r="AA961" s="50">
        <f t="shared" ref="AA961" si="275">IF(OR(Y961="", Z961=""), "", Y961-Z961)</f>
        <v>11</v>
      </c>
      <c r="AB961" s="51">
        <f t="shared" si="258"/>
        <v>45915</v>
      </c>
      <c r="AC961" s="49">
        <f t="shared" si="259"/>
        <v>13</v>
      </c>
      <c r="AD961" s="100">
        <f t="shared" si="260"/>
        <v>45915</v>
      </c>
      <c r="AE961" s="7">
        <v>45902</v>
      </c>
      <c r="AF961" s="99">
        <f t="shared" ref="AF961" si="276">IF(OR(AD961="", AE961=""), "", AD961-AE961)</f>
        <v>13</v>
      </c>
      <c r="AG961" s="36" t="s">
        <v>367</v>
      </c>
    </row>
    <row r="962" spans="1:38" ht="14.45">
      <c r="A962" s="156">
        <v>961</v>
      </c>
      <c r="B962" s="59">
        <v>45920</v>
      </c>
      <c r="C962" s="34" t="s">
        <v>2030</v>
      </c>
      <c r="D962" s="23" t="s">
        <v>38</v>
      </c>
      <c r="E962" s="23">
        <v>1131.07</v>
      </c>
      <c r="F962" s="23" t="s">
        <v>2031</v>
      </c>
      <c r="G962" s="14" t="s">
        <v>190</v>
      </c>
      <c r="H962" s="23" t="s">
        <v>40</v>
      </c>
      <c r="I962" s="23" t="s">
        <v>41</v>
      </c>
      <c r="J962" s="97">
        <f t="shared" ref="J962:J1027" si="277">B962-100</f>
        <v>45820</v>
      </c>
      <c r="K962" s="4">
        <v>45820</v>
      </c>
      <c r="L962" s="19">
        <f t="shared" si="267"/>
        <v>0</v>
      </c>
      <c r="M962" s="5">
        <f t="shared" ref="M962:M1027" si="278">B962-89</f>
        <v>45831</v>
      </c>
      <c r="N962" s="4">
        <v>45895</v>
      </c>
      <c r="O962" s="19">
        <f t="shared" si="262"/>
        <v>-64</v>
      </c>
      <c r="P962" s="5">
        <f t="shared" ref="P962:P1020" si="279">B962-74</f>
        <v>45846</v>
      </c>
      <c r="Q962" s="4">
        <v>45896</v>
      </c>
      <c r="R962" s="19">
        <f t="shared" si="263"/>
        <v>-50</v>
      </c>
      <c r="S962" s="5">
        <f t="shared" si="261"/>
        <v>45851</v>
      </c>
      <c r="T962" s="4">
        <v>45901</v>
      </c>
      <c r="U962" s="19">
        <f t="shared" si="264"/>
        <v>-50</v>
      </c>
      <c r="V962" s="5">
        <f t="shared" ref="V962:V1027" si="280">B962-30</f>
        <v>45890</v>
      </c>
      <c r="W962" s="6">
        <v>45890</v>
      </c>
      <c r="X962" s="19">
        <f t="shared" si="265"/>
        <v>0</v>
      </c>
      <c r="Y962" s="51">
        <f t="shared" si="269"/>
        <v>45918</v>
      </c>
      <c r="Z962" s="51">
        <v>45901</v>
      </c>
      <c r="AA962" s="49">
        <f t="shared" si="266"/>
        <v>17</v>
      </c>
      <c r="AB962" s="51">
        <f t="shared" ref="AB962:AB1027" si="281">IF(B962&lt;&gt;"", B962, "")</f>
        <v>45920</v>
      </c>
      <c r="AC962" s="49">
        <f t="shared" ref="AC962:AC1027" si="282">IF(OR(AB962="", Z962=""), "", AB962-Z962)</f>
        <v>19</v>
      </c>
      <c r="AD962" s="43">
        <f t="shared" ref="AD962:AD1027" si="283">IF(B962&lt;&gt;"", B962, "")</f>
        <v>45920</v>
      </c>
      <c r="AE962" s="4">
        <v>45912</v>
      </c>
      <c r="AF962" s="19">
        <f t="shared" si="268"/>
        <v>8</v>
      </c>
      <c r="AG962" s="10"/>
    </row>
    <row r="963" spans="1:38" ht="14.45">
      <c r="A963" s="156">
        <v>962</v>
      </c>
      <c r="B963" s="59">
        <v>45920</v>
      </c>
      <c r="C963" s="34" t="s">
        <v>2032</v>
      </c>
      <c r="D963" s="23" t="s">
        <v>38</v>
      </c>
      <c r="E963" s="23">
        <v>42.49</v>
      </c>
      <c r="F963" s="23" t="s">
        <v>2033</v>
      </c>
      <c r="G963" s="14" t="s">
        <v>190</v>
      </c>
      <c r="H963" s="23" t="s">
        <v>40</v>
      </c>
      <c r="I963" s="23" t="s">
        <v>41</v>
      </c>
      <c r="J963" s="97">
        <f t="shared" si="277"/>
        <v>45820</v>
      </c>
      <c r="K963" s="4">
        <v>45820</v>
      </c>
      <c r="L963" s="19">
        <f t="shared" si="267"/>
        <v>0</v>
      </c>
      <c r="M963" s="5">
        <f t="shared" si="278"/>
        <v>45831</v>
      </c>
      <c r="N963" s="4">
        <v>45895</v>
      </c>
      <c r="O963" s="19">
        <f t="shared" si="262"/>
        <v>-64</v>
      </c>
      <c r="P963" s="5">
        <f t="shared" si="279"/>
        <v>45846</v>
      </c>
      <c r="Q963" s="4">
        <v>45896</v>
      </c>
      <c r="R963" s="19">
        <f t="shared" si="263"/>
        <v>-50</v>
      </c>
      <c r="S963" s="5">
        <f t="shared" si="261"/>
        <v>45851</v>
      </c>
      <c r="T963" s="4">
        <v>45901</v>
      </c>
      <c r="U963" s="19">
        <f t="shared" si="264"/>
        <v>-50</v>
      </c>
      <c r="V963" s="5">
        <f t="shared" si="280"/>
        <v>45890</v>
      </c>
      <c r="W963" s="6">
        <v>45890</v>
      </c>
      <c r="X963" s="19">
        <f t="shared" si="265"/>
        <v>0</v>
      </c>
      <c r="Y963" s="51">
        <f t="shared" si="269"/>
        <v>45918</v>
      </c>
      <c r="Z963" s="51">
        <v>45901</v>
      </c>
      <c r="AA963" s="49">
        <f t="shared" si="266"/>
        <v>17</v>
      </c>
      <c r="AB963" s="51">
        <f t="shared" si="281"/>
        <v>45920</v>
      </c>
      <c r="AC963" s="49">
        <f t="shared" si="282"/>
        <v>19</v>
      </c>
      <c r="AD963" s="43">
        <f t="shared" si="283"/>
        <v>45920</v>
      </c>
      <c r="AE963" s="4">
        <v>45912</v>
      </c>
      <c r="AF963" s="19">
        <f t="shared" si="268"/>
        <v>8</v>
      </c>
      <c r="AG963" s="10"/>
    </row>
    <row r="964" spans="1:38" ht="14.45">
      <c r="A964" s="156">
        <v>963</v>
      </c>
      <c r="B964" s="59">
        <v>45920</v>
      </c>
      <c r="C964" s="34" t="s">
        <v>2034</v>
      </c>
      <c r="D964" s="23" t="s">
        <v>38</v>
      </c>
      <c r="E964" s="23">
        <v>344.76</v>
      </c>
      <c r="F964" s="23" t="s">
        <v>2035</v>
      </c>
      <c r="G964" s="14" t="s">
        <v>190</v>
      </c>
      <c r="H964" s="23" t="s">
        <v>40</v>
      </c>
      <c r="I964" s="23" t="s">
        <v>41</v>
      </c>
      <c r="J964" s="97">
        <f t="shared" si="277"/>
        <v>45820</v>
      </c>
      <c r="K964" s="4">
        <v>45820</v>
      </c>
      <c r="L964" s="19">
        <f t="shared" si="267"/>
        <v>0</v>
      </c>
      <c r="M964" s="5">
        <f t="shared" si="278"/>
        <v>45831</v>
      </c>
      <c r="N964" s="4">
        <v>45895</v>
      </c>
      <c r="O964" s="19">
        <f t="shared" si="262"/>
        <v>-64</v>
      </c>
      <c r="P964" s="5">
        <f t="shared" si="279"/>
        <v>45846</v>
      </c>
      <c r="Q964" s="4">
        <v>45896</v>
      </c>
      <c r="R964" s="19">
        <f t="shared" si="263"/>
        <v>-50</v>
      </c>
      <c r="S964" s="5">
        <f t="shared" si="261"/>
        <v>45851</v>
      </c>
      <c r="T964" s="4">
        <v>45901</v>
      </c>
      <c r="U964" s="19">
        <f t="shared" si="264"/>
        <v>-50</v>
      </c>
      <c r="V964" s="5">
        <f t="shared" si="280"/>
        <v>45890</v>
      </c>
      <c r="W964" s="6">
        <v>45890</v>
      </c>
      <c r="X964" s="19">
        <f t="shared" si="265"/>
        <v>0</v>
      </c>
      <c r="Y964" s="51">
        <f t="shared" si="269"/>
        <v>45918</v>
      </c>
      <c r="Z964" s="51">
        <v>45901</v>
      </c>
      <c r="AA964" s="49">
        <f t="shared" si="266"/>
        <v>17</v>
      </c>
      <c r="AB964" s="51">
        <f t="shared" si="281"/>
        <v>45920</v>
      </c>
      <c r="AC964" s="49">
        <f t="shared" si="282"/>
        <v>19</v>
      </c>
      <c r="AD964" s="43">
        <f t="shared" si="283"/>
        <v>45920</v>
      </c>
      <c r="AE964" s="4">
        <v>45912</v>
      </c>
      <c r="AF964" s="19">
        <f t="shared" si="268"/>
        <v>8</v>
      </c>
      <c r="AG964" s="10"/>
    </row>
    <row r="965" spans="1:38" ht="14.45">
      <c r="A965" s="156">
        <v>964</v>
      </c>
      <c r="B965" s="59">
        <v>45920</v>
      </c>
      <c r="C965" s="34" t="s">
        <v>2036</v>
      </c>
      <c r="D965" s="23" t="s">
        <v>629</v>
      </c>
      <c r="E965" s="23">
        <v>2270</v>
      </c>
      <c r="F965" s="23" t="s">
        <v>2037</v>
      </c>
      <c r="G965" s="14" t="s">
        <v>46</v>
      </c>
      <c r="H965" s="23" t="s">
        <v>40</v>
      </c>
      <c r="I965" s="23" t="s">
        <v>62</v>
      </c>
      <c r="J965" s="97">
        <f t="shared" si="277"/>
        <v>45820</v>
      </c>
      <c r="K965" s="4">
        <v>45803</v>
      </c>
      <c r="L965" s="19">
        <f t="shared" si="267"/>
        <v>17</v>
      </c>
      <c r="M965" s="5">
        <f t="shared" si="278"/>
        <v>45831</v>
      </c>
      <c r="N965" s="4">
        <v>45846</v>
      </c>
      <c r="O965" s="19">
        <f t="shared" si="262"/>
        <v>-15</v>
      </c>
      <c r="P965" s="5">
        <f t="shared" si="279"/>
        <v>45846</v>
      </c>
      <c r="R965" s="19" t="str">
        <f t="shared" si="263"/>
        <v/>
      </c>
      <c r="S965" s="5">
        <f t="shared" ref="S965:S1030" si="284">B965-69</f>
        <v>45851</v>
      </c>
      <c r="T965" s="4">
        <v>45847</v>
      </c>
      <c r="U965" s="19">
        <f t="shared" si="264"/>
        <v>4</v>
      </c>
      <c r="V965" s="5">
        <f t="shared" si="280"/>
        <v>45890</v>
      </c>
      <c r="W965" s="6">
        <v>45891</v>
      </c>
      <c r="X965" s="19">
        <f t="shared" si="265"/>
        <v>-1</v>
      </c>
      <c r="Y965" s="51">
        <f t="shared" si="269"/>
        <v>45918</v>
      </c>
      <c r="Z965" s="124">
        <v>45912</v>
      </c>
      <c r="AA965" s="49">
        <f t="shared" si="266"/>
        <v>6</v>
      </c>
      <c r="AB965" s="51">
        <f t="shared" si="281"/>
        <v>45920</v>
      </c>
      <c r="AC965" s="49">
        <f t="shared" si="282"/>
        <v>8</v>
      </c>
      <c r="AD965" s="43">
        <f t="shared" si="283"/>
        <v>45920</v>
      </c>
      <c r="AE965" s="4">
        <v>45917</v>
      </c>
      <c r="AF965" s="19">
        <f t="shared" si="268"/>
        <v>3</v>
      </c>
      <c r="AG965" s="10"/>
      <c r="AH965" s="1"/>
      <c r="AI965" s="1"/>
      <c r="AJ965" s="1"/>
      <c r="AK965" s="1"/>
      <c r="AL965" s="1"/>
    </row>
    <row r="966" spans="1:38" ht="14.45">
      <c r="A966" s="156">
        <v>965</v>
      </c>
      <c r="B966" s="59">
        <v>45921</v>
      </c>
      <c r="C966" s="34" t="s">
        <v>2038</v>
      </c>
      <c r="D966" s="23" t="s">
        <v>38</v>
      </c>
      <c r="E966" s="23">
        <v>1484.48</v>
      </c>
      <c r="F966" s="23" t="s">
        <v>2039</v>
      </c>
      <c r="G966" s="14" t="s">
        <v>190</v>
      </c>
      <c r="H966" s="23" t="s">
        <v>40</v>
      </c>
      <c r="I966" s="23" t="s">
        <v>41</v>
      </c>
      <c r="J966" s="97">
        <f t="shared" si="277"/>
        <v>45821</v>
      </c>
      <c r="K966" s="4">
        <v>45821</v>
      </c>
      <c r="L966" s="19">
        <f t="shared" si="267"/>
        <v>0</v>
      </c>
      <c r="M966" s="5">
        <f t="shared" si="278"/>
        <v>45832</v>
      </c>
      <c r="N966" s="4">
        <v>45895</v>
      </c>
      <c r="O966" s="19">
        <f t="shared" si="262"/>
        <v>-63</v>
      </c>
      <c r="P966" s="5">
        <f t="shared" si="279"/>
        <v>45847</v>
      </c>
      <c r="Q966" s="4">
        <v>45896</v>
      </c>
      <c r="R966" s="19">
        <f t="shared" si="263"/>
        <v>-49</v>
      </c>
      <c r="S966" s="5">
        <f t="shared" si="284"/>
        <v>45852</v>
      </c>
      <c r="T966" s="4">
        <v>45901</v>
      </c>
      <c r="U966" s="19">
        <f t="shared" si="264"/>
        <v>-49</v>
      </c>
      <c r="V966" s="5">
        <f t="shared" si="280"/>
        <v>45891</v>
      </c>
      <c r="W966" s="6">
        <v>45891</v>
      </c>
      <c r="X966" s="19">
        <f t="shared" si="265"/>
        <v>0</v>
      </c>
      <c r="Y966" s="51">
        <f t="shared" si="269"/>
        <v>45919</v>
      </c>
      <c r="Z966" s="51">
        <v>45901</v>
      </c>
      <c r="AA966" s="49">
        <f t="shared" si="266"/>
        <v>18</v>
      </c>
      <c r="AB966" s="51">
        <f t="shared" si="281"/>
        <v>45921</v>
      </c>
      <c r="AC966" s="49">
        <f t="shared" si="282"/>
        <v>20</v>
      </c>
      <c r="AD966" s="43">
        <f t="shared" si="283"/>
        <v>45921</v>
      </c>
      <c r="AE966" s="4">
        <v>45912</v>
      </c>
      <c r="AF966" s="19">
        <f t="shared" si="268"/>
        <v>9</v>
      </c>
      <c r="AG966" s="10"/>
    </row>
    <row r="967" spans="1:38" ht="14.45">
      <c r="A967" s="156">
        <v>966</v>
      </c>
      <c r="B967" s="59">
        <v>45921</v>
      </c>
      <c r="C967" s="34">
        <v>648297455</v>
      </c>
      <c r="D967" s="61" t="s">
        <v>283</v>
      </c>
      <c r="E967" s="23">
        <v>25977.1</v>
      </c>
      <c r="F967" s="23" t="s">
        <v>2040</v>
      </c>
      <c r="G967" s="14" t="s">
        <v>51</v>
      </c>
      <c r="H967" s="23" t="s">
        <v>40</v>
      </c>
      <c r="I967" s="23" t="s">
        <v>93</v>
      </c>
      <c r="J967" s="97">
        <f t="shared" si="277"/>
        <v>45821</v>
      </c>
      <c r="L967" s="19" t="str">
        <f t="shared" si="267"/>
        <v/>
      </c>
      <c r="M967" s="5">
        <f t="shared" si="278"/>
        <v>45832</v>
      </c>
      <c r="O967" s="19" t="str">
        <f t="shared" si="262"/>
        <v/>
      </c>
      <c r="P967" s="5">
        <f t="shared" si="279"/>
        <v>45847</v>
      </c>
      <c r="R967" s="19" t="str">
        <f t="shared" si="263"/>
        <v/>
      </c>
      <c r="S967" s="5">
        <f t="shared" si="284"/>
        <v>45852</v>
      </c>
      <c r="U967" s="19" t="str">
        <f t="shared" si="264"/>
        <v/>
      </c>
      <c r="V967" s="5">
        <f t="shared" si="280"/>
        <v>45891</v>
      </c>
      <c r="W967" s="6"/>
      <c r="X967" s="19" t="str">
        <f t="shared" si="265"/>
        <v/>
      </c>
      <c r="Y967" s="51">
        <f t="shared" si="269"/>
        <v>45919</v>
      </c>
      <c r="Z967" s="49"/>
      <c r="AA967" s="49" t="str">
        <f t="shared" si="266"/>
        <v/>
      </c>
      <c r="AB967" s="51">
        <f t="shared" si="281"/>
        <v>45921</v>
      </c>
      <c r="AC967" s="49" t="str">
        <f t="shared" si="282"/>
        <v/>
      </c>
      <c r="AD967" s="43">
        <f t="shared" si="283"/>
        <v>45921</v>
      </c>
      <c r="AF967" s="19" t="str">
        <f t="shared" si="268"/>
        <v/>
      </c>
      <c r="AG967" s="67" t="s">
        <v>367</v>
      </c>
      <c r="AH967" s="1"/>
      <c r="AI967" s="1"/>
      <c r="AJ967" s="1"/>
      <c r="AK967" s="1"/>
      <c r="AL967" s="1"/>
    </row>
    <row r="968" spans="1:38" s="9" customFormat="1" ht="14.45">
      <c r="A968" s="156">
        <v>967</v>
      </c>
      <c r="B968" s="60">
        <v>45921</v>
      </c>
      <c r="C968" s="41" t="s">
        <v>2041</v>
      </c>
      <c r="D968" s="24" t="s">
        <v>2042</v>
      </c>
      <c r="E968" s="24">
        <v>34409.699999999997</v>
      </c>
      <c r="F968" s="24" t="s">
        <v>2043</v>
      </c>
      <c r="G968" s="14" t="s">
        <v>46</v>
      </c>
      <c r="H968" s="24" t="s">
        <v>40</v>
      </c>
      <c r="I968" s="24" t="s">
        <v>229</v>
      </c>
      <c r="J968" s="98">
        <f t="shared" si="277"/>
        <v>45821</v>
      </c>
      <c r="K968" s="7">
        <v>45803</v>
      </c>
      <c r="L968" s="99">
        <f t="shared" si="267"/>
        <v>18</v>
      </c>
      <c r="M968" s="20">
        <f t="shared" si="278"/>
        <v>45832</v>
      </c>
      <c r="N968" s="7"/>
      <c r="O968" s="99" t="str">
        <f t="shared" ref="O968:O1037" si="285">IF(OR(M968="", N968=""), "", M968-N968)</f>
        <v/>
      </c>
      <c r="P968" s="20">
        <f t="shared" si="279"/>
        <v>45847</v>
      </c>
      <c r="Q968" s="7"/>
      <c r="R968" s="99" t="str">
        <f t="shared" ref="R968:R1037" si="286">IF(OR(P968="", Q968=""), "", P968-Q968)</f>
        <v/>
      </c>
      <c r="S968" s="20">
        <f t="shared" si="284"/>
        <v>45852</v>
      </c>
      <c r="T968" s="7"/>
      <c r="U968" s="99" t="str">
        <f t="shared" ref="U968:U1037" si="287">IF(OR(S968="", T968=""), "", S968-T968)</f>
        <v/>
      </c>
      <c r="V968" s="20">
        <f t="shared" si="280"/>
        <v>45891</v>
      </c>
      <c r="W968" s="47"/>
      <c r="X968" s="99" t="str">
        <f t="shared" ref="X968:X1037" si="288">IF(OR(V968="", W968=""), "", V968-W968)</f>
        <v/>
      </c>
      <c r="Y968" s="66">
        <f t="shared" si="269"/>
        <v>45919</v>
      </c>
      <c r="Z968" s="126"/>
      <c r="AA968" s="50" t="str">
        <f t="shared" ref="AA968:AA1037" si="289">IF(OR(Y968="", Z968=""), "", Y968-Z968)</f>
        <v/>
      </c>
      <c r="AB968" s="51">
        <f t="shared" si="281"/>
        <v>45921</v>
      </c>
      <c r="AC968" s="49" t="str">
        <f t="shared" si="282"/>
        <v/>
      </c>
      <c r="AD968" s="100">
        <f t="shared" si="283"/>
        <v>45921</v>
      </c>
      <c r="AE968" s="7"/>
      <c r="AF968" s="99" t="str">
        <f t="shared" si="268"/>
        <v/>
      </c>
      <c r="AG968" s="36" t="s">
        <v>367</v>
      </c>
      <c r="AH968" s="48"/>
      <c r="AI968" s="48"/>
      <c r="AJ968" s="48"/>
      <c r="AK968" s="48"/>
      <c r="AL968" s="48"/>
    </row>
    <row r="969" spans="1:38" ht="14.45">
      <c r="A969" s="156">
        <v>968</v>
      </c>
      <c r="B969" s="59">
        <v>45921</v>
      </c>
      <c r="C969" s="34" t="s">
        <v>2044</v>
      </c>
      <c r="D969" s="23" t="s">
        <v>2045</v>
      </c>
      <c r="E969" s="23">
        <v>1956.94</v>
      </c>
      <c r="F969" s="23" t="s">
        <v>2046</v>
      </c>
      <c r="G969" s="14" t="s">
        <v>190</v>
      </c>
      <c r="H969" s="23" t="s">
        <v>40</v>
      </c>
      <c r="I969" s="23" t="s">
        <v>93</v>
      </c>
      <c r="J969" s="97">
        <f t="shared" si="277"/>
        <v>45821</v>
      </c>
      <c r="K969" s="4">
        <v>45821</v>
      </c>
      <c r="L969" s="19">
        <f t="shared" si="267"/>
        <v>0</v>
      </c>
      <c r="M969" s="5">
        <f t="shared" si="278"/>
        <v>45832</v>
      </c>
      <c r="N969" s="4">
        <v>45832</v>
      </c>
      <c r="O969" s="19">
        <f t="shared" si="285"/>
        <v>0</v>
      </c>
      <c r="P969" s="5">
        <f t="shared" si="279"/>
        <v>45847</v>
      </c>
      <c r="R969" s="19" t="str">
        <f t="shared" si="286"/>
        <v/>
      </c>
      <c r="S969" s="5">
        <f t="shared" si="284"/>
        <v>45852</v>
      </c>
      <c r="T969" s="4">
        <v>45856</v>
      </c>
      <c r="U969" s="19">
        <f t="shared" si="287"/>
        <v>-4</v>
      </c>
      <c r="V969" s="5">
        <f t="shared" si="280"/>
        <v>45891</v>
      </c>
      <c r="W969" s="6">
        <v>45898</v>
      </c>
      <c r="X969" s="19">
        <f t="shared" si="288"/>
        <v>-7</v>
      </c>
      <c r="Y969" s="51">
        <f t="shared" si="269"/>
        <v>45919</v>
      </c>
      <c r="Z969" s="51">
        <v>45921</v>
      </c>
      <c r="AA969" s="49">
        <f t="shared" si="289"/>
        <v>-2</v>
      </c>
      <c r="AB969" s="51">
        <f t="shared" si="281"/>
        <v>45921</v>
      </c>
      <c r="AC969" s="49">
        <f t="shared" si="282"/>
        <v>0</v>
      </c>
      <c r="AD969" s="43">
        <f t="shared" si="283"/>
        <v>45921</v>
      </c>
      <c r="AF969" s="19" t="str">
        <f t="shared" si="268"/>
        <v/>
      </c>
      <c r="AG969" s="10"/>
      <c r="AH969" s="1"/>
      <c r="AI969" s="1"/>
      <c r="AJ969" s="1"/>
      <c r="AK969" s="1"/>
      <c r="AL969" s="1"/>
    </row>
    <row r="970" spans="1:38" ht="14.45">
      <c r="A970" s="156">
        <v>969</v>
      </c>
      <c r="B970" s="59">
        <v>45923</v>
      </c>
      <c r="C970" s="34" t="s">
        <v>2047</v>
      </c>
      <c r="D970" s="23" t="s">
        <v>488</v>
      </c>
      <c r="E970" s="23">
        <v>3322</v>
      </c>
      <c r="F970" s="23" t="s">
        <v>2048</v>
      </c>
      <c r="G970" s="14" t="s">
        <v>46</v>
      </c>
      <c r="H970" s="23" t="s">
        <v>40</v>
      </c>
      <c r="I970" s="23" t="s">
        <v>62</v>
      </c>
      <c r="J970" s="97">
        <f t="shared" si="277"/>
        <v>45823</v>
      </c>
      <c r="K970" s="4">
        <v>45846</v>
      </c>
      <c r="L970" s="19">
        <f t="shared" si="267"/>
        <v>-23</v>
      </c>
      <c r="M970" s="5">
        <f t="shared" si="278"/>
        <v>45834</v>
      </c>
      <c r="N970" s="4">
        <v>45846</v>
      </c>
      <c r="O970" s="19">
        <f t="shared" si="285"/>
        <v>-12</v>
      </c>
      <c r="P970" s="5">
        <f t="shared" si="279"/>
        <v>45849</v>
      </c>
      <c r="Q970" s="4">
        <v>45846</v>
      </c>
      <c r="R970" s="19">
        <f t="shared" si="286"/>
        <v>3</v>
      </c>
      <c r="S970" s="5">
        <f t="shared" si="284"/>
        <v>45854</v>
      </c>
      <c r="T970" s="4">
        <v>45867</v>
      </c>
      <c r="U970" s="19">
        <f t="shared" si="287"/>
        <v>-13</v>
      </c>
      <c r="V970" s="5">
        <f t="shared" si="280"/>
        <v>45893</v>
      </c>
      <c r="W970" s="6">
        <v>45892</v>
      </c>
      <c r="X970" s="19">
        <f t="shared" si="288"/>
        <v>1</v>
      </c>
      <c r="Y970" s="51">
        <f t="shared" si="269"/>
        <v>45921</v>
      </c>
      <c r="Z970" s="124">
        <v>45905</v>
      </c>
      <c r="AA970" s="49">
        <f t="shared" si="289"/>
        <v>16</v>
      </c>
      <c r="AB970" s="51">
        <f t="shared" si="281"/>
        <v>45923</v>
      </c>
      <c r="AC970" s="49">
        <f t="shared" si="282"/>
        <v>18</v>
      </c>
      <c r="AD970" s="43">
        <f t="shared" si="283"/>
        <v>45923</v>
      </c>
      <c r="AE970" s="4">
        <v>45912</v>
      </c>
      <c r="AF970" s="19">
        <f t="shared" si="268"/>
        <v>11</v>
      </c>
      <c r="AG970" s="10"/>
      <c r="AH970" s="1"/>
      <c r="AI970" s="1"/>
      <c r="AJ970" s="1"/>
      <c r="AK970" s="1"/>
      <c r="AL970" s="1"/>
    </row>
    <row r="971" spans="1:38" ht="14.45">
      <c r="A971" s="156">
        <v>970</v>
      </c>
      <c r="B971" s="59">
        <v>45923</v>
      </c>
      <c r="C971" s="34" t="s">
        <v>2049</v>
      </c>
      <c r="D971" s="23" t="s">
        <v>2050</v>
      </c>
      <c r="E971" s="23">
        <v>6546.15</v>
      </c>
      <c r="F971" s="23" t="s">
        <v>2051</v>
      </c>
      <c r="G971" s="14" t="s">
        <v>35</v>
      </c>
      <c r="H971" s="23" t="s">
        <v>36</v>
      </c>
      <c r="I971" s="23" t="s">
        <v>62</v>
      </c>
      <c r="J971" s="97">
        <f t="shared" si="277"/>
        <v>45823</v>
      </c>
      <c r="L971" s="19" t="str">
        <f t="shared" si="267"/>
        <v/>
      </c>
      <c r="M971" s="5">
        <f t="shared" si="278"/>
        <v>45834</v>
      </c>
      <c r="O971" s="19" t="str">
        <f t="shared" si="285"/>
        <v/>
      </c>
      <c r="P971" s="5">
        <f t="shared" si="279"/>
        <v>45849</v>
      </c>
      <c r="R971" s="19" t="str">
        <f t="shared" si="286"/>
        <v/>
      </c>
      <c r="S971" s="5">
        <f t="shared" si="284"/>
        <v>45854</v>
      </c>
      <c r="U971" s="19" t="str">
        <f t="shared" si="287"/>
        <v/>
      </c>
      <c r="V971" s="5">
        <f t="shared" si="280"/>
        <v>45893</v>
      </c>
      <c r="W971" s="6">
        <v>45882</v>
      </c>
      <c r="X971" s="19">
        <f t="shared" si="288"/>
        <v>11</v>
      </c>
      <c r="Y971" s="51">
        <f t="shared" si="269"/>
        <v>45921</v>
      </c>
      <c r="Z971" s="51">
        <v>45923</v>
      </c>
      <c r="AA971" s="49">
        <f t="shared" si="289"/>
        <v>-2</v>
      </c>
      <c r="AB971" s="51">
        <f t="shared" si="281"/>
        <v>45923</v>
      </c>
      <c r="AC971" s="49">
        <f t="shared" si="282"/>
        <v>0</v>
      </c>
      <c r="AD971" s="43">
        <f t="shared" si="283"/>
        <v>45923</v>
      </c>
      <c r="AE971" s="4">
        <v>45945</v>
      </c>
      <c r="AF971" s="19">
        <f t="shared" si="268"/>
        <v>-22</v>
      </c>
      <c r="AG971" s="10" t="s">
        <v>367</v>
      </c>
      <c r="AH971" s="1"/>
      <c r="AI971" s="1"/>
      <c r="AJ971" s="1"/>
      <c r="AK971" s="1"/>
      <c r="AL971" s="1"/>
    </row>
    <row r="972" spans="1:38" ht="14.45">
      <c r="A972" s="156">
        <v>971</v>
      </c>
      <c r="B972" s="59">
        <v>45924</v>
      </c>
      <c r="C972" s="34" t="s">
        <v>2052</v>
      </c>
      <c r="D972" s="23" t="s">
        <v>38</v>
      </c>
      <c r="E972" s="23">
        <v>16.48</v>
      </c>
      <c r="F972" s="23" t="s">
        <v>2053</v>
      </c>
      <c r="G972" s="14" t="s">
        <v>190</v>
      </c>
      <c r="H972" s="23" t="s">
        <v>40</v>
      </c>
      <c r="I972" s="23" t="s">
        <v>41</v>
      </c>
      <c r="J972" s="97">
        <f t="shared" si="277"/>
        <v>45824</v>
      </c>
      <c r="K972" s="4">
        <v>45824</v>
      </c>
      <c r="L972" s="19">
        <f t="shared" si="267"/>
        <v>0</v>
      </c>
      <c r="M972" s="5">
        <f t="shared" si="278"/>
        <v>45835</v>
      </c>
      <c r="N972" s="4">
        <v>45895</v>
      </c>
      <c r="O972" s="19">
        <f t="shared" si="285"/>
        <v>-60</v>
      </c>
      <c r="P972" s="5">
        <f t="shared" si="279"/>
        <v>45850</v>
      </c>
      <c r="Q972" s="4">
        <v>45896</v>
      </c>
      <c r="R972" s="19">
        <f t="shared" si="286"/>
        <v>-46</v>
      </c>
      <c r="S972" s="5">
        <f t="shared" si="284"/>
        <v>45855</v>
      </c>
      <c r="T972" s="4">
        <v>45901</v>
      </c>
      <c r="U972" s="19">
        <f t="shared" si="287"/>
        <v>-46</v>
      </c>
      <c r="V972" s="5">
        <f t="shared" si="280"/>
        <v>45894</v>
      </c>
      <c r="W972" s="6">
        <v>45894</v>
      </c>
      <c r="X972" s="19">
        <f t="shared" si="288"/>
        <v>0</v>
      </c>
      <c r="Y972" s="51">
        <f t="shared" si="269"/>
        <v>45922</v>
      </c>
      <c r="Z972" s="51">
        <v>45901</v>
      </c>
      <c r="AA972" s="49">
        <f t="shared" si="289"/>
        <v>21</v>
      </c>
      <c r="AB972" s="51">
        <f t="shared" si="281"/>
        <v>45924</v>
      </c>
      <c r="AC972" s="49">
        <f t="shared" si="282"/>
        <v>23</v>
      </c>
      <c r="AD972" s="43">
        <f t="shared" si="283"/>
        <v>45924</v>
      </c>
      <c r="AE972" s="4">
        <v>45912</v>
      </c>
      <c r="AF972" s="19">
        <f t="shared" si="268"/>
        <v>12</v>
      </c>
      <c r="AG972" s="10"/>
    </row>
    <row r="973" spans="1:38" ht="14.45">
      <c r="A973" s="156">
        <v>972</v>
      </c>
      <c r="B973" s="59">
        <v>45924</v>
      </c>
      <c r="C973" s="34" t="s">
        <v>2054</v>
      </c>
      <c r="D973" s="23" t="s">
        <v>38</v>
      </c>
      <c r="E973" s="23">
        <v>2508.91</v>
      </c>
      <c r="F973" s="23" t="s">
        <v>2055</v>
      </c>
      <c r="G973" s="14" t="s">
        <v>190</v>
      </c>
      <c r="H973" s="23" t="s">
        <v>40</v>
      </c>
      <c r="I973" s="23" t="s">
        <v>41</v>
      </c>
      <c r="J973" s="97">
        <f t="shared" si="277"/>
        <v>45824</v>
      </c>
      <c r="K973" s="4">
        <v>45824</v>
      </c>
      <c r="L973" s="19">
        <f t="shared" si="267"/>
        <v>0</v>
      </c>
      <c r="M973" s="5">
        <f t="shared" si="278"/>
        <v>45835</v>
      </c>
      <c r="N973" s="4">
        <v>45895</v>
      </c>
      <c r="O973" s="19">
        <f t="shared" si="285"/>
        <v>-60</v>
      </c>
      <c r="P973" s="5">
        <f t="shared" si="279"/>
        <v>45850</v>
      </c>
      <c r="Q973" s="4">
        <v>45896</v>
      </c>
      <c r="R973" s="19">
        <f t="shared" si="286"/>
        <v>-46</v>
      </c>
      <c r="S973" s="5">
        <f t="shared" si="284"/>
        <v>45855</v>
      </c>
      <c r="T973" s="4">
        <v>45901</v>
      </c>
      <c r="U973" s="19">
        <f t="shared" si="287"/>
        <v>-46</v>
      </c>
      <c r="V973" s="5">
        <f t="shared" si="280"/>
        <v>45894</v>
      </c>
      <c r="W973" s="6">
        <v>45894</v>
      </c>
      <c r="X973" s="19">
        <f t="shared" si="288"/>
        <v>0</v>
      </c>
      <c r="Y973" s="51">
        <f t="shared" si="269"/>
        <v>45922</v>
      </c>
      <c r="Z973" s="51">
        <v>45901</v>
      </c>
      <c r="AA973" s="49">
        <f t="shared" si="289"/>
        <v>21</v>
      </c>
      <c r="AB973" s="51">
        <f t="shared" si="281"/>
        <v>45924</v>
      </c>
      <c r="AC973" s="49">
        <f t="shared" si="282"/>
        <v>23</v>
      </c>
      <c r="AD973" s="43">
        <f t="shared" si="283"/>
        <v>45924</v>
      </c>
      <c r="AE973" s="4">
        <v>45912</v>
      </c>
      <c r="AF973" s="19">
        <f t="shared" si="268"/>
        <v>12</v>
      </c>
      <c r="AG973" s="10"/>
    </row>
    <row r="974" spans="1:38" ht="14.45">
      <c r="A974" s="156">
        <v>973</v>
      </c>
      <c r="B974" s="59">
        <v>45924</v>
      </c>
      <c r="C974" s="34">
        <v>111761940</v>
      </c>
      <c r="D974" s="23" t="s">
        <v>2056</v>
      </c>
      <c r="E974" s="23">
        <v>27148.48</v>
      </c>
      <c r="F974" s="23" t="s">
        <v>2057</v>
      </c>
      <c r="G974" s="14" t="s">
        <v>35</v>
      </c>
      <c r="H974" s="23" t="s">
        <v>36</v>
      </c>
      <c r="I974" s="23" t="s">
        <v>37</v>
      </c>
      <c r="J974" s="97">
        <f t="shared" si="277"/>
        <v>45824</v>
      </c>
      <c r="L974" s="19" t="str">
        <f t="shared" si="267"/>
        <v/>
      </c>
      <c r="M974" s="5">
        <f t="shared" si="278"/>
        <v>45835</v>
      </c>
      <c r="O974" s="19" t="str">
        <f t="shared" si="285"/>
        <v/>
      </c>
      <c r="P974" s="5">
        <f t="shared" si="279"/>
        <v>45850</v>
      </c>
      <c r="R974" s="19" t="str">
        <f t="shared" si="286"/>
        <v/>
      </c>
      <c r="S974" s="5">
        <f t="shared" si="284"/>
        <v>45855</v>
      </c>
      <c r="U974" s="19" t="str">
        <f t="shared" si="287"/>
        <v/>
      </c>
      <c r="V974" s="5">
        <f t="shared" si="280"/>
        <v>45894</v>
      </c>
      <c r="W974" s="6">
        <v>45894</v>
      </c>
      <c r="X974" s="19">
        <f t="shared" si="288"/>
        <v>0</v>
      </c>
      <c r="Y974" s="51">
        <f t="shared" si="269"/>
        <v>45922</v>
      </c>
      <c r="Z974" s="51"/>
      <c r="AA974" s="49" t="str">
        <f t="shared" si="289"/>
        <v/>
      </c>
      <c r="AB974" s="51">
        <f t="shared" si="281"/>
        <v>45924</v>
      </c>
      <c r="AC974" s="49" t="str">
        <f t="shared" si="282"/>
        <v/>
      </c>
      <c r="AD974" s="43">
        <f t="shared" si="283"/>
        <v>45924</v>
      </c>
      <c r="AF974" s="19" t="str">
        <f t="shared" si="268"/>
        <v/>
      </c>
      <c r="AG974" s="10" t="s">
        <v>367</v>
      </c>
      <c r="AH974" s="1"/>
      <c r="AI974" s="1"/>
      <c r="AJ974" s="1"/>
      <c r="AK974" s="1"/>
      <c r="AL974" s="1"/>
    </row>
    <row r="975" spans="1:38" ht="14.45">
      <c r="A975" s="156">
        <v>974</v>
      </c>
      <c r="B975" s="59">
        <v>45925</v>
      </c>
      <c r="C975" s="34">
        <v>634534499</v>
      </c>
      <c r="D975" s="23" t="s">
        <v>227</v>
      </c>
      <c r="E975" s="23">
        <v>488.18</v>
      </c>
      <c r="F975" s="23" t="s">
        <v>2058</v>
      </c>
      <c r="G975" s="10" t="s">
        <v>120</v>
      </c>
      <c r="H975" s="23" t="s">
        <v>40</v>
      </c>
      <c r="I975" s="23" t="s">
        <v>41</v>
      </c>
      <c r="J975" s="97">
        <f t="shared" si="277"/>
        <v>45825</v>
      </c>
      <c r="L975" s="19" t="str">
        <f t="shared" si="267"/>
        <v/>
      </c>
      <c r="M975" s="5">
        <f t="shared" si="278"/>
        <v>45836</v>
      </c>
      <c r="O975" s="19" t="str">
        <f t="shared" si="285"/>
        <v/>
      </c>
      <c r="P975" s="5">
        <f t="shared" si="279"/>
        <v>45851</v>
      </c>
      <c r="R975" s="19" t="str">
        <f t="shared" si="286"/>
        <v/>
      </c>
      <c r="S975" s="5">
        <f t="shared" si="284"/>
        <v>45856</v>
      </c>
      <c r="U975" s="19" t="str">
        <f t="shared" si="287"/>
        <v/>
      </c>
      <c r="V975" s="5">
        <f t="shared" si="280"/>
        <v>45895</v>
      </c>
      <c r="W975" s="6">
        <v>45895</v>
      </c>
      <c r="X975" s="19">
        <f t="shared" si="288"/>
        <v>0</v>
      </c>
      <c r="Y975" s="51">
        <f t="shared" si="269"/>
        <v>45923</v>
      </c>
      <c r="Z975" s="51">
        <v>45905</v>
      </c>
      <c r="AA975" s="49">
        <f t="shared" si="289"/>
        <v>18</v>
      </c>
      <c r="AB975" s="51">
        <f t="shared" si="281"/>
        <v>45925</v>
      </c>
      <c r="AC975" s="49">
        <f t="shared" si="282"/>
        <v>20</v>
      </c>
      <c r="AD975" s="43">
        <f t="shared" si="283"/>
        <v>45925</v>
      </c>
      <c r="AE975" s="4">
        <v>45905</v>
      </c>
      <c r="AF975" s="19">
        <f t="shared" si="268"/>
        <v>20</v>
      </c>
      <c r="AG975" s="10"/>
      <c r="AH975" s="1"/>
      <c r="AI975" s="1"/>
      <c r="AJ975" s="1"/>
      <c r="AK975" s="1"/>
      <c r="AL975" s="1"/>
    </row>
    <row r="976" spans="1:38" ht="14.45">
      <c r="A976" s="156">
        <v>975</v>
      </c>
      <c r="B976" s="59">
        <v>45925</v>
      </c>
      <c r="C976" s="34" t="s">
        <v>2059</v>
      </c>
      <c r="D976" s="23" t="s">
        <v>2045</v>
      </c>
      <c r="E976" s="23">
        <v>1009.24</v>
      </c>
      <c r="F976" s="23" t="s">
        <v>2060</v>
      </c>
      <c r="G976" s="14" t="s">
        <v>190</v>
      </c>
      <c r="H976" s="23" t="s">
        <v>40</v>
      </c>
      <c r="I976" s="23" t="s">
        <v>41</v>
      </c>
      <c r="J976" s="97">
        <f t="shared" si="277"/>
        <v>45825</v>
      </c>
      <c r="K976" s="4">
        <v>45825</v>
      </c>
      <c r="L976" s="19">
        <f t="shared" si="267"/>
        <v>0</v>
      </c>
      <c r="M976" s="5">
        <f t="shared" si="278"/>
        <v>45836</v>
      </c>
      <c r="N976" s="4">
        <v>45832</v>
      </c>
      <c r="O976" s="19">
        <f t="shared" si="285"/>
        <v>4</v>
      </c>
      <c r="P976" s="5">
        <f t="shared" si="279"/>
        <v>45851</v>
      </c>
      <c r="R976" s="19" t="str">
        <f t="shared" si="286"/>
        <v/>
      </c>
      <c r="S976" s="5">
        <f t="shared" si="284"/>
        <v>45856</v>
      </c>
      <c r="T976" s="4">
        <v>45856</v>
      </c>
      <c r="U976" s="19">
        <f t="shared" si="287"/>
        <v>0</v>
      </c>
      <c r="V976" s="5">
        <f t="shared" si="280"/>
        <v>45895</v>
      </c>
      <c r="W976" s="6">
        <v>45902</v>
      </c>
      <c r="X976" s="19">
        <f t="shared" si="288"/>
        <v>-7</v>
      </c>
      <c r="Y976" s="51">
        <f t="shared" si="269"/>
        <v>45923</v>
      </c>
      <c r="Z976" s="51">
        <v>45922</v>
      </c>
      <c r="AA976" s="49">
        <f t="shared" si="289"/>
        <v>1</v>
      </c>
      <c r="AB976" s="51">
        <f t="shared" si="281"/>
        <v>45925</v>
      </c>
      <c r="AC976" s="49">
        <f t="shared" si="282"/>
        <v>3</v>
      </c>
      <c r="AD976" s="43">
        <f t="shared" si="283"/>
        <v>45925</v>
      </c>
      <c r="AE976" s="4">
        <v>45923</v>
      </c>
      <c r="AF976" s="19">
        <f t="shared" si="268"/>
        <v>2</v>
      </c>
      <c r="AG976" s="10"/>
      <c r="AH976" s="1"/>
      <c r="AI976" s="1"/>
      <c r="AJ976" s="1"/>
      <c r="AK976" s="1"/>
      <c r="AL976" s="1"/>
    </row>
    <row r="977" spans="1:38" ht="14.45">
      <c r="A977" s="156">
        <v>976</v>
      </c>
      <c r="B977" s="59">
        <v>45924</v>
      </c>
      <c r="C977" s="39" t="s">
        <v>2061</v>
      </c>
      <c r="D977" s="23" t="s">
        <v>38</v>
      </c>
      <c r="E977" s="44">
        <v>254.8</v>
      </c>
      <c r="F977" s="35" t="s">
        <v>135</v>
      </c>
      <c r="G977" s="23" t="s">
        <v>190</v>
      </c>
      <c r="H977" s="23" t="s">
        <v>40</v>
      </c>
      <c r="I977" s="23" t="s">
        <v>41</v>
      </c>
      <c r="J977" s="97">
        <f t="shared" si="277"/>
        <v>45824</v>
      </c>
      <c r="K977" s="4">
        <v>45824</v>
      </c>
      <c r="L977" s="19">
        <f t="shared" ref="L977" si="290">IF(OR(J977="", K977=""), "", J977-K977)</f>
        <v>0</v>
      </c>
      <c r="M977" s="5">
        <f t="shared" si="278"/>
        <v>45835</v>
      </c>
      <c r="N977" s="4">
        <v>45895</v>
      </c>
      <c r="O977" s="19">
        <f t="shared" ref="O977" si="291">IF(OR(M977="", N977=""), "", M977-N977)</f>
        <v>-60</v>
      </c>
      <c r="P977" s="5">
        <f t="shared" si="279"/>
        <v>45850</v>
      </c>
      <c r="Q977" s="4">
        <v>45896</v>
      </c>
      <c r="R977" s="19">
        <f t="shared" ref="R977" si="292">IF(OR(P977="", Q977=""), "", P977-Q977)</f>
        <v>-46</v>
      </c>
      <c r="S977" s="5">
        <f t="shared" si="284"/>
        <v>45855</v>
      </c>
      <c r="T977" s="4">
        <v>45901</v>
      </c>
      <c r="U977" s="19">
        <f t="shared" ref="U977" si="293">IF(OR(S977="", T977=""), "", S977-T977)</f>
        <v>-46</v>
      </c>
      <c r="V977" s="5">
        <f t="shared" si="280"/>
        <v>45894</v>
      </c>
      <c r="W977" s="6">
        <v>45894</v>
      </c>
      <c r="X977" s="19">
        <f t="shared" ref="X977" si="294">IF(OR(V977="", W977=""), "", V977-W977)</f>
        <v>0</v>
      </c>
      <c r="Y977" s="51">
        <f t="shared" si="269"/>
        <v>45922</v>
      </c>
      <c r="Z977" s="51">
        <v>45901</v>
      </c>
      <c r="AA977" s="49">
        <f t="shared" ref="AA977" si="295">IF(OR(Y977="", Z977=""), "", Y977-Z977)</f>
        <v>21</v>
      </c>
      <c r="AB977" s="51">
        <f t="shared" si="281"/>
        <v>45924</v>
      </c>
      <c r="AC977" s="49">
        <f t="shared" si="282"/>
        <v>23</v>
      </c>
      <c r="AD977" s="43">
        <f t="shared" si="283"/>
        <v>45924</v>
      </c>
      <c r="AE977" s="4">
        <v>45912</v>
      </c>
      <c r="AF977" s="19">
        <f t="shared" ref="AF977" si="296">IF(OR(AD977="", AE977=""), "", AD977-AE977)</f>
        <v>12</v>
      </c>
      <c r="AG977" s="10"/>
    </row>
    <row r="978" spans="1:38" ht="14.45">
      <c r="A978" s="156">
        <v>977</v>
      </c>
      <c r="B978" s="59">
        <v>45926</v>
      </c>
      <c r="C978" s="39" t="s">
        <v>2062</v>
      </c>
      <c r="D978" s="23" t="s">
        <v>38</v>
      </c>
      <c r="E978" s="44">
        <v>246.46</v>
      </c>
      <c r="F978" s="35" t="s">
        <v>2063</v>
      </c>
      <c r="G978" s="23" t="s">
        <v>190</v>
      </c>
      <c r="H978" s="23" t="s">
        <v>40</v>
      </c>
      <c r="I978" s="23" t="s">
        <v>41</v>
      </c>
      <c r="J978" s="97">
        <f t="shared" si="277"/>
        <v>45826</v>
      </c>
      <c r="K978" s="4">
        <v>45826</v>
      </c>
      <c r="L978" s="19">
        <f t="shared" ref="L978" si="297">IF(OR(J978="", K978=""), "", J978-K978)</f>
        <v>0</v>
      </c>
      <c r="M978" s="5">
        <f t="shared" si="278"/>
        <v>45837</v>
      </c>
      <c r="N978" s="4">
        <v>45895</v>
      </c>
      <c r="O978" s="19">
        <f t="shared" ref="O978" si="298">IF(OR(M978="", N978=""), "", M978-N978)</f>
        <v>-58</v>
      </c>
      <c r="P978" s="5">
        <f t="shared" si="279"/>
        <v>45852</v>
      </c>
      <c r="Q978" s="4">
        <v>45896</v>
      </c>
      <c r="R978" s="19">
        <f t="shared" ref="R978" si="299">IF(OR(P978="", Q978=""), "", P978-Q978)</f>
        <v>-44</v>
      </c>
      <c r="S978" s="5">
        <f t="shared" si="284"/>
        <v>45857</v>
      </c>
      <c r="T978" s="4">
        <v>45901</v>
      </c>
      <c r="U978" s="19">
        <f t="shared" ref="U978" si="300">IF(OR(S978="", T978=""), "", S978-T978)</f>
        <v>-44</v>
      </c>
      <c r="V978" s="5">
        <f t="shared" si="280"/>
        <v>45896</v>
      </c>
      <c r="W978" s="6">
        <v>45896</v>
      </c>
      <c r="X978" s="19">
        <f t="shared" ref="X978" si="301">IF(OR(V978="", W978=""), "", V978-W978)</f>
        <v>0</v>
      </c>
      <c r="Y978" s="51">
        <f t="shared" si="269"/>
        <v>45924</v>
      </c>
      <c r="Z978" s="51">
        <v>45901</v>
      </c>
      <c r="AA978" s="49">
        <f t="shared" ref="AA978" si="302">IF(OR(Y978="", Z978=""), "", Y978-Z978)</f>
        <v>23</v>
      </c>
      <c r="AB978" s="51">
        <f t="shared" si="281"/>
        <v>45926</v>
      </c>
      <c r="AC978" s="49">
        <f t="shared" si="282"/>
        <v>25</v>
      </c>
      <c r="AD978" s="43">
        <f t="shared" si="283"/>
        <v>45926</v>
      </c>
      <c r="AE978" s="4">
        <v>45912</v>
      </c>
      <c r="AF978" s="19">
        <f t="shared" ref="AF978" si="303">IF(OR(AD978="", AE978=""), "", AD978-AE978)</f>
        <v>14</v>
      </c>
      <c r="AG978" s="10"/>
    </row>
    <row r="979" spans="1:38" ht="14.45">
      <c r="A979" s="156">
        <v>978</v>
      </c>
      <c r="B979" s="59">
        <v>45926</v>
      </c>
      <c r="C979" s="34" t="s">
        <v>2064</v>
      </c>
      <c r="D979" s="23" t="s">
        <v>38</v>
      </c>
      <c r="E979" s="23">
        <v>586.12</v>
      </c>
      <c r="F979" s="23" t="s">
        <v>2065</v>
      </c>
      <c r="G979" s="14" t="s">
        <v>190</v>
      </c>
      <c r="H979" s="23" t="s">
        <v>40</v>
      </c>
      <c r="I979" s="23" t="s">
        <v>41</v>
      </c>
      <c r="J979" s="97">
        <f t="shared" si="277"/>
        <v>45826</v>
      </c>
      <c r="K979" s="4">
        <v>45826</v>
      </c>
      <c r="L979" s="19">
        <f t="shared" si="267"/>
        <v>0</v>
      </c>
      <c r="M979" s="5">
        <f t="shared" si="278"/>
        <v>45837</v>
      </c>
      <c r="N979" s="4">
        <v>45895</v>
      </c>
      <c r="O979" s="19">
        <f t="shared" si="285"/>
        <v>-58</v>
      </c>
      <c r="P979" s="5">
        <f t="shared" si="279"/>
        <v>45852</v>
      </c>
      <c r="Q979" s="4">
        <v>45896</v>
      </c>
      <c r="R979" s="19">
        <f t="shared" si="286"/>
        <v>-44</v>
      </c>
      <c r="S979" s="5">
        <f t="shared" si="284"/>
        <v>45857</v>
      </c>
      <c r="T979" s="4">
        <v>45901</v>
      </c>
      <c r="U979" s="19">
        <f t="shared" si="287"/>
        <v>-44</v>
      </c>
      <c r="V979" s="5">
        <f t="shared" si="280"/>
        <v>45896</v>
      </c>
      <c r="W979" s="6">
        <v>45896</v>
      </c>
      <c r="X979" s="19">
        <f t="shared" si="288"/>
        <v>0</v>
      </c>
      <c r="Y979" s="51">
        <f t="shared" si="269"/>
        <v>45924</v>
      </c>
      <c r="Z979" s="51">
        <v>45901</v>
      </c>
      <c r="AA979" s="49">
        <f t="shared" si="289"/>
        <v>23</v>
      </c>
      <c r="AB979" s="51">
        <f t="shared" si="281"/>
        <v>45926</v>
      </c>
      <c r="AC979" s="49">
        <f t="shared" si="282"/>
        <v>25</v>
      </c>
      <c r="AD979" s="43">
        <f t="shared" si="283"/>
        <v>45926</v>
      </c>
      <c r="AE979" s="4">
        <v>45912</v>
      </c>
      <c r="AF979" s="19">
        <f t="shared" si="268"/>
        <v>14</v>
      </c>
      <c r="AG979" s="10"/>
    </row>
    <row r="980" spans="1:38" ht="14.45">
      <c r="A980" s="156">
        <v>979</v>
      </c>
      <c r="B980" s="59">
        <v>45926</v>
      </c>
      <c r="C980" s="34" t="s">
        <v>2066</v>
      </c>
      <c r="D980" s="23" t="s">
        <v>38</v>
      </c>
      <c r="E980" s="23">
        <v>3742</v>
      </c>
      <c r="F980" s="23" t="s">
        <v>2065</v>
      </c>
      <c r="G980" s="14" t="s">
        <v>190</v>
      </c>
      <c r="H980" s="23" t="s">
        <v>40</v>
      </c>
      <c r="I980" s="23" t="s">
        <v>41</v>
      </c>
      <c r="J980" s="97">
        <f t="shared" si="277"/>
        <v>45826</v>
      </c>
      <c r="K980" s="4">
        <v>45826</v>
      </c>
      <c r="L980" s="19">
        <f t="shared" ref="L980:L1050" si="304">IF(OR(J980="", K980=""), "", J980-K980)</f>
        <v>0</v>
      </c>
      <c r="M980" s="5">
        <f t="shared" si="278"/>
        <v>45837</v>
      </c>
      <c r="N980" s="4">
        <v>45895</v>
      </c>
      <c r="O980" s="19">
        <f t="shared" si="285"/>
        <v>-58</v>
      </c>
      <c r="P980" s="5">
        <f t="shared" si="279"/>
        <v>45852</v>
      </c>
      <c r="Q980" s="4">
        <v>45896</v>
      </c>
      <c r="R980" s="19">
        <f t="shared" si="286"/>
        <v>-44</v>
      </c>
      <c r="S980" s="5">
        <f t="shared" si="284"/>
        <v>45857</v>
      </c>
      <c r="T980" s="4">
        <v>45901</v>
      </c>
      <c r="U980" s="19">
        <f t="shared" si="287"/>
        <v>-44</v>
      </c>
      <c r="V980" s="5">
        <f t="shared" si="280"/>
        <v>45896</v>
      </c>
      <c r="W980" s="6">
        <v>45896</v>
      </c>
      <c r="X980" s="19">
        <f t="shared" si="288"/>
        <v>0</v>
      </c>
      <c r="Y980" s="51">
        <f t="shared" si="269"/>
        <v>45924</v>
      </c>
      <c r="Z980" s="51">
        <v>45901</v>
      </c>
      <c r="AA980" s="49">
        <f t="shared" si="289"/>
        <v>23</v>
      </c>
      <c r="AB980" s="51">
        <f t="shared" si="281"/>
        <v>45926</v>
      </c>
      <c r="AC980" s="49">
        <f t="shared" si="282"/>
        <v>25</v>
      </c>
      <c r="AD980" s="43">
        <f t="shared" si="283"/>
        <v>45926</v>
      </c>
      <c r="AE980" s="4">
        <v>45912</v>
      </c>
      <c r="AF980" s="19">
        <f t="shared" si="268"/>
        <v>14</v>
      </c>
      <c r="AG980" s="10"/>
    </row>
    <row r="981" spans="1:38" ht="14.45">
      <c r="A981" s="156">
        <v>980</v>
      </c>
      <c r="B981" s="59">
        <v>45926</v>
      </c>
      <c r="C981" s="34" t="s">
        <v>2067</v>
      </c>
      <c r="D981" s="23" t="s">
        <v>38</v>
      </c>
      <c r="E981" s="23">
        <v>450</v>
      </c>
      <c r="F981" s="23" t="s">
        <v>2068</v>
      </c>
      <c r="G981" s="14" t="s">
        <v>190</v>
      </c>
      <c r="H981" s="23" t="s">
        <v>40</v>
      </c>
      <c r="I981" s="23" t="s">
        <v>41</v>
      </c>
      <c r="J981" s="97">
        <f t="shared" si="277"/>
        <v>45826</v>
      </c>
      <c r="K981" s="4">
        <v>45826</v>
      </c>
      <c r="L981" s="19">
        <f t="shared" si="304"/>
        <v>0</v>
      </c>
      <c r="M981" s="5">
        <f t="shared" si="278"/>
        <v>45837</v>
      </c>
      <c r="N981" s="4">
        <v>45895</v>
      </c>
      <c r="O981" s="19">
        <f t="shared" si="285"/>
        <v>-58</v>
      </c>
      <c r="P981" s="5">
        <f t="shared" si="279"/>
        <v>45852</v>
      </c>
      <c r="Q981" s="4">
        <v>45896</v>
      </c>
      <c r="R981" s="19">
        <f t="shared" si="286"/>
        <v>-44</v>
      </c>
      <c r="S981" s="5">
        <f t="shared" si="284"/>
        <v>45857</v>
      </c>
      <c r="T981" s="4">
        <v>45901</v>
      </c>
      <c r="U981" s="19">
        <f t="shared" si="287"/>
        <v>-44</v>
      </c>
      <c r="V981" s="5">
        <f t="shared" si="280"/>
        <v>45896</v>
      </c>
      <c r="W981" s="6">
        <v>45896</v>
      </c>
      <c r="X981" s="19">
        <f t="shared" si="288"/>
        <v>0</v>
      </c>
      <c r="Y981" s="51">
        <f t="shared" si="269"/>
        <v>45924</v>
      </c>
      <c r="Z981" s="51">
        <v>45901</v>
      </c>
      <c r="AA981" s="49">
        <f t="shared" si="289"/>
        <v>23</v>
      </c>
      <c r="AB981" s="51">
        <f t="shared" si="281"/>
        <v>45926</v>
      </c>
      <c r="AC981" s="49">
        <f t="shared" si="282"/>
        <v>25</v>
      </c>
      <c r="AD981" s="43">
        <f t="shared" si="283"/>
        <v>45926</v>
      </c>
      <c r="AE981" s="4">
        <v>45912</v>
      </c>
      <c r="AF981" s="19">
        <f t="shared" si="268"/>
        <v>14</v>
      </c>
      <c r="AG981" s="10"/>
    </row>
    <row r="982" spans="1:38" ht="14.45">
      <c r="A982" s="156">
        <v>981</v>
      </c>
      <c r="B982" s="59">
        <v>45926</v>
      </c>
      <c r="C982" s="34" t="s">
        <v>2069</v>
      </c>
      <c r="D982" s="23" t="s">
        <v>38</v>
      </c>
      <c r="E982" s="23">
        <v>450</v>
      </c>
      <c r="F982" s="23" t="s">
        <v>2070</v>
      </c>
      <c r="G982" s="14" t="s">
        <v>190</v>
      </c>
      <c r="H982" s="23" t="s">
        <v>40</v>
      </c>
      <c r="I982" s="23" t="s">
        <v>41</v>
      </c>
      <c r="J982" s="97">
        <f t="shared" si="277"/>
        <v>45826</v>
      </c>
      <c r="K982" s="4">
        <v>45826</v>
      </c>
      <c r="L982" s="19">
        <f t="shared" si="304"/>
        <v>0</v>
      </c>
      <c r="M982" s="5">
        <f t="shared" si="278"/>
        <v>45837</v>
      </c>
      <c r="N982" s="4">
        <v>45895</v>
      </c>
      <c r="O982" s="19">
        <f t="shared" si="285"/>
        <v>-58</v>
      </c>
      <c r="P982" s="5">
        <f t="shared" si="279"/>
        <v>45852</v>
      </c>
      <c r="Q982" s="4">
        <v>45896</v>
      </c>
      <c r="R982" s="19">
        <f t="shared" si="286"/>
        <v>-44</v>
      </c>
      <c r="S982" s="5">
        <f t="shared" si="284"/>
        <v>45857</v>
      </c>
      <c r="T982" s="4">
        <v>45901</v>
      </c>
      <c r="U982" s="19">
        <f t="shared" si="287"/>
        <v>-44</v>
      </c>
      <c r="V982" s="5">
        <f t="shared" si="280"/>
        <v>45896</v>
      </c>
      <c r="W982" s="6">
        <v>45896</v>
      </c>
      <c r="X982" s="19">
        <f t="shared" si="288"/>
        <v>0</v>
      </c>
      <c r="Y982" s="51">
        <f t="shared" si="269"/>
        <v>45924</v>
      </c>
      <c r="Z982" s="51">
        <v>45901</v>
      </c>
      <c r="AA982" s="49">
        <f t="shared" si="289"/>
        <v>23</v>
      </c>
      <c r="AB982" s="51">
        <f t="shared" si="281"/>
        <v>45926</v>
      </c>
      <c r="AC982" s="49">
        <f t="shared" si="282"/>
        <v>25</v>
      </c>
      <c r="AD982" s="43">
        <f t="shared" si="283"/>
        <v>45926</v>
      </c>
      <c r="AE982" s="4">
        <v>45912</v>
      </c>
      <c r="AF982" s="19">
        <f t="shared" si="268"/>
        <v>14</v>
      </c>
      <c r="AG982"/>
    </row>
    <row r="983" spans="1:38" ht="14.45">
      <c r="A983" s="156">
        <v>982</v>
      </c>
      <c r="B983" s="60">
        <v>45926</v>
      </c>
      <c r="C983" s="41" t="s">
        <v>2071</v>
      </c>
      <c r="D983" s="24" t="s">
        <v>38</v>
      </c>
      <c r="E983" s="24">
        <v>209.76</v>
      </c>
      <c r="F983" s="24" t="s">
        <v>2072</v>
      </c>
      <c r="G983" s="14" t="s">
        <v>190</v>
      </c>
      <c r="H983" s="24" t="s">
        <v>40</v>
      </c>
      <c r="I983" s="24" t="s">
        <v>41</v>
      </c>
      <c r="J983" s="98">
        <f t="shared" si="277"/>
        <v>45826</v>
      </c>
      <c r="K983" s="7">
        <v>45826</v>
      </c>
      <c r="L983" s="99">
        <f t="shared" si="304"/>
        <v>0</v>
      </c>
      <c r="M983" s="20">
        <f t="shared" si="278"/>
        <v>45837</v>
      </c>
      <c r="N983" s="7">
        <v>45895</v>
      </c>
      <c r="O983" s="99">
        <f t="shared" si="285"/>
        <v>-58</v>
      </c>
      <c r="P983" s="20">
        <f t="shared" si="279"/>
        <v>45852</v>
      </c>
      <c r="Q983" s="7">
        <v>45896</v>
      </c>
      <c r="R983" s="99">
        <f t="shared" si="286"/>
        <v>-44</v>
      </c>
      <c r="S983" s="20">
        <f t="shared" si="284"/>
        <v>45857</v>
      </c>
      <c r="T983" s="7">
        <v>45901</v>
      </c>
      <c r="U983" s="99">
        <f t="shared" si="287"/>
        <v>-44</v>
      </c>
      <c r="V983" s="20">
        <f t="shared" si="280"/>
        <v>45896</v>
      </c>
      <c r="W983" s="47">
        <v>45896</v>
      </c>
      <c r="X983" s="99">
        <f t="shared" si="288"/>
        <v>0</v>
      </c>
      <c r="Y983" s="66">
        <f t="shared" si="269"/>
        <v>45924</v>
      </c>
      <c r="Z983" s="7">
        <v>45902</v>
      </c>
      <c r="AA983" s="50">
        <f t="shared" si="289"/>
        <v>22</v>
      </c>
      <c r="AB983" s="51">
        <f t="shared" si="281"/>
        <v>45926</v>
      </c>
      <c r="AC983" s="49">
        <f t="shared" si="282"/>
        <v>24</v>
      </c>
      <c r="AD983" s="100">
        <f t="shared" si="283"/>
        <v>45926</v>
      </c>
      <c r="AE983" s="7">
        <v>45902</v>
      </c>
      <c r="AF983" s="99">
        <f t="shared" si="268"/>
        <v>24</v>
      </c>
      <c r="AG983" s="36" t="s">
        <v>1479</v>
      </c>
    </row>
    <row r="984" spans="1:38" ht="14.45">
      <c r="A984" s="156">
        <v>983</v>
      </c>
      <c r="B984" s="59">
        <v>45926</v>
      </c>
      <c r="C984" s="34">
        <v>111780168</v>
      </c>
      <c r="D984" s="23" t="s">
        <v>153</v>
      </c>
      <c r="E984" s="23">
        <v>3352.32</v>
      </c>
      <c r="F984" s="23" t="s">
        <v>2073</v>
      </c>
      <c r="G984" s="14" t="s">
        <v>46</v>
      </c>
      <c r="H984" s="23" t="s">
        <v>36</v>
      </c>
      <c r="I984" s="23" t="s">
        <v>37</v>
      </c>
      <c r="J984" s="97">
        <f t="shared" si="277"/>
        <v>45826</v>
      </c>
      <c r="K984" s="4">
        <v>45846</v>
      </c>
      <c r="L984" s="19">
        <f t="shared" si="304"/>
        <v>-20</v>
      </c>
      <c r="M984" s="5">
        <f t="shared" si="278"/>
        <v>45837</v>
      </c>
      <c r="N984" s="4">
        <v>45847</v>
      </c>
      <c r="O984" s="19">
        <f t="shared" si="285"/>
        <v>-10</v>
      </c>
      <c r="P984" s="5">
        <f t="shared" si="279"/>
        <v>45852</v>
      </c>
      <c r="R984" s="19" t="str">
        <f t="shared" si="286"/>
        <v/>
      </c>
      <c r="S984" s="5">
        <f t="shared" si="284"/>
        <v>45857</v>
      </c>
      <c r="T984" s="4">
        <v>45894</v>
      </c>
      <c r="U984" s="19">
        <f t="shared" si="287"/>
        <v>-37</v>
      </c>
      <c r="V984" s="5">
        <f t="shared" si="280"/>
        <v>45896</v>
      </c>
      <c r="W984" s="6">
        <v>45904</v>
      </c>
      <c r="X984" s="19">
        <f t="shared" si="288"/>
        <v>-8</v>
      </c>
      <c r="Y984" s="51">
        <f t="shared" si="269"/>
        <v>45924</v>
      </c>
      <c r="Z984" s="4">
        <v>45911</v>
      </c>
      <c r="AA984" s="49">
        <f t="shared" si="289"/>
        <v>13</v>
      </c>
      <c r="AB984" s="51">
        <f t="shared" si="281"/>
        <v>45926</v>
      </c>
      <c r="AC984" s="49">
        <f t="shared" si="282"/>
        <v>15</v>
      </c>
      <c r="AD984" s="43">
        <f t="shared" si="283"/>
        <v>45926</v>
      </c>
      <c r="AE984" s="4">
        <v>45911</v>
      </c>
      <c r="AF984" s="19">
        <f t="shared" si="268"/>
        <v>15</v>
      </c>
      <c r="AG984" s="10"/>
      <c r="AH984" s="1"/>
      <c r="AI984" s="1"/>
      <c r="AJ984" s="1"/>
      <c r="AK984" s="1"/>
      <c r="AL984" s="1"/>
    </row>
    <row r="985" spans="1:38" ht="14.45">
      <c r="A985" s="156">
        <v>984</v>
      </c>
      <c r="B985" s="59">
        <v>45926</v>
      </c>
      <c r="C985" s="34" t="s">
        <v>2074</v>
      </c>
      <c r="D985" s="23" t="s">
        <v>1925</v>
      </c>
      <c r="E985" s="23">
        <v>1023.54</v>
      </c>
      <c r="F985" s="23" t="s">
        <v>2075</v>
      </c>
      <c r="G985" s="23" t="s">
        <v>35</v>
      </c>
      <c r="H985" s="23" t="s">
        <v>40</v>
      </c>
      <c r="I985" s="23" t="s">
        <v>93</v>
      </c>
      <c r="J985" s="97">
        <f t="shared" si="277"/>
        <v>45826</v>
      </c>
      <c r="L985" s="19" t="str">
        <f t="shared" si="304"/>
        <v/>
      </c>
      <c r="M985" s="5">
        <f t="shared" si="278"/>
        <v>45837</v>
      </c>
      <c r="O985" s="19" t="str">
        <f t="shared" si="285"/>
        <v/>
      </c>
      <c r="P985" s="5">
        <f t="shared" si="279"/>
        <v>45852</v>
      </c>
      <c r="R985" s="19" t="str">
        <f t="shared" si="286"/>
        <v/>
      </c>
      <c r="S985" s="5">
        <f t="shared" si="284"/>
        <v>45857</v>
      </c>
      <c r="U985" s="19" t="str">
        <f t="shared" si="287"/>
        <v/>
      </c>
      <c r="V985" s="5">
        <f t="shared" si="280"/>
        <v>45896</v>
      </c>
      <c r="W985" s="6">
        <v>45880</v>
      </c>
      <c r="X985" s="19">
        <f t="shared" si="288"/>
        <v>16</v>
      </c>
      <c r="Y985" s="51">
        <f t="shared" si="269"/>
        <v>45924</v>
      </c>
      <c r="Z985" s="51">
        <v>45903</v>
      </c>
      <c r="AA985" s="49">
        <f t="shared" si="289"/>
        <v>21</v>
      </c>
      <c r="AB985" s="51">
        <f t="shared" si="281"/>
        <v>45926</v>
      </c>
      <c r="AC985" s="49">
        <f t="shared" si="282"/>
        <v>23</v>
      </c>
      <c r="AD985" s="43">
        <f t="shared" si="283"/>
        <v>45926</v>
      </c>
      <c r="AE985" s="4">
        <v>45903</v>
      </c>
      <c r="AF985" s="19">
        <f t="shared" si="268"/>
        <v>23</v>
      </c>
      <c r="AG985" s="10"/>
      <c r="AH985" s="1"/>
      <c r="AI985" s="1"/>
      <c r="AJ985" s="1"/>
      <c r="AK985" s="1"/>
      <c r="AL985" s="1"/>
    </row>
    <row r="986" spans="1:38" ht="14.45">
      <c r="A986" s="156">
        <v>985</v>
      </c>
      <c r="B986" s="59">
        <v>45927</v>
      </c>
      <c r="C986" s="34" t="s">
        <v>2076</v>
      </c>
      <c r="D986" s="23" t="s">
        <v>2077</v>
      </c>
      <c r="E986" s="23">
        <v>1744.48</v>
      </c>
      <c r="F986" s="23" t="s">
        <v>2078</v>
      </c>
      <c r="G986" s="14" t="s">
        <v>46</v>
      </c>
      <c r="H986" s="23" t="s">
        <v>40</v>
      </c>
      <c r="I986" s="23" t="s">
        <v>229</v>
      </c>
      <c r="J986" s="97">
        <f t="shared" si="277"/>
        <v>45827</v>
      </c>
      <c r="K986" s="4">
        <v>45846</v>
      </c>
      <c r="L986" s="19">
        <f t="shared" si="304"/>
        <v>-19</v>
      </c>
      <c r="M986" s="5">
        <f t="shared" si="278"/>
        <v>45838</v>
      </c>
      <c r="N986" s="4">
        <v>45847</v>
      </c>
      <c r="O986" s="19">
        <f t="shared" si="285"/>
        <v>-9</v>
      </c>
      <c r="P986" s="5">
        <f t="shared" si="279"/>
        <v>45853</v>
      </c>
      <c r="R986" s="19" t="str">
        <f t="shared" si="286"/>
        <v/>
      </c>
      <c r="S986" s="5">
        <f t="shared" si="284"/>
        <v>45858</v>
      </c>
      <c r="T986" s="4">
        <v>45887</v>
      </c>
      <c r="U986" s="19">
        <f t="shared" si="287"/>
        <v>-29</v>
      </c>
      <c r="V986" s="5">
        <f t="shared" si="280"/>
        <v>45897</v>
      </c>
      <c r="W986" s="6">
        <v>45890</v>
      </c>
      <c r="X986" s="19">
        <f t="shared" si="288"/>
        <v>7</v>
      </c>
      <c r="Y986" s="51">
        <f t="shared" si="269"/>
        <v>45925</v>
      </c>
      <c r="Z986" s="124">
        <v>45904</v>
      </c>
      <c r="AA986" s="49">
        <f t="shared" si="289"/>
        <v>21</v>
      </c>
      <c r="AB986" s="51">
        <f t="shared" si="281"/>
        <v>45927</v>
      </c>
      <c r="AC986" s="49">
        <f t="shared" si="282"/>
        <v>23</v>
      </c>
      <c r="AD986" s="43">
        <f t="shared" si="283"/>
        <v>45927</v>
      </c>
      <c r="AE986" s="4">
        <v>45912</v>
      </c>
      <c r="AF986" s="19">
        <f t="shared" si="268"/>
        <v>15</v>
      </c>
      <c r="AG986" s="10"/>
      <c r="AH986" s="1"/>
      <c r="AI986" s="1"/>
      <c r="AJ986" s="1"/>
      <c r="AK986" s="1"/>
      <c r="AL986" s="1"/>
    </row>
    <row r="987" spans="1:38" ht="14.45">
      <c r="A987" s="156">
        <v>986</v>
      </c>
      <c r="B987" s="59">
        <v>45927</v>
      </c>
      <c r="C987" s="34" t="s">
        <v>2079</v>
      </c>
      <c r="D987" s="23" t="s">
        <v>2080</v>
      </c>
      <c r="E987" s="23">
        <v>24421.47</v>
      </c>
      <c r="F987" s="23" t="s">
        <v>2081</v>
      </c>
      <c r="G987" s="14" t="s">
        <v>35</v>
      </c>
      <c r="H987" s="23" t="s">
        <v>36</v>
      </c>
      <c r="I987" s="23" t="s">
        <v>37</v>
      </c>
      <c r="J987" s="97">
        <f t="shared" si="277"/>
        <v>45827</v>
      </c>
      <c r="L987" s="19" t="str">
        <f t="shared" si="304"/>
        <v/>
      </c>
      <c r="M987" s="5">
        <f t="shared" si="278"/>
        <v>45838</v>
      </c>
      <c r="O987" s="19" t="str">
        <f t="shared" si="285"/>
        <v/>
      </c>
      <c r="P987" s="5">
        <f t="shared" si="279"/>
        <v>45853</v>
      </c>
      <c r="R987" s="19" t="str">
        <f t="shared" si="286"/>
        <v/>
      </c>
      <c r="S987" s="5">
        <f t="shared" si="284"/>
        <v>45858</v>
      </c>
      <c r="T987" s="4">
        <v>45890</v>
      </c>
      <c r="U987" s="19">
        <f t="shared" si="287"/>
        <v>-32</v>
      </c>
      <c r="V987" s="5">
        <f t="shared" si="280"/>
        <v>45897</v>
      </c>
      <c r="W987" s="6">
        <v>45898</v>
      </c>
      <c r="X987" s="19">
        <f t="shared" si="288"/>
        <v>-1</v>
      </c>
      <c r="Y987" s="51">
        <f t="shared" si="269"/>
        <v>45925</v>
      </c>
      <c r="Z987" s="51">
        <v>45922</v>
      </c>
      <c r="AA987" s="49">
        <f t="shared" si="289"/>
        <v>3</v>
      </c>
      <c r="AB987" s="51">
        <f t="shared" si="281"/>
        <v>45927</v>
      </c>
      <c r="AC987" s="49">
        <f t="shared" si="282"/>
        <v>5</v>
      </c>
      <c r="AD987" s="43">
        <f t="shared" si="283"/>
        <v>45927</v>
      </c>
      <c r="AE987" s="4">
        <v>45926</v>
      </c>
      <c r="AF987" s="19">
        <f t="shared" si="268"/>
        <v>1</v>
      </c>
      <c r="AG987" s="10"/>
      <c r="AH987" s="1"/>
      <c r="AI987" s="1"/>
      <c r="AJ987" s="1"/>
      <c r="AK987" s="1"/>
      <c r="AL987" s="1"/>
    </row>
    <row r="988" spans="1:38" ht="14.45">
      <c r="A988" s="156">
        <v>987</v>
      </c>
      <c r="B988" s="59">
        <v>45927</v>
      </c>
      <c r="C988" s="34" t="s">
        <v>2082</v>
      </c>
      <c r="D988" s="23" t="s">
        <v>38</v>
      </c>
      <c r="E988" s="23">
        <v>398.86</v>
      </c>
      <c r="F988" s="23" t="s">
        <v>2083</v>
      </c>
      <c r="G988" s="14" t="s">
        <v>190</v>
      </c>
      <c r="H988" s="23" t="s">
        <v>40</v>
      </c>
      <c r="I988" s="23" t="s">
        <v>41</v>
      </c>
      <c r="J988" s="97">
        <f t="shared" si="277"/>
        <v>45827</v>
      </c>
      <c r="K988" s="4">
        <v>45827</v>
      </c>
      <c r="L988" s="19">
        <f t="shared" si="304"/>
        <v>0</v>
      </c>
      <c r="M988" s="5">
        <f t="shared" si="278"/>
        <v>45838</v>
      </c>
      <c r="N988" s="4">
        <v>45895</v>
      </c>
      <c r="O988" s="19">
        <f t="shared" si="285"/>
        <v>-57</v>
      </c>
      <c r="P988" s="5">
        <f t="shared" si="279"/>
        <v>45853</v>
      </c>
      <c r="Q988" s="4">
        <v>45896</v>
      </c>
      <c r="R988" s="19">
        <f t="shared" si="286"/>
        <v>-43</v>
      </c>
      <c r="S988" s="5">
        <f t="shared" si="284"/>
        <v>45858</v>
      </c>
      <c r="T988" s="4">
        <v>45901</v>
      </c>
      <c r="U988" s="19">
        <f t="shared" si="287"/>
        <v>-43</v>
      </c>
      <c r="V988" s="5">
        <f t="shared" si="280"/>
        <v>45897</v>
      </c>
      <c r="W988" s="6">
        <v>45897</v>
      </c>
      <c r="X988" s="19">
        <f t="shared" si="288"/>
        <v>0</v>
      </c>
      <c r="Y988" s="51">
        <f t="shared" si="269"/>
        <v>45925</v>
      </c>
      <c r="Z988" s="51">
        <v>45901</v>
      </c>
      <c r="AA988" s="49">
        <f t="shared" si="289"/>
        <v>24</v>
      </c>
      <c r="AB988" s="51">
        <f t="shared" si="281"/>
        <v>45927</v>
      </c>
      <c r="AC988" s="49">
        <f t="shared" si="282"/>
        <v>26</v>
      </c>
      <c r="AD988" s="43">
        <f t="shared" si="283"/>
        <v>45927</v>
      </c>
      <c r="AE988" s="4">
        <v>45912</v>
      </c>
      <c r="AF988" s="19">
        <f t="shared" si="268"/>
        <v>15</v>
      </c>
      <c r="AG988" s="10"/>
    </row>
    <row r="989" spans="1:38" s="9" customFormat="1" ht="14.45">
      <c r="A989" s="156">
        <v>988</v>
      </c>
      <c r="B989" s="60">
        <v>45930</v>
      </c>
      <c r="C989" s="41" t="s">
        <v>2084</v>
      </c>
      <c r="D989" s="24" t="s">
        <v>2085</v>
      </c>
      <c r="E989" s="24">
        <v>7452.3</v>
      </c>
      <c r="F989" s="24" t="s">
        <v>2086</v>
      </c>
      <c r="G989" s="14" t="s">
        <v>46</v>
      </c>
      <c r="H989" s="24" t="s">
        <v>36</v>
      </c>
      <c r="I989" s="24" t="s">
        <v>93</v>
      </c>
      <c r="J989" s="98">
        <f t="shared" si="277"/>
        <v>45830</v>
      </c>
      <c r="K989" s="7">
        <v>45846</v>
      </c>
      <c r="L989" s="99">
        <f t="shared" si="304"/>
        <v>-16</v>
      </c>
      <c r="M989" s="20">
        <f t="shared" si="278"/>
        <v>45841</v>
      </c>
      <c r="N989" s="7"/>
      <c r="O989" s="99" t="str">
        <f t="shared" si="285"/>
        <v/>
      </c>
      <c r="P989" s="20">
        <f t="shared" si="279"/>
        <v>45856</v>
      </c>
      <c r="Q989" s="7"/>
      <c r="R989" s="99" t="str">
        <f t="shared" si="286"/>
        <v/>
      </c>
      <c r="S989" s="20">
        <f t="shared" si="284"/>
        <v>45861</v>
      </c>
      <c r="T989" s="7">
        <v>45855</v>
      </c>
      <c r="U989" s="99">
        <f t="shared" si="287"/>
        <v>6</v>
      </c>
      <c r="V989" s="20">
        <f t="shared" si="280"/>
        <v>45900</v>
      </c>
      <c r="W989" s="47">
        <v>45862</v>
      </c>
      <c r="X989" s="99">
        <f t="shared" si="288"/>
        <v>38</v>
      </c>
      <c r="Y989" s="66">
        <f t="shared" si="269"/>
        <v>45928</v>
      </c>
      <c r="Z989" s="126"/>
      <c r="AA989" s="50" t="str">
        <f t="shared" si="289"/>
        <v/>
      </c>
      <c r="AB989" s="51">
        <f t="shared" si="281"/>
        <v>45930</v>
      </c>
      <c r="AC989" s="49" t="str">
        <f t="shared" si="282"/>
        <v/>
      </c>
      <c r="AD989" s="100">
        <f t="shared" si="283"/>
        <v>45930</v>
      </c>
      <c r="AE989" s="7"/>
      <c r="AF989" s="99" t="str">
        <f t="shared" si="268"/>
        <v/>
      </c>
      <c r="AG989" s="36" t="s">
        <v>367</v>
      </c>
      <c r="AH989" s="48"/>
      <c r="AI989" s="48"/>
      <c r="AJ989" s="48"/>
      <c r="AK989" s="48"/>
      <c r="AL989" s="48"/>
    </row>
    <row r="990" spans="1:38" ht="14.45">
      <c r="A990" s="156">
        <v>989</v>
      </c>
      <c r="B990" s="59">
        <v>45930</v>
      </c>
      <c r="C990" s="34" t="s">
        <v>2087</v>
      </c>
      <c r="D990" s="23" t="s">
        <v>2088</v>
      </c>
      <c r="E990" s="23">
        <v>39891.519999999997</v>
      </c>
      <c r="F990" s="23" t="s">
        <v>2089</v>
      </c>
      <c r="G990" s="14" t="s">
        <v>120</v>
      </c>
      <c r="H990" s="23" t="s">
        <v>40</v>
      </c>
      <c r="I990" s="23" t="s">
        <v>93</v>
      </c>
      <c r="J990" s="97">
        <f t="shared" si="277"/>
        <v>45830</v>
      </c>
      <c r="L990" s="19" t="str">
        <f t="shared" si="304"/>
        <v/>
      </c>
      <c r="M990" s="5">
        <f t="shared" si="278"/>
        <v>45841</v>
      </c>
      <c r="O990" s="19" t="str">
        <f t="shared" si="285"/>
        <v/>
      </c>
      <c r="P990" s="5">
        <f t="shared" si="279"/>
        <v>45856</v>
      </c>
      <c r="R990" s="19" t="str">
        <f t="shared" si="286"/>
        <v/>
      </c>
      <c r="S990" s="5">
        <f t="shared" si="284"/>
        <v>45861</v>
      </c>
      <c r="T990" s="4">
        <v>45835</v>
      </c>
      <c r="U990" s="19">
        <f t="shared" si="287"/>
        <v>26</v>
      </c>
      <c r="V990" s="5">
        <f t="shared" si="280"/>
        <v>45900</v>
      </c>
      <c r="W990" s="6">
        <v>45904</v>
      </c>
      <c r="X990" s="19">
        <f t="shared" si="288"/>
        <v>-4</v>
      </c>
      <c r="Y990" s="51">
        <f t="shared" si="269"/>
        <v>45928</v>
      </c>
      <c r="Z990" s="51">
        <v>45930</v>
      </c>
      <c r="AA990" s="49">
        <f t="shared" si="289"/>
        <v>-2</v>
      </c>
      <c r="AB990" s="51">
        <f t="shared" si="281"/>
        <v>45930</v>
      </c>
      <c r="AC990" s="49">
        <f t="shared" si="282"/>
        <v>0</v>
      </c>
      <c r="AD990" s="43">
        <f t="shared" si="283"/>
        <v>45930</v>
      </c>
      <c r="AE990" s="4">
        <v>45932</v>
      </c>
      <c r="AF990" s="19">
        <f t="shared" si="268"/>
        <v>-2</v>
      </c>
      <c r="AG990" s="10"/>
      <c r="AH990" s="1"/>
      <c r="AI990" s="1"/>
      <c r="AJ990" s="1"/>
      <c r="AK990" s="1"/>
      <c r="AL990" s="1"/>
    </row>
    <row r="991" spans="1:38" ht="14.45">
      <c r="A991" s="156">
        <v>990</v>
      </c>
      <c r="B991" s="59">
        <v>45930</v>
      </c>
      <c r="C991" s="34" t="s">
        <v>2090</v>
      </c>
      <c r="D991" s="23" t="s">
        <v>2091</v>
      </c>
      <c r="E991" s="23">
        <v>9774.91</v>
      </c>
      <c r="F991" s="23" t="s">
        <v>2092</v>
      </c>
      <c r="G991" s="14" t="s">
        <v>190</v>
      </c>
      <c r="H991" s="23" t="s">
        <v>40</v>
      </c>
      <c r="I991" s="23" t="s">
        <v>93</v>
      </c>
      <c r="J991" s="97">
        <f t="shared" si="277"/>
        <v>45830</v>
      </c>
      <c r="K991" s="4">
        <v>45834</v>
      </c>
      <c r="L991" s="19">
        <f t="shared" si="304"/>
        <v>-4</v>
      </c>
      <c r="M991" s="5">
        <f t="shared" si="278"/>
        <v>45841</v>
      </c>
      <c r="N991" s="4">
        <v>45846</v>
      </c>
      <c r="O991" s="19">
        <f t="shared" si="285"/>
        <v>-5</v>
      </c>
      <c r="P991" s="5">
        <f t="shared" si="279"/>
        <v>45856</v>
      </c>
      <c r="R991" s="19" t="str">
        <f t="shared" si="286"/>
        <v/>
      </c>
      <c r="S991" s="5">
        <f t="shared" si="284"/>
        <v>45861</v>
      </c>
      <c r="T991" s="4">
        <v>45865</v>
      </c>
      <c r="U991" s="19">
        <f t="shared" si="287"/>
        <v>-4</v>
      </c>
      <c r="V991" s="5">
        <f t="shared" si="280"/>
        <v>45900</v>
      </c>
      <c r="W991" s="4">
        <v>45917</v>
      </c>
      <c r="X991" s="19">
        <f t="shared" si="288"/>
        <v>-17</v>
      </c>
      <c r="Y991" s="51">
        <f t="shared" si="269"/>
        <v>45928</v>
      </c>
      <c r="Z991" s="51"/>
      <c r="AA991" s="49" t="str">
        <f t="shared" si="289"/>
        <v/>
      </c>
      <c r="AB991" s="51">
        <f t="shared" si="281"/>
        <v>45930</v>
      </c>
      <c r="AC991" s="49" t="str">
        <f t="shared" si="282"/>
        <v/>
      </c>
      <c r="AD991" s="43">
        <f t="shared" si="283"/>
        <v>45930</v>
      </c>
      <c r="AF991" s="19" t="str">
        <f t="shared" si="268"/>
        <v/>
      </c>
      <c r="AG991" s="10"/>
      <c r="AH991" s="1"/>
      <c r="AI991" s="1"/>
      <c r="AJ991" s="1"/>
      <c r="AK991" s="1"/>
      <c r="AL991" s="1"/>
    </row>
    <row r="992" spans="1:38" ht="14.45">
      <c r="A992" s="156">
        <v>991</v>
      </c>
      <c r="B992" s="59">
        <v>45930</v>
      </c>
      <c r="C992" s="39" t="s">
        <v>2093</v>
      </c>
      <c r="D992" s="23" t="s">
        <v>38</v>
      </c>
      <c r="E992" s="44">
        <v>129.12</v>
      </c>
      <c r="F992" s="35" t="s">
        <v>493</v>
      </c>
      <c r="G992" s="23" t="s">
        <v>190</v>
      </c>
      <c r="H992" s="23" t="s">
        <v>40</v>
      </c>
      <c r="I992" s="23" t="s">
        <v>41</v>
      </c>
      <c r="J992" s="97">
        <f t="shared" si="277"/>
        <v>45830</v>
      </c>
      <c r="K992" s="4">
        <v>45830</v>
      </c>
      <c r="L992" s="19">
        <f t="shared" ref="L992" si="305">IF(OR(J992="", K992=""), "", J992-K992)</f>
        <v>0</v>
      </c>
      <c r="M992" s="5">
        <f t="shared" si="278"/>
        <v>45841</v>
      </c>
      <c r="N992" s="4">
        <v>45895</v>
      </c>
      <c r="O992" s="19">
        <f t="shared" ref="O992" si="306">IF(OR(M992="", N992=""), "", M992-N992)</f>
        <v>-54</v>
      </c>
      <c r="P992" s="5">
        <f t="shared" si="279"/>
        <v>45856</v>
      </c>
      <c r="Q992" s="4">
        <v>45896</v>
      </c>
      <c r="R992" s="19">
        <f t="shared" ref="R992" si="307">IF(OR(P992="", Q992=""), "", P992-Q992)</f>
        <v>-40</v>
      </c>
      <c r="S992" s="5">
        <f t="shared" si="284"/>
        <v>45861</v>
      </c>
      <c r="T992" s="4">
        <v>45901</v>
      </c>
      <c r="U992" s="19">
        <f t="shared" ref="U992" si="308">IF(OR(S992="", T992=""), "", S992-T992)</f>
        <v>-40</v>
      </c>
      <c r="V992" s="5">
        <f t="shared" si="280"/>
        <v>45900</v>
      </c>
      <c r="W992" s="6">
        <v>45900</v>
      </c>
      <c r="X992" s="19">
        <f t="shared" ref="X992" si="309">IF(OR(V992="", W992=""), "", V992-W992)</f>
        <v>0</v>
      </c>
      <c r="Y992" s="51">
        <f t="shared" si="269"/>
        <v>45928</v>
      </c>
      <c r="Z992" s="51">
        <v>45901</v>
      </c>
      <c r="AA992" s="49">
        <f t="shared" ref="AA992" si="310">IF(OR(Y992="", Z992=""), "", Y992-Z992)</f>
        <v>27</v>
      </c>
      <c r="AB992" s="51">
        <f t="shared" si="281"/>
        <v>45930</v>
      </c>
      <c r="AC992" s="49">
        <f t="shared" si="282"/>
        <v>29</v>
      </c>
      <c r="AD992" s="43">
        <f t="shared" si="283"/>
        <v>45930</v>
      </c>
      <c r="AE992" s="4">
        <v>45912</v>
      </c>
      <c r="AF992" s="19">
        <f t="shared" ref="AF992:AF993" si="311">IF(OR(AD992="", AE992=""), "", AD992-AE992)</f>
        <v>18</v>
      </c>
      <c r="AG992" s="10"/>
    </row>
    <row r="993" spans="1:38" ht="14.45">
      <c r="A993" s="156">
        <v>992</v>
      </c>
      <c r="B993" s="59">
        <v>45930</v>
      </c>
      <c r="C993" s="39" t="s">
        <v>2094</v>
      </c>
      <c r="D993" s="35" t="s">
        <v>1089</v>
      </c>
      <c r="E993" s="44">
        <v>6705.7</v>
      </c>
      <c r="F993" s="35" t="s">
        <v>1090</v>
      </c>
      <c r="G993" s="23" t="s">
        <v>190</v>
      </c>
      <c r="H993" s="35" t="s">
        <v>36</v>
      </c>
      <c r="I993" s="35" t="s">
        <v>62</v>
      </c>
      <c r="J993" s="97">
        <f t="shared" si="277"/>
        <v>45830</v>
      </c>
      <c r="L993" s="19" t="str">
        <f t="shared" ref="L993" si="312">IF(OR(J993="", K993=""), "", J993-K993)</f>
        <v/>
      </c>
      <c r="M993" s="5">
        <f t="shared" si="278"/>
        <v>45841</v>
      </c>
      <c r="N993" s="4">
        <v>45898</v>
      </c>
      <c r="O993" s="19">
        <f t="shared" ref="O993" si="313">IF(OR(M993="", N993=""), "", M993-N993)</f>
        <v>-57</v>
      </c>
      <c r="P993" s="5">
        <f t="shared" si="279"/>
        <v>45856</v>
      </c>
      <c r="Q993" s="4">
        <v>45898</v>
      </c>
      <c r="R993" s="19">
        <f t="shared" ref="R993" si="314">IF(OR(P993="", Q993=""), "", P993-Q993)</f>
        <v>-42</v>
      </c>
      <c r="S993" s="5">
        <f t="shared" si="284"/>
        <v>45861</v>
      </c>
      <c r="T993" s="4">
        <v>45898</v>
      </c>
      <c r="U993" s="19">
        <f t="shared" ref="U993" si="315">IF(OR(S993="", T993=""), "", S993-T993)</f>
        <v>-37</v>
      </c>
      <c r="V993" s="5">
        <f t="shared" si="280"/>
        <v>45900</v>
      </c>
      <c r="W993" s="6">
        <v>45902</v>
      </c>
      <c r="X993" s="19">
        <f t="shared" ref="X993" si="316">IF(OR(V993="", W993=""), "", V993-W993)</f>
        <v>-2</v>
      </c>
      <c r="Y993" s="51">
        <f t="shared" si="269"/>
        <v>45928</v>
      </c>
      <c r="Z993" s="51">
        <v>45902</v>
      </c>
      <c r="AA993" s="49">
        <f t="shared" ref="AA993" si="317">IF(OR(Y993="", Z993=""), "", Y993-Z993)</f>
        <v>26</v>
      </c>
      <c r="AB993" s="51">
        <f t="shared" si="281"/>
        <v>45930</v>
      </c>
      <c r="AC993" s="49">
        <f t="shared" si="282"/>
        <v>28</v>
      </c>
      <c r="AD993" s="43">
        <f t="shared" si="283"/>
        <v>45930</v>
      </c>
      <c r="AE993" s="4">
        <v>45902</v>
      </c>
      <c r="AF993" s="19">
        <f t="shared" si="311"/>
        <v>28</v>
      </c>
      <c r="AG993" s="10"/>
      <c r="AH993" s="1"/>
      <c r="AI993" s="1"/>
      <c r="AJ993" s="1"/>
      <c r="AK993" s="1"/>
      <c r="AL993" s="1"/>
    </row>
    <row r="994" spans="1:38" ht="14.45">
      <c r="A994" s="156">
        <v>993</v>
      </c>
      <c r="B994" s="59">
        <v>45931</v>
      </c>
      <c r="C994" s="34" t="s">
        <v>2095</v>
      </c>
      <c r="D994" s="23" t="s">
        <v>38</v>
      </c>
      <c r="E994" s="23">
        <v>412.68</v>
      </c>
      <c r="F994" s="23" t="s">
        <v>2096</v>
      </c>
      <c r="G994" s="14" t="s">
        <v>190</v>
      </c>
      <c r="H994" s="23" t="s">
        <v>40</v>
      </c>
      <c r="I994" s="23" t="s">
        <v>41</v>
      </c>
      <c r="J994" s="97">
        <f t="shared" si="277"/>
        <v>45831</v>
      </c>
      <c r="K994" s="4">
        <v>45903</v>
      </c>
      <c r="L994" s="19">
        <f t="shared" si="304"/>
        <v>-72</v>
      </c>
      <c r="M994" s="5">
        <f t="shared" si="278"/>
        <v>45842</v>
      </c>
      <c r="N994" s="4">
        <v>45926</v>
      </c>
      <c r="O994" s="19">
        <f t="shared" si="285"/>
        <v>-84</v>
      </c>
      <c r="P994" s="5">
        <f t="shared" si="279"/>
        <v>45857</v>
      </c>
      <c r="Q994" s="4">
        <v>45932</v>
      </c>
      <c r="R994" s="19">
        <f t="shared" si="286"/>
        <v>-75</v>
      </c>
      <c r="S994" s="5">
        <f t="shared" si="284"/>
        <v>45862</v>
      </c>
      <c r="T994" s="4">
        <v>45932</v>
      </c>
      <c r="U994" s="19">
        <f t="shared" si="287"/>
        <v>-70</v>
      </c>
      <c r="V994" s="5">
        <f t="shared" si="280"/>
        <v>45901</v>
      </c>
      <c r="W994" s="4">
        <v>45901</v>
      </c>
      <c r="X994" s="19">
        <f t="shared" si="288"/>
        <v>0</v>
      </c>
      <c r="Y994" s="51">
        <f t="shared" si="269"/>
        <v>45929</v>
      </c>
      <c r="Z994" s="51">
        <v>45931</v>
      </c>
      <c r="AA994" s="49">
        <f t="shared" si="289"/>
        <v>-2</v>
      </c>
      <c r="AB994" s="51">
        <f t="shared" si="281"/>
        <v>45931</v>
      </c>
      <c r="AC994" s="49">
        <f t="shared" si="282"/>
        <v>0</v>
      </c>
      <c r="AD994" s="43">
        <f t="shared" si="283"/>
        <v>45931</v>
      </c>
      <c r="AE994" s="4">
        <v>45931</v>
      </c>
      <c r="AF994" s="19">
        <f t="shared" si="268"/>
        <v>0</v>
      </c>
      <c r="AG994" s="10"/>
      <c r="AH994" s="1"/>
      <c r="AI994" s="1"/>
      <c r="AJ994" s="1"/>
      <c r="AK994" s="1"/>
      <c r="AL994" s="1"/>
    </row>
    <row r="995" spans="1:38" ht="14.45">
      <c r="A995" s="156">
        <v>994</v>
      </c>
      <c r="B995" s="59">
        <v>45931</v>
      </c>
      <c r="C995" s="34" t="s">
        <v>2097</v>
      </c>
      <c r="D995" s="23" t="s">
        <v>38</v>
      </c>
      <c r="E995" s="23">
        <v>207.02</v>
      </c>
      <c r="F995" s="23" t="s">
        <v>2098</v>
      </c>
      <c r="G995" s="14" t="s">
        <v>190</v>
      </c>
      <c r="H995" s="23" t="s">
        <v>40</v>
      </c>
      <c r="I995" s="23" t="s">
        <v>41</v>
      </c>
      <c r="J995" s="97">
        <f t="shared" si="277"/>
        <v>45831</v>
      </c>
      <c r="K995" s="4">
        <v>45903</v>
      </c>
      <c r="L995" s="19">
        <f t="shared" si="304"/>
        <v>-72</v>
      </c>
      <c r="M995" s="5">
        <f t="shared" si="278"/>
        <v>45842</v>
      </c>
      <c r="N995" s="4">
        <v>45926</v>
      </c>
      <c r="O995" s="19">
        <f t="shared" si="285"/>
        <v>-84</v>
      </c>
      <c r="P995" s="5">
        <f t="shared" si="279"/>
        <v>45857</v>
      </c>
      <c r="Q995" s="4">
        <v>45932</v>
      </c>
      <c r="R995" s="19">
        <f t="shared" si="286"/>
        <v>-75</v>
      </c>
      <c r="S995" s="5">
        <f t="shared" si="284"/>
        <v>45862</v>
      </c>
      <c r="T995" s="4">
        <v>45932</v>
      </c>
      <c r="U995" s="19">
        <f t="shared" si="287"/>
        <v>-70</v>
      </c>
      <c r="V995" s="5">
        <f t="shared" si="280"/>
        <v>45901</v>
      </c>
      <c r="W995" s="4">
        <v>45901</v>
      </c>
      <c r="X995" s="19">
        <f t="shared" si="288"/>
        <v>0</v>
      </c>
      <c r="Y995" s="51">
        <f t="shared" si="269"/>
        <v>45929</v>
      </c>
      <c r="Z995" s="51">
        <v>45931</v>
      </c>
      <c r="AA995" s="49">
        <f t="shared" si="289"/>
        <v>-2</v>
      </c>
      <c r="AB995" s="51">
        <f t="shared" si="281"/>
        <v>45931</v>
      </c>
      <c r="AC995" s="49">
        <f t="shared" si="282"/>
        <v>0</v>
      </c>
      <c r="AD995" s="43">
        <f t="shared" si="283"/>
        <v>45931</v>
      </c>
      <c r="AE995" s="4">
        <v>45931</v>
      </c>
      <c r="AF995" s="19">
        <f t="shared" si="268"/>
        <v>0</v>
      </c>
      <c r="AG995" s="10"/>
      <c r="AH995" s="1"/>
      <c r="AI995" s="1"/>
      <c r="AJ995" s="1"/>
      <c r="AK995" s="1"/>
      <c r="AL995" s="1"/>
    </row>
    <row r="996" spans="1:38" ht="14.45">
      <c r="A996" s="156">
        <v>995</v>
      </c>
      <c r="B996" s="59">
        <v>45932</v>
      </c>
      <c r="C996" s="34" t="s">
        <v>2099</v>
      </c>
      <c r="D996" s="23" t="s">
        <v>38</v>
      </c>
      <c r="E996" s="23">
        <v>1255.2</v>
      </c>
      <c r="F996" s="23" t="s">
        <v>2100</v>
      </c>
      <c r="G996" s="14" t="s">
        <v>190</v>
      </c>
      <c r="H996" s="23" t="s">
        <v>40</v>
      </c>
      <c r="I996" s="23" t="s">
        <v>41</v>
      </c>
      <c r="J996" s="97">
        <f t="shared" si="277"/>
        <v>45832</v>
      </c>
      <c r="K996" s="4">
        <v>45903</v>
      </c>
      <c r="L996" s="19">
        <f t="shared" si="304"/>
        <v>-71</v>
      </c>
      <c r="M996" s="5">
        <f t="shared" si="278"/>
        <v>45843</v>
      </c>
      <c r="N996" s="4">
        <v>45926</v>
      </c>
      <c r="O996" s="19">
        <f t="shared" si="285"/>
        <v>-83</v>
      </c>
      <c r="P996" s="5">
        <f t="shared" si="279"/>
        <v>45858</v>
      </c>
      <c r="Q996" s="4">
        <v>45932</v>
      </c>
      <c r="R996" s="19">
        <f t="shared" si="286"/>
        <v>-74</v>
      </c>
      <c r="S996" s="5">
        <f t="shared" si="284"/>
        <v>45863</v>
      </c>
      <c r="T996" s="4">
        <v>45932</v>
      </c>
      <c r="U996" s="19">
        <f t="shared" si="287"/>
        <v>-69</v>
      </c>
      <c r="V996" s="5">
        <f t="shared" si="280"/>
        <v>45902</v>
      </c>
      <c r="W996" s="4">
        <v>45902</v>
      </c>
      <c r="X996" s="19">
        <f t="shared" si="288"/>
        <v>0</v>
      </c>
      <c r="Y996" s="51">
        <f t="shared" si="269"/>
        <v>45930</v>
      </c>
      <c r="Z996" s="51">
        <v>45932</v>
      </c>
      <c r="AA996" s="49">
        <f t="shared" si="289"/>
        <v>-2</v>
      </c>
      <c r="AB996" s="51">
        <f t="shared" si="281"/>
        <v>45932</v>
      </c>
      <c r="AC996" s="49">
        <f t="shared" si="282"/>
        <v>0</v>
      </c>
      <c r="AD996" s="43">
        <f t="shared" si="283"/>
        <v>45932</v>
      </c>
      <c r="AE996" s="4">
        <v>45932</v>
      </c>
      <c r="AF996" s="19">
        <f t="shared" si="268"/>
        <v>0</v>
      </c>
      <c r="AG996" s="10"/>
      <c r="AH996" s="1"/>
      <c r="AI996" s="1"/>
      <c r="AJ996" s="1"/>
      <c r="AK996" s="1"/>
      <c r="AL996" s="1"/>
    </row>
    <row r="997" spans="1:38" ht="14.45">
      <c r="A997" s="156">
        <v>996</v>
      </c>
      <c r="B997" s="59">
        <v>45933</v>
      </c>
      <c r="C997" s="34" t="s">
        <v>2101</v>
      </c>
      <c r="D997" s="23" t="s">
        <v>38</v>
      </c>
      <c r="E997" s="23">
        <v>476.35</v>
      </c>
      <c r="F997" s="23" t="s">
        <v>2102</v>
      </c>
      <c r="G997" s="14" t="s">
        <v>190</v>
      </c>
      <c r="H997" s="23" t="s">
        <v>40</v>
      </c>
      <c r="I997" s="23" t="s">
        <v>41</v>
      </c>
      <c r="J997" s="97">
        <f t="shared" si="277"/>
        <v>45833</v>
      </c>
      <c r="K997" s="4">
        <v>45903</v>
      </c>
      <c r="L997" s="19">
        <f t="shared" si="304"/>
        <v>-70</v>
      </c>
      <c r="M997" s="5">
        <f t="shared" si="278"/>
        <v>45844</v>
      </c>
      <c r="N997" s="4">
        <v>45926</v>
      </c>
      <c r="O997" s="19">
        <f t="shared" si="285"/>
        <v>-82</v>
      </c>
      <c r="P997" s="5">
        <f t="shared" si="279"/>
        <v>45859</v>
      </c>
      <c r="Q997" s="4">
        <v>45932</v>
      </c>
      <c r="R997" s="19">
        <f t="shared" si="286"/>
        <v>-73</v>
      </c>
      <c r="S997" s="5">
        <f t="shared" si="284"/>
        <v>45864</v>
      </c>
      <c r="T997" s="4">
        <v>45932</v>
      </c>
      <c r="U997" s="19">
        <f t="shared" si="287"/>
        <v>-68</v>
      </c>
      <c r="V997" s="5">
        <f t="shared" si="280"/>
        <v>45903</v>
      </c>
      <c r="W997" s="4">
        <v>45903</v>
      </c>
      <c r="X997" s="19">
        <f t="shared" si="288"/>
        <v>0</v>
      </c>
      <c r="Y997" s="51">
        <f t="shared" si="269"/>
        <v>45931</v>
      </c>
      <c r="Z997" s="51">
        <v>45932</v>
      </c>
      <c r="AA997" s="49">
        <f t="shared" si="289"/>
        <v>-1</v>
      </c>
      <c r="AB997" s="51">
        <f t="shared" si="281"/>
        <v>45933</v>
      </c>
      <c r="AC997" s="49">
        <f t="shared" si="282"/>
        <v>1</v>
      </c>
      <c r="AD997" s="43">
        <f t="shared" si="283"/>
        <v>45933</v>
      </c>
      <c r="AE997" s="4">
        <v>45933</v>
      </c>
      <c r="AF997" s="19">
        <f t="shared" si="268"/>
        <v>0</v>
      </c>
      <c r="AG997" s="10"/>
      <c r="AH997" s="1"/>
      <c r="AI997" s="1"/>
      <c r="AJ997" s="1"/>
      <c r="AK997" s="1"/>
      <c r="AL997" s="1"/>
    </row>
    <row r="998" spans="1:38" ht="14.45">
      <c r="A998" s="156">
        <v>997</v>
      </c>
      <c r="B998" s="59">
        <v>45933</v>
      </c>
      <c r="C998" s="34" t="s">
        <v>2103</v>
      </c>
      <c r="D998" s="23" t="s">
        <v>38</v>
      </c>
      <c r="E998" s="23">
        <v>234.5</v>
      </c>
      <c r="F998" s="23" t="s">
        <v>2104</v>
      </c>
      <c r="G998" s="14" t="s">
        <v>190</v>
      </c>
      <c r="H998" s="23" t="s">
        <v>40</v>
      </c>
      <c r="I998" s="23" t="s">
        <v>41</v>
      </c>
      <c r="J998" s="97">
        <f t="shared" si="277"/>
        <v>45833</v>
      </c>
      <c r="K998" s="4">
        <v>45903</v>
      </c>
      <c r="L998" s="19">
        <f t="shared" si="304"/>
        <v>-70</v>
      </c>
      <c r="M998" s="5">
        <f t="shared" si="278"/>
        <v>45844</v>
      </c>
      <c r="N998" s="4">
        <v>45926</v>
      </c>
      <c r="O998" s="19">
        <f t="shared" si="285"/>
        <v>-82</v>
      </c>
      <c r="P998" s="5">
        <f t="shared" si="279"/>
        <v>45859</v>
      </c>
      <c r="Q998" s="4">
        <v>45932</v>
      </c>
      <c r="R998" s="19">
        <f t="shared" si="286"/>
        <v>-73</v>
      </c>
      <c r="S998" s="5">
        <f t="shared" si="284"/>
        <v>45864</v>
      </c>
      <c r="T998" s="4">
        <v>45932</v>
      </c>
      <c r="U998" s="19">
        <f t="shared" si="287"/>
        <v>-68</v>
      </c>
      <c r="V998" s="5">
        <f t="shared" si="280"/>
        <v>45903</v>
      </c>
      <c r="W998" s="4">
        <v>45903</v>
      </c>
      <c r="X998" s="19">
        <f t="shared" si="288"/>
        <v>0</v>
      </c>
      <c r="Y998" s="51">
        <f t="shared" si="269"/>
        <v>45931</v>
      </c>
      <c r="Z998" s="51">
        <v>45932</v>
      </c>
      <c r="AA998" s="49">
        <f t="shared" si="289"/>
        <v>-1</v>
      </c>
      <c r="AB998" s="51">
        <f t="shared" si="281"/>
        <v>45933</v>
      </c>
      <c r="AC998" s="49">
        <f t="shared" si="282"/>
        <v>1</v>
      </c>
      <c r="AD998" s="43">
        <f t="shared" si="283"/>
        <v>45933</v>
      </c>
      <c r="AE998" s="4">
        <v>45933</v>
      </c>
      <c r="AF998" s="19">
        <f t="shared" si="268"/>
        <v>0</v>
      </c>
      <c r="AG998" s="10"/>
      <c r="AH998" s="1"/>
      <c r="AI998" s="1"/>
      <c r="AJ998" s="1"/>
      <c r="AK998" s="1"/>
      <c r="AL998" s="1"/>
    </row>
    <row r="999" spans="1:38" ht="14.45">
      <c r="A999" s="156">
        <v>998</v>
      </c>
      <c r="B999" s="59">
        <v>45933</v>
      </c>
      <c r="C999" s="34" t="s">
        <v>2105</v>
      </c>
      <c r="D999" s="23" t="s">
        <v>38</v>
      </c>
      <c r="E999" s="23">
        <v>974.89</v>
      </c>
      <c r="F999" s="23" t="s">
        <v>2106</v>
      </c>
      <c r="G999" s="14" t="s">
        <v>190</v>
      </c>
      <c r="H999" s="23" t="s">
        <v>40</v>
      </c>
      <c r="I999" s="23" t="s">
        <v>41</v>
      </c>
      <c r="J999" s="97">
        <f t="shared" si="277"/>
        <v>45833</v>
      </c>
      <c r="K999" s="4">
        <v>45903</v>
      </c>
      <c r="L999" s="19">
        <f t="shared" si="304"/>
        <v>-70</v>
      </c>
      <c r="M999" s="5">
        <f t="shared" si="278"/>
        <v>45844</v>
      </c>
      <c r="N999" s="4">
        <v>45926</v>
      </c>
      <c r="O999" s="19">
        <f t="shared" si="285"/>
        <v>-82</v>
      </c>
      <c r="P999" s="5">
        <f t="shared" si="279"/>
        <v>45859</v>
      </c>
      <c r="Q999" s="4">
        <v>45932</v>
      </c>
      <c r="R999" s="19">
        <f t="shared" si="286"/>
        <v>-73</v>
      </c>
      <c r="S999" s="5">
        <f t="shared" si="284"/>
        <v>45864</v>
      </c>
      <c r="T999" s="4">
        <v>45932</v>
      </c>
      <c r="U999" s="19">
        <f t="shared" si="287"/>
        <v>-68</v>
      </c>
      <c r="V999" s="5">
        <f t="shared" si="280"/>
        <v>45903</v>
      </c>
      <c r="W999" s="4">
        <v>45903</v>
      </c>
      <c r="X999" s="19">
        <f t="shared" si="288"/>
        <v>0</v>
      </c>
      <c r="Y999" s="51">
        <f t="shared" si="269"/>
        <v>45931</v>
      </c>
      <c r="Z999" s="51">
        <v>45932</v>
      </c>
      <c r="AA999" s="49">
        <f t="shared" si="289"/>
        <v>-1</v>
      </c>
      <c r="AB999" s="51">
        <f t="shared" si="281"/>
        <v>45933</v>
      </c>
      <c r="AC999" s="49">
        <f t="shared" si="282"/>
        <v>1</v>
      </c>
      <c r="AD999" s="43">
        <f t="shared" si="283"/>
        <v>45933</v>
      </c>
      <c r="AE999" s="4">
        <v>45933</v>
      </c>
      <c r="AF999" s="19">
        <f t="shared" si="268"/>
        <v>0</v>
      </c>
      <c r="AG999" s="10"/>
      <c r="AH999" s="1"/>
      <c r="AI999" s="1"/>
      <c r="AJ999" s="1"/>
      <c r="AK999" s="1"/>
      <c r="AL999" s="1"/>
    </row>
    <row r="1000" spans="1:38" ht="14.45">
      <c r="A1000" s="156">
        <v>999</v>
      </c>
      <c r="B1000" s="59">
        <v>45933</v>
      </c>
      <c r="C1000" s="34">
        <v>111756888</v>
      </c>
      <c r="D1000" s="23" t="s">
        <v>2107</v>
      </c>
      <c r="E1000" s="23">
        <v>9794.75</v>
      </c>
      <c r="F1000" s="23" t="s">
        <v>2108</v>
      </c>
      <c r="G1000" s="14" t="s">
        <v>190</v>
      </c>
      <c r="H1000" s="23" t="s">
        <v>36</v>
      </c>
      <c r="I1000" s="23" t="s">
        <v>93</v>
      </c>
      <c r="J1000" s="97">
        <f t="shared" si="277"/>
        <v>45833</v>
      </c>
      <c r="K1000" s="4">
        <v>45825</v>
      </c>
      <c r="L1000" s="19">
        <f t="shared" si="304"/>
        <v>8</v>
      </c>
      <c r="M1000" s="5">
        <f t="shared" si="278"/>
        <v>45844</v>
      </c>
      <c r="N1000" s="4">
        <v>45847</v>
      </c>
      <c r="O1000" s="19">
        <f t="shared" si="285"/>
        <v>-3</v>
      </c>
      <c r="P1000" s="5">
        <f t="shared" si="279"/>
        <v>45859</v>
      </c>
      <c r="R1000" s="19" t="str">
        <f t="shared" si="286"/>
        <v/>
      </c>
      <c r="S1000" s="5">
        <f t="shared" si="284"/>
        <v>45864</v>
      </c>
      <c r="T1000" s="4">
        <v>45863</v>
      </c>
      <c r="U1000" s="19">
        <f t="shared" si="287"/>
        <v>1</v>
      </c>
      <c r="V1000" s="5">
        <f t="shared" si="280"/>
        <v>45903</v>
      </c>
      <c r="W1000" s="4">
        <v>45905</v>
      </c>
      <c r="X1000" s="19">
        <f t="shared" si="288"/>
        <v>-2</v>
      </c>
      <c r="Y1000" s="51">
        <f t="shared" si="269"/>
        <v>45931</v>
      </c>
      <c r="Z1000" s="51">
        <v>45931</v>
      </c>
      <c r="AA1000" s="49">
        <f t="shared" si="289"/>
        <v>0</v>
      </c>
      <c r="AB1000" s="51">
        <f t="shared" si="281"/>
        <v>45933</v>
      </c>
      <c r="AC1000" s="49">
        <f t="shared" si="282"/>
        <v>2</v>
      </c>
      <c r="AD1000" s="43">
        <f t="shared" si="283"/>
        <v>45933</v>
      </c>
      <c r="AE1000" s="4">
        <v>45933</v>
      </c>
      <c r="AF1000" s="19">
        <f t="shared" si="268"/>
        <v>0</v>
      </c>
      <c r="AG1000" s="10"/>
      <c r="AH1000" s="1"/>
      <c r="AI1000" s="1"/>
      <c r="AJ1000" s="1"/>
      <c r="AK1000" s="1"/>
      <c r="AL1000" s="1"/>
    </row>
    <row r="1001" spans="1:38" ht="14.45">
      <c r="A1001" s="156">
        <v>1000</v>
      </c>
      <c r="B1001" s="59">
        <v>45933</v>
      </c>
      <c r="C1001" s="34" t="s">
        <v>2109</v>
      </c>
      <c r="D1001" s="23" t="s">
        <v>2091</v>
      </c>
      <c r="E1001" s="23">
        <v>18262.439999999999</v>
      </c>
      <c r="F1001" s="23" t="s">
        <v>2110</v>
      </c>
      <c r="G1001" s="14" t="s">
        <v>190</v>
      </c>
      <c r="H1001" s="23" t="s">
        <v>36</v>
      </c>
      <c r="I1001" s="23" t="s">
        <v>93</v>
      </c>
      <c r="J1001" s="97">
        <f t="shared" si="277"/>
        <v>45833</v>
      </c>
      <c r="K1001" s="4">
        <v>45834</v>
      </c>
      <c r="L1001" s="19">
        <f t="shared" si="304"/>
        <v>-1</v>
      </c>
      <c r="M1001" s="5">
        <f t="shared" si="278"/>
        <v>45844</v>
      </c>
      <c r="N1001" s="4">
        <v>45846</v>
      </c>
      <c r="O1001" s="19">
        <f t="shared" si="285"/>
        <v>-2</v>
      </c>
      <c r="P1001" s="5">
        <f t="shared" si="279"/>
        <v>45859</v>
      </c>
      <c r="R1001" s="19" t="str">
        <f t="shared" si="286"/>
        <v/>
      </c>
      <c r="S1001" s="5">
        <f t="shared" si="284"/>
        <v>45864</v>
      </c>
      <c r="T1001" s="4">
        <v>45863</v>
      </c>
      <c r="U1001" s="19">
        <f t="shared" si="287"/>
        <v>1</v>
      </c>
      <c r="V1001" s="5">
        <f t="shared" si="280"/>
        <v>45903</v>
      </c>
      <c r="W1001" s="4">
        <v>45917</v>
      </c>
      <c r="X1001" s="19">
        <f t="shared" si="288"/>
        <v>-14</v>
      </c>
      <c r="Y1001" s="51">
        <f t="shared" si="269"/>
        <v>45931</v>
      </c>
      <c r="Z1001" s="51"/>
      <c r="AA1001" s="49" t="str">
        <f t="shared" si="289"/>
        <v/>
      </c>
      <c r="AB1001" s="51">
        <f t="shared" si="281"/>
        <v>45933</v>
      </c>
      <c r="AC1001" s="49" t="str">
        <f t="shared" si="282"/>
        <v/>
      </c>
      <c r="AD1001" s="43">
        <f t="shared" si="283"/>
        <v>45933</v>
      </c>
      <c r="AE1001" s="4">
        <v>45933</v>
      </c>
      <c r="AF1001" s="19">
        <f t="shared" si="268"/>
        <v>0</v>
      </c>
      <c r="AG1001" s="10"/>
      <c r="AH1001" s="1"/>
      <c r="AI1001" s="1"/>
      <c r="AJ1001" s="1"/>
      <c r="AK1001" s="1"/>
      <c r="AL1001" s="1"/>
    </row>
    <row r="1002" spans="1:38" ht="14.45">
      <c r="A1002" s="156">
        <v>1001</v>
      </c>
      <c r="B1002" s="59">
        <v>45933</v>
      </c>
      <c r="C1002" s="34" t="s">
        <v>2111</v>
      </c>
      <c r="D1002" s="23" t="s">
        <v>2112</v>
      </c>
      <c r="E1002" s="23">
        <v>3251.45</v>
      </c>
      <c r="F1002" s="23" t="s">
        <v>2113</v>
      </c>
      <c r="G1002" s="14" t="s">
        <v>35</v>
      </c>
      <c r="H1002" s="23" t="s">
        <v>40</v>
      </c>
      <c r="I1002" s="23" t="s">
        <v>93</v>
      </c>
      <c r="J1002" s="97">
        <f t="shared" si="277"/>
        <v>45833</v>
      </c>
      <c r="L1002" s="19" t="str">
        <f t="shared" si="304"/>
        <v/>
      </c>
      <c r="M1002" s="5">
        <f t="shared" si="278"/>
        <v>45844</v>
      </c>
      <c r="O1002" s="19" t="str">
        <f t="shared" si="285"/>
        <v/>
      </c>
      <c r="P1002" s="5">
        <f t="shared" si="279"/>
        <v>45859</v>
      </c>
      <c r="R1002" s="19" t="str">
        <f t="shared" si="286"/>
        <v/>
      </c>
      <c r="S1002" s="5">
        <f t="shared" si="284"/>
        <v>45864</v>
      </c>
      <c r="T1002" s="4">
        <v>45884</v>
      </c>
      <c r="U1002" s="19">
        <f>IF(OR(S1002="", T1002=""), "", S1002-T1002)</f>
        <v>-20</v>
      </c>
      <c r="V1002" s="5">
        <f t="shared" si="280"/>
        <v>45903</v>
      </c>
      <c r="W1002" s="6">
        <v>45918</v>
      </c>
      <c r="X1002" s="19">
        <f t="shared" si="288"/>
        <v>-15</v>
      </c>
      <c r="Y1002" s="51">
        <f t="shared" si="269"/>
        <v>45931</v>
      </c>
      <c r="Z1002" s="51">
        <v>45924</v>
      </c>
      <c r="AA1002" s="49">
        <f t="shared" si="289"/>
        <v>7</v>
      </c>
      <c r="AB1002" s="51">
        <f t="shared" si="281"/>
        <v>45933</v>
      </c>
      <c r="AC1002" s="49">
        <f t="shared" si="282"/>
        <v>9</v>
      </c>
      <c r="AD1002" s="43">
        <f t="shared" si="283"/>
        <v>45933</v>
      </c>
      <c r="AE1002" s="4">
        <v>45933</v>
      </c>
      <c r="AF1002" s="19">
        <f t="shared" si="268"/>
        <v>0</v>
      </c>
      <c r="AG1002" s="10"/>
      <c r="AH1002" s="1"/>
      <c r="AI1002" s="1"/>
      <c r="AJ1002" s="1"/>
      <c r="AK1002" s="1"/>
      <c r="AL1002" s="1"/>
    </row>
    <row r="1003" spans="1:38" ht="14.45">
      <c r="A1003" s="156">
        <v>1002</v>
      </c>
      <c r="B1003" s="59">
        <v>45933</v>
      </c>
      <c r="C1003" s="34" t="s">
        <v>2114</v>
      </c>
      <c r="D1003" s="23" t="s">
        <v>2115</v>
      </c>
      <c r="E1003" s="23">
        <v>944</v>
      </c>
      <c r="F1003" s="23" t="s">
        <v>2116</v>
      </c>
      <c r="G1003" s="14" t="s">
        <v>35</v>
      </c>
      <c r="H1003" s="23" t="s">
        <v>40</v>
      </c>
      <c r="I1003" s="23" t="s">
        <v>62</v>
      </c>
      <c r="J1003" s="97">
        <f t="shared" si="277"/>
        <v>45833</v>
      </c>
      <c r="L1003" s="19" t="str">
        <f t="shared" si="304"/>
        <v/>
      </c>
      <c r="M1003" s="5">
        <f t="shared" si="278"/>
        <v>45844</v>
      </c>
      <c r="O1003" s="19" t="str">
        <f t="shared" si="285"/>
        <v/>
      </c>
      <c r="P1003" s="5">
        <f t="shared" si="279"/>
        <v>45859</v>
      </c>
      <c r="R1003" s="19" t="str">
        <f t="shared" si="286"/>
        <v/>
      </c>
      <c r="S1003" s="5">
        <f t="shared" si="284"/>
        <v>45864</v>
      </c>
      <c r="U1003" s="19" t="str">
        <f>IF(OR(S1003="", T1003=""), "", S1003-T1003)</f>
        <v/>
      </c>
      <c r="V1003" s="5">
        <f t="shared" si="280"/>
        <v>45903</v>
      </c>
      <c r="W1003" s="6">
        <v>45881</v>
      </c>
      <c r="X1003" s="19">
        <f t="shared" si="288"/>
        <v>22</v>
      </c>
      <c r="Y1003" s="51">
        <f t="shared" si="269"/>
        <v>45931</v>
      </c>
      <c r="Z1003" s="51">
        <v>45924</v>
      </c>
      <c r="AA1003" s="49">
        <f t="shared" si="289"/>
        <v>7</v>
      </c>
      <c r="AB1003" s="51">
        <f t="shared" si="281"/>
        <v>45933</v>
      </c>
      <c r="AC1003" s="49">
        <f t="shared" si="282"/>
        <v>9</v>
      </c>
      <c r="AD1003" s="43">
        <f t="shared" si="283"/>
        <v>45933</v>
      </c>
      <c r="AE1003" s="4">
        <v>45924</v>
      </c>
      <c r="AF1003" s="19">
        <f t="shared" si="268"/>
        <v>9</v>
      </c>
      <c r="AG1003" s="10"/>
      <c r="AH1003" s="1"/>
      <c r="AI1003" s="1"/>
      <c r="AJ1003" s="1"/>
      <c r="AK1003" s="1"/>
      <c r="AL1003" s="1"/>
    </row>
    <row r="1004" spans="1:38" ht="14.45">
      <c r="A1004" s="156">
        <v>1003</v>
      </c>
      <c r="B1004" s="59">
        <v>45935</v>
      </c>
      <c r="C1004" s="34" t="s">
        <v>2117</v>
      </c>
      <c r="D1004" s="23" t="s">
        <v>38</v>
      </c>
      <c r="E1004" s="23">
        <v>177.49</v>
      </c>
      <c r="F1004" s="23" t="s">
        <v>2118</v>
      </c>
      <c r="G1004" s="14" t="s">
        <v>190</v>
      </c>
      <c r="H1004" s="23" t="s">
        <v>40</v>
      </c>
      <c r="I1004" s="23" t="s">
        <v>41</v>
      </c>
      <c r="J1004" s="97">
        <f t="shared" si="277"/>
        <v>45835</v>
      </c>
      <c r="K1004" s="4">
        <v>45903</v>
      </c>
      <c r="L1004" s="19">
        <f t="shared" si="304"/>
        <v>-68</v>
      </c>
      <c r="M1004" s="5">
        <f t="shared" si="278"/>
        <v>45846</v>
      </c>
      <c r="N1004" s="4">
        <v>45926</v>
      </c>
      <c r="O1004" s="19">
        <f t="shared" si="285"/>
        <v>-80</v>
      </c>
      <c r="P1004" s="5">
        <f t="shared" si="279"/>
        <v>45861</v>
      </c>
      <c r="Q1004" s="4">
        <v>45932</v>
      </c>
      <c r="R1004" s="19">
        <f t="shared" si="286"/>
        <v>-71</v>
      </c>
      <c r="S1004" s="5">
        <f t="shared" si="284"/>
        <v>45866</v>
      </c>
      <c r="T1004" s="4">
        <v>45932</v>
      </c>
      <c r="U1004" s="19">
        <f t="shared" si="287"/>
        <v>-66</v>
      </c>
      <c r="V1004" s="5">
        <f t="shared" si="280"/>
        <v>45905</v>
      </c>
      <c r="W1004" s="4">
        <v>45905</v>
      </c>
      <c r="X1004" s="19">
        <f t="shared" si="288"/>
        <v>0</v>
      </c>
      <c r="Y1004" s="51">
        <f t="shared" si="269"/>
        <v>45933</v>
      </c>
      <c r="Z1004" s="51">
        <v>45932</v>
      </c>
      <c r="AA1004" s="49">
        <f t="shared" si="289"/>
        <v>1</v>
      </c>
      <c r="AB1004" s="51">
        <f t="shared" si="281"/>
        <v>45935</v>
      </c>
      <c r="AC1004" s="49">
        <f t="shared" si="282"/>
        <v>3</v>
      </c>
      <c r="AD1004" s="43">
        <f t="shared" si="283"/>
        <v>45935</v>
      </c>
      <c r="AE1004" s="4">
        <v>45935</v>
      </c>
      <c r="AF1004" s="19">
        <f t="shared" si="268"/>
        <v>0</v>
      </c>
      <c r="AG1004" s="10"/>
      <c r="AH1004" s="1"/>
      <c r="AI1004" s="1"/>
      <c r="AJ1004" s="1"/>
      <c r="AK1004" s="1"/>
      <c r="AL1004" s="1"/>
    </row>
    <row r="1005" spans="1:38" ht="14.45">
      <c r="A1005" s="156">
        <v>1004</v>
      </c>
      <c r="B1005" s="59">
        <v>45936</v>
      </c>
      <c r="C1005" s="34" t="s">
        <v>2119</v>
      </c>
      <c r="D1005" s="23" t="s">
        <v>38</v>
      </c>
      <c r="E1005" s="23">
        <v>435.01</v>
      </c>
      <c r="F1005" s="23" t="s">
        <v>2120</v>
      </c>
      <c r="G1005" s="14" t="s">
        <v>190</v>
      </c>
      <c r="H1005" s="23" t="s">
        <v>40</v>
      </c>
      <c r="I1005" s="23" t="s">
        <v>41</v>
      </c>
      <c r="J1005" s="97">
        <f t="shared" si="277"/>
        <v>45836</v>
      </c>
      <c r="K1005" s="4">
        <v>45903</v>
      </c>
      <c r="L1005" s="19">
        <f t="shared" si="304"/>
        <v>-67</v>
      </c>
      <c r="M1005" s="5">
        <f t="shared" si="278"/>
        <v>45847</v>
      </c>
      <c r="N1005" s="4">
        <v>45926</v>
      </c>
      <c r="O1005" s="19">
        <f t="shared" si="285"/>
        <v>-79</v>
      </c>
      <c r="P1005" s="5">
        <f t="shared" si="279"/>
        <v>45862</v>
      </c>
      <c r="Q1005" s="4">
        <v>45932</v>
      </c>
      <c r="R1005" s="19">
        <f t="shared" si="286"/>
        <v>-70</v>
      </c>
      <c r="S1005" s="5">
        <f t="shared" si="284"/>
        <v>45867</v>
      </c>
      <c r="T1005" s="4">
        <v>45932</v>
      </c>
      <c r="U1005" s="19">
        <f t="shared" si="287"/>
        <v>-65</v>
      </c>
      <c r="V1005" s="5">
        <f t="shared" si="280"/>
        <v>45906</v>
      </c>
      <c r="W1005" s="4">
        <v>45906</v>
      </c>
      <c r="X1005" s="19">
        <f t="shared" si="288"/>
        <v>0</v>
      </c>
      <c r="Y1005" s="51">
        <f t="shared" si="269"/>
        <v>45934</v>
      </c>
      <c r="Z1005" s="51">
        <v>45932</v>
      </c>
      <c r="AA1005" s="49">
        <f t="shared" si="289"/>
        <v>2</v>
      </c>
      <c r="AB1005" s="51">
        <f t="shared" si="281"/>
        <v>45936</v>
      </c>
      <c r="AC1005" s="49">
        <f t="shared" si="282"/>
        <v>4</v>
      </c>
      <c r="AD1005" s="43">
        <f t="shared" si="283"/>
        <v>45936</v>
      </c>
      <c r="AE1005" s="4">
        <v>45936</v>
      </c>
      <c r="AF1005" s="19">
        <f t="shared" si="268"/>
        <v>0</v>
      </c>
      <c r="AG1005" s="10"/>
      <c r="AH1005" s="1"/>
      <c r="AI1005" s="1"/>
      <c r="AJ1005" s="1"/>
      <c r="AK1005" s="1"/>
      <c r="AL1005" s="1"/>
    </row>
    <row r="1006" spans="1:38" ht="14.45">
      <c r="A1006" s="156">
        <v>1005</v>
      </c>
      <c r="B1006" s="59">
        <v>45937</v>
      </c>
      <c r="C1006" s="34" t="s">
        <v>2121</v>
      </c>
      <c r="D1006" s="23" t="s">
        <v>38</v>
      </c>
      <c r="E1006" s="23">
        <v>38.369999999999997</v>
      </c>
      <c r="F1006" s="23" t="s">
        <v>2122</v>
      </c>
      <c r="G1006" s="14" t="s">
        <v>190</v>
      </c>
      <c r="H1006" s="23" t="s">
        <v>40</v>
      </c>
      <c r="I1006" s="23" t="s">
        <v>41</v>
      </c>
      <c r="J1006" s="97">
        <f t="shared" si="277"/>
        <v>45837</v>
      </c>
      <c r="K1006" s="4">
        <v>45903</v>
      </c>
      <c r="L1006" s="19">
        <f t="shared" si="304"/>
        <v>-66</v>
      </c>
      <c r="M1006" s="5">
        <f t="shared" si="278"/>
        <v>45848</v>
      </c>
      <c r="N1006" s="4">
        <v>45926</v>
      </c>
      <c r="O1006" s="19">
        <f t="shared" si="285"/>
        <v>-78</v>
      </c>
      <c r="P1006" s="5">
        <f t="shared" si="279"/>
        <v>45863</v>
      </c>
      <c r="Q1006" s="4">
        <v>45932</v>
      </c>
      <c r="R1006" s="19">
        <f t="shared" si="286"/>
        <v>-69</v>
      </c>
      <c r="S1006" s="5">
        <f t="shared" si="284"/>
        <v>45868</v>
      </c>
      <c r="T1006" s="4">
        <v>45932</v>
      </c>
      <c r="U1006" s="19">
        <f t="shared" si="287"/>
        <v>-64</v>
      </c>
      <c r="V1006" s="5">
        <f t="shared" si="280"/>
        <v>45907</v>
      </c>
      <c r="W1006" s="4">
        <v>45907</v>
      </c>
      <c r="X1006" s="19">
        <f t="shared" si="288"/>
        <v>0</v>
      </c>
      <c r="Y1006" s="51">
        <f t="shared" si="269"/>
        <v>45935</v>
      </c>
      <c r="Z1006" s="51">
        <v>45932</v>
      </c>
      <c r="AA1006" s="49">
        <f t="shared" si="289"/>
        <v>3</v>
      </c>
      <c r="AB1006" s="51">
        <f t="shared" si="281"/>
        <v>45937</v>
      </c>
      <c r="AC1006" s="49">
        <f t="shared" si="282"/>
        <v>5</v>
      </c>
      <c r="AD1006" s="43">
        <f t="shared" si="283"/>
        <v>45937</v>
      </c>
      <c r="AE1006" s="4">
        <v>45937</v>
      </c>
      <c r="AF1006" s="19">
        <f t="shared" si="268"/>
        <v>0</v>
      </c>
      <c r="AG1006" s="10"/>
      <c r="AH1006" s="1"/>
      <c r="AI1006" s="1"/>
      <c r="AJ1006" s="1"/>
      <c r="AK1006" s="1"/>
      <c r="AL1006" s="1"/>
    </row>
    <row r="1007" spans="1:38" ht="14.45">
      <c r="A1007" s="156">
        <v>1006</v>
      </c>
      <c r="B1007" s="59">
        <v>45937</v>
      </c>
      <c r="C1007" s="34" t="s">
        <v>2123</v>
      </c>
      <c r="D1007" s="23" t="s">
        <v>38</v>
      </c>
      <c r="E1007" s="23">
        <v>957.3</v>
      </c>
      <c r="F1007" s="23" t="s">
        <v>2124</v>
      </c>
      <c r="G1007" s="14" t="s">
        <v>190</v>
      </c>
      <c r="H1007" s="23" t="s">
        <v>40</v>
      </c>
      <c r="I1007" s="23" t="s">
        <v>41</v>
      </c>
      <c r="J1007" s="97">
        <f t="shared" si="277"/>
        <v>45837</v>
      </c>
      <c r="K1007" s="4">
        <v>45903</v>
      </c>
      <c r="L1007" s="19">
        <f t="shared" si="304"/>
        <v>-66</v>
      </c>
      <c r="M1007" s="5">
        <f t="shared" si="278"/>
        <v>45848</v>
      </c>
      <c r="N1007" s="4">
        <v>45926</v>
      </c>
      <c r="O1007" s="19">
        <f t="shared" si="285"/>
        <v>-78</v>
      </c>
      <c r="P1007" s="5">
        <f t="shared" si="279"/>
        <v>45863</v>
      </c>
      <c r="Q1007" s="4">
        <v>45932</v>
      </c>
      <c r="R1007" s="19">
        <f t="shared" si="286"/>
        <v>-69</v>
      </c>
      <c r="S1007" s="5">
        <f t="shared" si="284"/>
        <v>45868</v>
      </c>
      <c r="T1007" s="4">
        <v>45932</v>
      </c>
      <c r="U1007" s="19">
        <f t="shared" si="287"/>
        <v>-64</v>
      </c>
      <c r="V1007" s="5">
        <f t="shared" si="280"/>
        <v>45907</v>
      </c>
      <c r="W1007" s="4">
        <v>45907</v>
      </c>
      <c r="X1007" s="19">
        <f t="shared" si="288"/>
        <v>0</v>
      </c>
      <c r="Y1007" s="51">
        <f t="shared" si="269"/>
        <v>45935</v>
      </c>
      <c r="Z1007" s="51">
        <v>45932</v>
      </c>
      <c r="AA1007" s="49">
        <f t="shared" si="289"/>
        <v>3</v>
      </c>
      <c r="AB1007" s="51">
        <f t="shared" si="281"/>
        <v>45937</v>
      </c>
      <c r="AC1007" s="49">
        <f t="shared" si="282"/>
        <v>5</v>
      </c>
      <c r="AD1007" s="43">
        <f t="shared" si="283"/>
        <v>45937</v>
      </c>
      <c r="AE1007" s="4">
        <v>45937</v>
      </c>
      <c r="AF1007" s="19">
        <f t="shared" si="268"/>
        <v>0</v>
      </c>
      <c r="AG1007" s="10"/>
      <c r="AH1007" s="1"/>
      <c r="AI1007" s="1"/>
      <c r="AJ1007" s="1"/>
      <c r="AK1007" s="1"/>
      <c r="AL1007" s="1"/>
    </row>
    <row r="1008" spans="1:38" ht="14.45">
      <c r="A1008" s="156">
        <v>1007</v>
      </c>
      <c r="B1008" s="59">
        <v>45938</v>
      </c>
      <c r="C1008" s="34" t="s">
        <v>2125</v>
      </c>
      <c r="D1008" s="23" t="s">
        <v>1791</v>
      </c>
      <c r="E1008" s="23">
        <v>2418.88</v>
      </c>
      <c r="F1008" s="23" t="s">
        <v>2126</v>
      </c>
      <c r="G1008" s="14" t="s">
        <v>46</v>
      </c>
      <c r="H1008" s="23" t="s">
        <v>36</v>
      </c>
      <c r="I1008" s="23" t="s">
        <v>93</v>
      </c>
      <c r="J1008" s="97">
        <f t="shared" si="277"/>
        <v>45838</v>
      </c>
      <c r="K1008" s="4">
        <v>45846</v>
      </c>
      <c r="L1008" s="19">
        <f t="shared" si="304"/>
        <v>-8</v>
      </c>
      <c r="M1008" s="5">
        <f t="shared" si="278"/>
        <v>45849</v>
      </c>
      <c r="N1008" s="4">
        <v>45847</v>
      </c>
      <c r="O1008" s="19">
        <f t="shared" si="285"/>
        <v>2</v>
      </c>
      <c r="P1008" s="5">
        <f t="shared" si="279"/>
        <v>45864</v>
      </c>
      <c r="R1008" s="19" t="str">
        <f t="shared" si="286"/>
        <v/>
      </c>
      <c r="S1008" s="5">
        <f t="shared" si="284"/>
        <v>45869</v>
      </c>
      <c r="T1008" s="4">
        <v>45891</v>
      </c>
      <c r="U1008" s="19">
        <f t="shared" si="287"/>
        <v>-22</v>
      </c>
      <c r="V1008" s="5">
        <f t="shared" si="280"/>
        <v>45908</v>
      </c>
      <c r="W1008" s="6">
        <v>45904</v>
      </c>
      <c r="X1008" s="19">
        <f t="shared" si="288"/>
        <v>4</v>
      </c>
      <c r="Y1008" s="51">
        <f t="shared" si="269"/>
        <v>45936</v>
      </c>
      <c r="Z1008" s="4">
        <v>45930</v>
      </c>
      <c r="AA1008" s="49">
        <f t="shared" si="289"/>
        <v>6</v>
      </c>
      <c r="AB1008" s="51">
        <f t="shared" si="281"/>
        <v>45938</v>
      </c>
      <c r="AC1008" s="49">
        <f t="shared" si="282"/>
        <v>8</v>
      </c>
      <c r="AD1008" s="43">
        <f t="shared" si="283"/>
        <v>45938</v>
      </c>
      <c r="AE1008" s="4">
        <v>45930</v>
      </c>
      <c r="AF1008" s="19">
        <f t="shared" si="268"/>
        <v>8</v>
      </c>
      <c r="AG1008" s="10"/>
      <c r="AH1008" s="1"/>
      <c r="AI1008" s="1"/>
      <c r="AJ1008" s="1"/>
      <c r="AK1008" s="1"/>
      <c r="AL1008" s="1"/>
    </row>
    <row r="1009" spans="1:38" ht="14.45">
      <c r="A1009" s="156">
        <v>1008</v>
      </c>
      <c r="B1009" s="59">
        <v>45938</v>
      </c>
      <c r="C1009" s="34" t="s">
        <v>2127</v>
      </c>
      <c r="D1009" s="23" t="s">
        <v>183</v>
      </c>
      <c r="E1009" s="23">
        <v>65258.71</v>
      </c>
      <c r="F1009" s="23" t="s">
        <v>2128</v>
      </c>
      <c r="G1009" s="14" t="s">
        <v>35</v>
      </c>
      <c r="H1009" s="23" t="s">
        <v>40</v>
      </c>
      <c r="I1009" s="23" t="s">
        <v>52</v>
      </c>
      <c r="J1009" s="97">
        <f t="shared" si="277"/>
        <v>45838</v>
      </c>
      <c r="L1009" s="19" t="str">
        <f t="shared" si="304"/>
        <v/>
      </c>
      <c r="M1009" s="5">
        <f t="shared" si="278"/>
        <v>45849</v>
      </c>
      <c r="N1009" s="4">
        <v>45873</v>
      </c>
      <c r="O1009" s="19">
        <f t="shared" si="285"/>
        <v>-24</v>
      </c>
      <c r="P1009" s="5">
        <f t="shared" si="279"/>
        <v>45864</v>
      </c>
      <c r="R1009" s="19" t="str">
        <f t="shared" si="286"/>
        <v/>
      </c>
      <c r="S1009" s="5">
        <f t="shared" si="284"/>
        <v>45869</v>
      </c>
      <c r="U1009" s="19" t="str">
        <f t="shared" si="287"/>
        <v/>
      </c>
      <c r="V1009" s="5">
        <f t="shared" si="280"/>
        <v>45908</v>
      </c>
      <c r="W1009" s="6">
        <v>45873</v>
      </c>
      <c r="X1009" s="19">
        <f t="shared" si="288"/>
        <v>35</v>
      </c>
      <c r="Y1009" s="51">
        <f t="shared" si="269"/>
        <v>45936</v>
      </c>
      <c r="Z1009" s="51">
        <v>45923</v>
      </c>
      <c r="AA1009" s="49">
        <f t="shared" si="289"/>
        <v>13</v>
      </c>
      <c r="AB1009" s="51">
        <f t="shared" si="281"/>
        <v>45938</v>
      </c>
      <c r="AC1009" s="49">
        <f t="shared" si="282"/>
        <v>15</v>
      </c>
      <c r="AD1009" s="43">
        <f t="shared" si="283"/>
        <v>45938</v>
      </c>
      <c r="AE1009" s="4">
        <v>45923</v>
      </c>
      <c r="AF1009" s="19">
        <f t="shared" si="268"/>
        <v>15</v>
      </c>
      <c r="AG1009" s="10"/>
      <c r="AH1009" s="1"/>
      <c r="AI1009" s="1"/>
      <c r="AJ1009" s="1"/>
      <c r="AK1009" s="1"/>
      <c r="AL1009" s="1"/>
    </row>
    <row r="1010" spans="1:38" ht="14.45">
      <c r="A1010" s="156">
        <v>1009</v>
      </c>
      <c r="B1010" s="59">
        <v>45938</v>
      </c>
      <c r="C1010" s="34" t="s">
        <v>2129</v>
      </c>
      <c r="D1010" s="23" t="s">
        <v>38</v>
      </c>
      <c r="E1010" s="23">
        <v>247.66</v>
      </c>
      <c r="F1010" s="23" t="s">
        <v>2130</v>
      </c>
      <c r="G1010" s="14" t="s">
        <v>190</v>
      </c>
      <c r="H1010" s="23" t="s">
        <v>40</v>
      </c>
      <c r="I1010" s="23" t="s">
        <v>41</v>
      </c>
      <c r="J1010" s="97">
        <f t="shared" si="277"/>
        <v>45838</v>
      </c>
      <c r="K1010" s="4">
        <v>45903</v>
      </c>
      <c r="L1010" s="19">
        <f t="shared" si="304"/>
        <v>-65</v>
      </c>
      <c r="M1010" s="5">
        <f t="shared" si="278"/>
        <v>45849</v>
      </c>
      <c r="N1010" s="4">
        <v>45926</v>
      </c>
      <c r="O1010" s="19">
        <f t="shared" si="285"/>
        <v>-77</v>
      </c>
      <c r="P1010" s="5">
        <f t="shared" si="279"/>
        <v>45864</v>
      </c>
      <c r="Q1010" s="4">
        <v>45932</v>
      </c>
      <c r="R1010" s="19">
        <f t="shared" si="286"/>
        <v>-68</v>
      </c>
      <c r="S1010" s="5">
        <f t="shared" si="284"/>
        <v>45869</v>
      </c>
      <c r="T1010" s="4">
        <v>45932</v>
      </c>
      <c r="U1010" s="19">
        <f t="shared" si="287"/>
        <v>-63</v>
      </c>
      <c r="V1010" s="5">
        <f t="shared" si="280"/>
        <v>45908</v>
      </c>
      <c r="W1010" s="4">
        <v>45908</v>
      </c>
      <c r="X1010" s="19">
        <f t="shared" si="288"/>
        <v>0</v>
      </c>
      <c r="Y1010" s="51">
        <f t="shared" si="269"/>
        <v>45936</v>
      </c>
      <c r="Z1010" s="51">
        <v>45932</v>
      </c>
      <c r="AA1010" s="49">
        <f t="shared" si="289"/>
        <v>4</v>
      </c>
      <c r="AB1010" s="51">
        <f t="shared" si="281"/>
        <v>45938</v>
      </c>
      <c r="AC1010" s="49">
        <f t="shared" si="282"/>
        <v>6</v>
      </c>
      <c r="AD1010" s="43">
        <f t="shared" si="283"/>
        <v>45938</v>
      </c>
      <c r="AE1010" s="4">
        <v>45938</v>
      </c>
      <c r="AF1010" s="19">
        <f t="shared" si="268"/>
        <v>0</v>
      </c>
      <c r="AG1010" s="10"/>
      <c r="AH1010" s="1"/>
      <c r="AI1010" s="1"/>
      <c r="AJ1010" s="1"/>
      <c r="AK1010" s="1"/>
      <c r="AL1010" s="1"/>
    </row>
    <row r="1011" spans="1:38" ht="14.45">
      <c r="A1011" s="156">
        <v>1010</v>
      </c>
      <c r="B1011" s="59">
        <v>45938</v>
      </c>
      <c r="C1011" s="34" t="s">
        <v>2131</v>
      </c>
      <c r="D1011" s="23" t="s">
        <v>38</v>
      </c>
      <c r="E1011" s="23">
        <v>3675.08</v>
      </c>
      <c r="F1011" s="23" t="s">
        <v>2132</v>
      </c>
      <c r="G1011" s="14" t="s">
        <v>190</v>
      </c>
      <c r="H1011" s="23" t="s">
        <v>40</v>
      </c>
      <c r="I1011" s="23" t="s">
        <v>41</v>
      </c>
      <c r="J1011" s="97">
        <f t="shared" si="277"/>
        <v>45838</v>
      </c>
      <c r="K1011" s="4">
        <v>45903</v>
      </c>
      <c r="L1011" s="19">
        <f t="shared" si="304"/>
        <v>-65</v>
      </c>
      <c r="M1011" s="5">
        <f t="shared" si="278"/>
        <v>45849</v>
      </c>
      <c r="N1011" s="4">
        <v>45926</v>
      </c>
      <c r="O1011" s="19">
        <f t="shared" si="285"/>
        <v>-77</v>
      </c>
      <c r="P1011" s="5">
        <f t="shared" si="279"/>
        <v>45864</v>
      </c>
      <c r="Q1011" s="4">
        <v>45932</v>
      </c>
      <c r="R1011" s="19">
        <f t="shared" si="286"/>
        <v>-68</v>
      </c>
      <c r="S1011" s="5">
        <f t="shared" si="284"/>
        <v>45869</v>
      </c>
      <c r="T1011" s="4">
        <v>45932</v>
      </c>
      <c r="U1011" s="19">
        <f t="shared" si="287"/>
        <v>-63</v>
      </c>
      <c r="V1011" s="5">
        <f t="shared" si="280"/>
        <v>45908</v>
      </c>
      <c r="W1011" s="4">
        <v>45908</v>
      </c>
      <c r="X1011" s="19">
        <f t="shared" si="288"/>
        <v>0</v>
      </c>
      <c r="Y1011" s="51">
        <f t="shared" ref="Y1011:Y1082" si="318">B1011-2</f>
        <v>45936</v>
      </c>
      <c r="Z1011" s="51">
        <v>45932</v>
      </c>
      <c r="AA1011" s="49">
        <f t="shared" si="289"/>
        <v>4</v>
      </c>
      <c r="AB1011" s="51">
        <f t="shared" si="281"/>
        <v>45938</v>
      </c>
      <c r="AC1011" s="49">
        <f t="shared" si="282"/>
        <v>6</v>
      </c>
      <c r="AD1011" s="43">
        <f t="shared" si="283"/>
        <v>45938</v>
      </c>
      <c r="AE1011" s="4">
        <v>45938</v>
      </c>
      <c r="AF1011" s="19">
        <f t="shared" ref="AF1011:AF1082" si="319">IF(OR(AD1011="", AE1011=""), "", AD1011-AE1011)</f>
        <v>0</v>
      </c>
      <c r="AG1011" s="10"/>
      <c r="AH1011" s="1"/>
      <c r="AI1011" s="1"/>
      <c r="AJ1011" s="1"/>
      <c r="AK1011" s="1"/>
      <c r="AL1011" s="1"/>
    </row>
    <row r="1012" spans="1:38" ht="14.45">
      <c r="A1012" s="156">
        <v>1011</v>
      </c>
      <c r="B1012" s="59">
        <v>45938</v>
      </c>
      <c r="C1012" s="34">
        <v>644055840</v>
      </c>
      <c r="D1012" s="23" t="s">
        <v>2133</v>
      </c>
      <c r="E1012" s="23">
        <v>9821.25</v>
      </c>
      <c r="F1012" s="23" t="s">
        <v>2134</v>
      </c>
      <c r="G1012" s="14" t="s">
        <v>120</v>
      </c>
      <c r="H1012" s="23" t="s">
        <v>40</v>
      </c>
      <c r="I1012" s="23" t="s">
        <v>93</v>
      </c>
      <c r="J1012" s="97">
        <f t="shared" si="277"/>
        <v>45838</v>
      </c>
      <c r="L1012" s="19" t="str">
        <f t="shared" si="304"/>
        <v/>
      </c>
      <c r="M1012" s="5">
        <f t="shared" si="278"/>
        <v>45849</v>
      </c>
      <c r="N1012" s="4">
        <v>45849</v>
      </c>
      <c r="O1012" s="19">
        <f t="shared" si="285"/>
        <v>0</v>
      </c>
      <c r="P1012" s="5">
        <f t="shared" si="279"/>
        <v>45864</v>
      </c>
      <c r="R1012" s="19" t="str">
        <f t="shared" si="286"/>
        <v/>
      </c>
      <c r="S1012" s="5">
        <f t="shared" si="284"/>
        <v>45869</v>
      </c>
      <c r="T1012" s="4">
        <v>45868</v>
      </c>
      <c r="U1012" s="19">
        <f t="shared" si="287"/>
        <v>1</v>
      </c>
      <c r="V1012" s="5">
        <f t="shared" si="280"/>
        <v>45908</v>
      </c>
      <c r="W1012" s="6">
        <v>45911</v>
      </c>
      <c r="X1012" s="19">
        <f t="shared" si="288"/>
        <v>-3</v>
      </c>
      <c r="Y1012" s="51">
        <f t="shared" si="318"/>
        <v>45936</v>
      </c>
      <c r="Z1012" s="51">
        <v>45933</v>
      </c>
      <c r="AA1012" s="49">
        <f t="shared" si="289"/>
        <v>3</v>
      </c>
      <c r="AB1012" s="51">
        <f t="shared" si="281"/>
        <v>45938</v>
      </c>
      <c r="AC1012" s="49">
        <f t="shared" si="282"/>
        <v>5</v>
      </c>
      <c r="AD1012" s="43">
        <f t="shared" si="283"/>
        <v>45938</v>
      </c>
      <c r="AE1012" s="4">
        <v>45933</v>
      </c>
      <c r="AF1012" s="19">
        <f t="shared" si="319"/>
        <v>5</v>
      </c>
      <c r="AG1012" s="10"/>
      <c r="AH1012" s="1"/>
      <c r="AI1012" s="1"/>
      <c r="AJ1012" s="1"/>
      <c r="AK1012" s="1"/>
      <c r="AL1012" s="1"/>
    </row>
    <row r="1013" spans="1:38" ht="14.45">
      <c r="A1013" s="156">
        <v>1012</v>
      </c>
      <c r="B1013" s="59">
        <v>45939</v>
      </c>
      <c r="C1013" s="34" t="s">
        <v>2135</v>
      </c>
      <c r="D1013" s="23" t="s">
        <v>2136</v>
      </c>
      <c r="E1013" s="23">
        <v>5500</v>
      </c>
      <c r="F1013" s="23" t="s">
        <v>2137</v>
      </c>
      <c r="G1013" s="14" t="s">
        <v>35</v>
      </c>
      <c r="H1013" s="23" t="s">
        <v>40</v>
      </c>
      <c r="I1013" s="23" t="s">
        <v>62</v>
      </c>
      <c r="J1013" s="97">
        <f t="shared" si="277"/>
        <v>45839</v>
      </c>
      <c r="L1013" s="19" t="str">
        <f t="shared" si="304"/>
        <v/>
      </c>
      <c r="M1013" s="5">
        <f t="shared" si="278"/>
        <v>45850</v>
      </c>
      <c r="O1013" s="19" t="str">
        <f t="shared" si="285"/>
        <v/>
      </c>
      <c r="P1013" s="5">
        <f t="shared" si="279"/>
        <v>45865</v>
      </c>
      <c r="R1013" s="19" t="str">
        <f t="shared" si="286"/>
        <v/>
      </c>
      <c r="S1013" s="5">
        <f t="shared" si="284"/>
        <v>45870</v>
      </c>
      <c r="T1013" s="4">
        <v>45873</v>
      </c>
      <c r="U1013" s="19">
        <f t="shared" si="287"/>
        <v>-3</v>
      </c>
      <c r="V1013" s="5">
        <f t="shared" si="280"/>
        <v>45909</v>
      </c>
      <c r="W1013" s="6">
        <v>45896</v>
      </c>
      <c r="X1013" s="19">
        <f t="shared" si="288"/>
        <v>13</v>
      </c>
      <c r="Y1013" s="51">
        <f t="shared" si="318"/>
        <v>45937</v>
      </c>
      <c r="Z1013" s="51">
        <v>45911</v>
      </c>
      <c r="AA1013" s="49">
        <f t="shared" si="289"/>
        <v>26</v>
      </c>
      <c r="AB1013" s="51">
        <f t="shared" si="281"/>
        <v>45939</v>
      </c>
      <c r="AC1013" s="49">
        <f t="shared" si="282"/>
        <v>28</v>
      </c>
      <c r="AD1013" s="43">
        <f t="shared" si="283"/>
        <v>45939</v>
      </c>
      <c r="AE1013" s="4">
        <v>45918</v>
      </c>
      <c r="AF1013" s="19">
        <f t="shared" si="319"/>
        <v>21</v>
      </c>
      <c r="AG1013" s="10"/>
      <c r="AH1013" s="1"/>
      <c r="AI1013" s="1"/>
      <c r="AJ1013" s="1"/>
      <c r="AK1013" s="1"/>
      <c r="AL1013" s="1"/>
    </row>
    <row r="1014" spans="1:38" ht="14.45">
      <c r="A1014" s="156">
        <v>1013</v>
      </c>
      <c r="B1014" s="59">
        <v>45941</v>
      </c>
      <c r="C1014" s="34" t="s">
        <v>2138</v>
      </c>
      <c r="D1014" s="23" t="s">
        <v>2139</v>
      </c>
      <c r="E1014" s="23">
        <v>49743.02</v>
      </c>
      <c r="F1014" s="23" t="s">
        <v>2140</v>
      </c>
      <c r="G1014" s="14" t="s">
        <v>120</v>
      </c>
      <c r="H1014" s="23" t="s">
        <v>40</v>
      </c>
      <c r="I1014" s="23" t="s">
        <v>93</v>
      </c>
      <c r="J1014" s="97">
        <f t="shared" si="277"/>
        <v>45841</v>
      </c>
      <c r="L1014" s="19" t="str">
        <f t="shared" si="304"/>
        <v/>
      </c>
      <c r="M1014" s="5">
        <f t="shared" si="278"/>
        <v>45852</v>
      </c>
      <c r="N1014" s="4">
        <v>45858</v>
      </c>
      <c r="O1014" s="19">
        <f t="shared" si="285"/>
        <v>-6</v>
      </c>
      <c r="P1014" s="5">
        <f t="shared" si="279"/>
        <v>45867</v>
      </c>
      <c r="R1014" s="19" t="str">
        <f t="shared" si="286"/>
        <v/>
      </c>
      <c r="S1014" s="5">
        <f t="shared" si="284"/>
        <v>45872</v>
      </c>
      <c r="T1014" s="4">
        <v>45870</v>
      </c>
      <c r="U1014" s="19">
        <f t="shared" si="287"/>
        <v>2</v>
      </c>
      <c r="V1014" s="5">
        <f t="shared" si="280"/>
        <v>45911</v>
      </c>
      <c r="W1014" s="6">
        <v>45908</v>
      </c>
      <c r="X1014" s="19">
        <f t="shared" si="288"/>
        <v>3</v>
      </c>
      <c r="Y1014" s="51">
        <f t="shared" si="318"/>
        <v>45939</v>
      </c>
      <c r="Z1014" s="51">
        <v>45940</v>
      </c>
      <c r="AA1014" s="49">
        <f t="shared" si="289"/>
        <v>-1</v>
      </c>
      <c r="AB1014" s="51">
        <f t="shared" si="281"/>
        <v>45941</v>
      </c>
      <c r="AC1014" s="49">
        <f t="shared" si="282"/>
        <v>1</v>
      </c>
      <c r="AD1014" s="43">
        <f t="shared" si="283"/>
        <v>45941</v>
      </c>
      <c r="AF1014" s="19" t="str">
        <f t="shared" si="319"/>
        <v/>
      </c>
      <c r="AG1014" s="10"/>
      <c r="AH1014" s="1"/>
      <c r="AI1014" s="1"/>
      <c r="AJ1014" s="1"/>
      <c r="AK1014" s="1"/>
      <c r="AL1014" s="1"/>
    </row>
    <row r="1015" spans="1:38" ht="14.45">
      <c r="A1015" s="156">
        <v>1014</v>
      </c>
      <c r="B1015" s="59">
        <v>45942</v>
      </c>
      <c r="C1015" s="34" t="s">
        <v>2141</v>
      </c>
      <c r="D1015" s="23" t="s">
        <v>38</v>
      </c>
      <c r="E1015" s="23">
        <v>1788.2</v>
      </c>
      <c r="F1015" s="23" t="s">
        <v>2142</v>
      </c>
      <c r="G1015" s="14" t="s">
        <v>190</v>
      </c>
      <c r="H1015" s="23" t="s">
        <v>40</v>
      </c>
      <c r="I1015" s="23" t="s">
        <v>41</v>
      </c>
      <c r="J1015" s="97">
        <v>45842</v>
      </c>
      <c r="K1015" s="4">
        <v>45903</v>
      </c>
      <c r="L1015" s="19">
        <v>-61</v>
      </c>
      <c r="M1015" s="5">
        <v>45853</v>
      </c>
      <c r="N1015" s="4">
        <v>45926</v>
      </c>
      <c r="O1015" s="19">
        <v>0</v>
      </c>
      <c r="P1015" s="5">
        <v>45868</v>
      </c>
      <c r="Q1015" s="4">
        <v>45932</v>
      </c>
      <c r="R1015" s="19">
        <v>0</v>
      </c>
      <c r="S1015" s="5">
        <v>45873</v>
      </c>
      <c r="T1015" s="4">
        <v>45932</v>
      </c>
      <c r="U1015" s="19">
        <v>0</v>
      </c>
      <c r="V1015" s="5">
        <v>45912</v>
      </c>
      <c r="W1015" s="4">
        <v>45912</v>
      </c>
      <c r="X1015" s="19">
        <v>0</v>
      </c>
      <c r="Y1015" s="51">
        <v>45940</v>
      </c>
      <c r="Z1015" s="51">
        <v>45932</v>
      </c>
      <c r="AA1015" s="49">
        <f t="shared" si="289"/>
        <v>8</v>
      </c>
      <c r="AB1015" s="43">
        <v>45942</v>
      </c>
      <c r="AC1015" s="4"/>
      <c r="AD1015" s="43">
        <f t="shared" si="283"/>
        <v>45942</v>
      </c>
      <c r="AE1015" s="4">
        <v>45942</v>
      </c>
      <c r="AF1015" s="19">
        <f t="shared" si="319"/>
        <v>0</v>
      </c>
      <c r="AG1015" s="10"/>
      <c r="AH1015" s="1"/>
      <c r="AI1015" s="1"/>
      <c r="AJ1015" s="1"/>
      <c r="AK1015" s="1"/>
      <c r="AL1015" s="1"/>
    </row>
    <row r="1016" spans="1:38" ht="14.45">
      <c r="A1016" s="156">
        <v>1015</v>
      </c>
      <c r="B1016" s="59">
        <v>45942</v>
      </c>
      <c r="C1016" s="35" t="s">
        <v>2143</v>
      </c>
      <c r="D1016" s="23" t="s">
        <v>38</v>
      </c>
      <c r="E1016" s="101">
        <v>159.18</v>
      </c>
      <c r="F1016" s="35" t="s">
        <v>793</v>
      </c>
      <c r="G1016" s="14" t="s">
        <v>190</v>
      </c>
      <c r="H1016" s="23" t="s">
        <v>40</v>
      </c>
      <c r="I1016" s="23" t="s">
        <v>41</v>
      </c>
      <c r="J1016" s="97">
        <f t="shared" si="277"/>
        <v>45842</v>
      </c>
      <c r="K1016" s="4">
        <v>45903</v>
      </c>
      <c r="L1016" s="19">
        <f t="shared" si="304"/>
        <v>-61</v>
      </c>
      <c r="M1016" s="5">
        <f t="shared" si="278"/>
        <v>45853</v>
      </c>
      <c r="N1016" s="4">
        <v>45926</v>
      </c>
      <c r="O1016" s="19">
        <f t="shared" si="285"/>
        <v>-73</v>
      </c>
      <c r="P1016" s="5">
        <f t="shared" si="279"/>
        <v>45868</v>
      </c>
      <c r="Q1016" s="4">
        <v>45932</v>
      </c>
      <c r="R1016" s="19">
        <f t="shared" si="286"/>
        <v>-64</v>
      </c>
      <c r="S1016" s="5">
        <f t="shared" si="284"/>
        <v>45873</v>
      </c>
      <c r="T1016" s="4">
        <v>45932</v>
      </c>
      <c r="U1016" s="19">
        <f t="shared" si="287"/>
        <v>-59</v>
      </c>
      <c r="V1016" s="5">
        <f t="shared" si="280"/>
        <v>45912</v>
      </c>
      <c r="W1016" s="4">
        <v>45912</v>
      </c>
      <c r="X1016" s="19">
        <f t="shared" si="288"/>
        <v>0</v>
      </c>
      <c r="Y1016" s="51">
        <f t="shared" si="318"/>
        <v>45940</v>
      </c>
      <c r="Z1016" s="51">
        <v>45932</v>
      </c>
      <c r="AA1016" s="49">
        <f t="shared" si="289"/>
        <v>8</v>
      </c>
      <c r="AB1016" s="51">
        <f t="shared" si="281"/>
        <v>45942</v>
      </c>
      <c r="AC1016" s="49">
        <f t="shared" si="282"/>
        <v>10</v>
      </c>
      <c r="AD1016" s="43">
        <f t="shared" si="283"/>
        <v>45942</v>
      </c>
      <c r="AE1016" s="4">
        <v>45942</v>
      </c>
      <c r="AF1016" s="19">
        <f t="shared" si="319"/>
        <v>0</v>
      </c>
      <c r="AG1016" s="10"/>
      <c r="AH1016" s="1"/>
      <c r="AI1016" s="1"/>
      <c r="AJ1016" s="1"/>
      <c r="AK1016" s="1"/>
      <c r="AL1016" s="1"/>
    </row>
    <row r="1017" spans="1:38" ht="14.45">
      <c r="A1017" s="156">
        <v>1016</v>
      </c>
      <c r="B1017" s="59">
        <v>45942</v>
      </c>
      <c r="C1017" s="34" t="s">
        <v>2144</v>
      </c>
      <c r="D1017" s="23" t="s">
        <v>2145</v>
      </c>
      <c r="E1017" s="23">
        <v>1082.1300000000001</v>
      </c>
      <c r="F1017" s="23" t="s">
        <v>2146</v>
      </c>
      <c r="G1017" s="23" t="s">
        <v>51</v>
      </c>
      <c r="H1017" s="23" t="s">
        <v>40</v>
      </c>
      <c r="I1017" s="23" t="s">
        <v>62</v>
      </c>
      <c r="J1017" s="97">
        <f t="shared" si="277"/>
        <v>45842</v>
      </c>
      <c r="L1017" s="19" t="str">
        <f t="shared" si="304"/>
        <v/>
      </c>
      <c r="M1017" s="5">
        <f t="shared" si="278"/>
        <v>45853</v>
      </c>
      <c r="N1017" s="4">
        <v>45862</v>
      </c>
      <c r="O1017" s="19">
        <f t="shared" si="285"/>
        <v>-9</v>
      </c>
      <c r="P1017" s="5">
        <f t="shared" si="279"/>
        <v>45868</v>
      </c>
      <c r="Q1017" s="4">
        <v>45925</v>
      </c>
      <c r="R1017" s="19">
        <f t="shared" si="286"/>
        <v>-57</v>
      </c>
      <c r="S1017" s="5">
        <f t="shared" si="284"/>
        <v>45873</v>
      </c>
      <c r="U1017" s="19" t="str">
        <f t="shared" si="287"/>
        <v/>
      </c>
      <c r="V1017" s="5">
        <f t="shared" si="280"/>
        <v>45912</v>
      </c>
      <c r="W1017" s="6">
        <v>45902</v>
      </c>
      <c r="X1017" s="19">
        <f t="shared" si="288"/>
        <v>10</v>
      </c>
      <c r="Y1017" s="51">
        <f t="shared" si="318"/>
        <v>45940</v>
      </c>
      <c r="Z1017" s="4">
        <v>45940</v>
      </c>
      <c r="AA1017" s="49">
        <f t="shared" si="289"/>
        <v>0</v>
      </c>
      <c r="AB1017" s="51">
        <f t="shared" si="281"/>
        <v>45942</v>
      </c>
      <c r="AC1017" s="49">
        <f t="shared" si="282"/>
        <v>2</v>
      </c>
      <c r="AD1017" s="43">
        <f t="shared" si="283"/>
        <v>45942</v>
      </c>
      <c r="AE1017" s="4">
        <v>45940</v>
      </c>
      <c r="AF1017" s="19">
        <f t="shared" si="319"/>
        <v>2</v>
      </c>
      <c r="AG1017" s="10" t="s">
        <v>367</v>
      </c>
      <c r="AH1017" s="1"/>
      <c r="AI1017" s="1"/>
      <c r="AJ1017" s="1"/>
      <c r="AK1017" s="1"/>
      <c r="AL1017" s="1"/>
    </row>
    <row r="1018" spans="1:38" ht="14.45">
      <c r="A1018" s="156">
        <v>1017</v>
      </c>
      <c r="B1018" s="59">
        <v>45944</v>
      </c>
      <c r="C1018" s="34">
        <v>636572943</v>
      </c>
      <c r="D1018" s="23" t="s">
        <v>389</v>
      </c>
      <c r="E1018" s="23">
        <v>1513.71</v>
      </c>
      <c r="F1018" s="23" t="s">
        <v>93</v>
      </c>
      <c r="G1018" s="14" t="s">
        <v>120</v>
      </c>
      <c r="H1018" s="23" t="s">
        <v>36</v>
      </c>
      <c r="I1018" s="23" t="s">
        <v>93</v>
      </c>
      <c r="J1018" s="97">
        <f t="shared" si="277"/>
        <v>45844</v>
      </c>
      <c r="K1018" s="4">
        <v>45849</v>
      </c>
      <c r="L1018" s="19">
        <f t="shared" si="304"/>
        <v>-5</v>
      </c>
      <c r="M1018" s="5">
        <f t="shared" si="278"/>
        <v>45855</v>
      </c>
      <c r="N1018" s="4">
        <v>45858</v>
      </c>
      <c r="O1018" s="19">
        <f t="shared" si="285"/>
        <v>-3</v>
      </c>
      <c r="P1018" s="5">
        <f t="shared" si="279"/>
        <v>45870</v>
      </c>
      <c r="R1018" s="19" t="str">
        <f t="shared" si="286"/>
        <v/>
      </c>
      <c r="S1018" s="5">
        <f t="shared" si="284"/>
        <v>45875</v>
      </c>
      <c r="T1018" s="4">
        <v>45874</v>
      </c>
      <c r="U1018" s="19">
        <f t="shared" si="287"/>
        <v>1</v>
      </c>
      <c r="V1018" s="5">
        <f t="shared" si="280"/>
        <v>45914</v>
      </c>
      <c r="W1018" s="6">
        <v>45917</v>
      </c>
      <c r="X1018" s="19">
        <f t="shared" si="288"/>
        <v>-3</v>
      </c>
      <c r="Y1018" s="51">
        <f t="shared" si="318"/>
        <v>45942</v>
      </c>
      <c r="Z1018" s="51">
        <v>45942</v>
      </c>
      <c r="AA1018" s="49">
        <f t="shared" si="289"/>
        <v>0</v>
      </c>
      <c r="AB1018" s="51">
        <f t="shared" si="281"/>
        <v>45944</v>
      </c>
      <c r="AC1018" s="49">
        <f t="shared" si="282"/>
        <v>2</v>
      </c>
      <c r="AD1018" s="43">
        <f t="shared" si="283"/>
        <v>45944</v>
      </c>
      <c r="AE1018" s="4">
        <v>45943</v>
      </c>
      <c r="AF1018" s="19">
        <f t="shared" si="319"/>
        <v>1</v>
      </c>
      <c r="AG1018" s="10"/>
      <c r="AH1018" s="1"/>
      <c r="AI1018" s="1"/>
      <c r="AJ1018" s="1"/>
      <c r="AK1018" s="1"/>
      <c r="AL1018" s="1"/>
    </row>
    <row r="1019" spans="1:38" ht="14.45">
      <c r="A1019" s="156">
        <v>1018</v>
      </c>
      <c r="B1019" s="59">
        <v>45944</v>
      </c>
      <c r="C1019" s="34" t="s">
        <v>2147</v>
      </c>
      <c r="D1019" s="23" t="s">
        <v>2148</v>
      </c>
      <c r="E1019" s="23">
        <v>533084.77</v>
      </c>
      <c r="F1019" s="23" t="s">
        <v>2149</v>
      </c>
      <c r="G1019" s="14" t="s">
        <v>35</v>
      </c>
      <c r="H1019" s="23" t="s">
        <v>36</v>
      </c>
      <c r="I1019" s="23" t="s">
        <v>52</v>
      </c>
      <c r="J1019" s="97">
        <f t="shared" si="277"/>
        <v>45844</v>
      </c>
      <c r="L1019" s="19" t="str">
        <f t="shared" si="304"/>
        <v/>
      </c>
      <c r="M1019" s="5">
        <f t="shared" si="278"/>
        <v>45855</v>
      </c>
      <c r="N1019" s="4">
        <v>45880</v>
      </c>
      <c r="O1019" s="19">
        <f t="shared" si="285"/>
        <v>-25</v>
      </c>
      <c r="P1019" s="5">
        <f t="shared" si="279"/>
        <v>45870</v>
      </c>
      <c r="R1019" s="19" t="str">
        <f t="shared" si="286"/>
        <v/>
      </c>
      <c r="S1019" s="5">
        <f t="shared" si="284"/>
        <v>45875</v>
      </c>
      <c r="T1019" s="4">
        <v>45880</v>
      </c>
      <c r="U1019" s="19">
        <f t="shared" si="287"/>
        <v>-5</v>
      </c>
      <c r="V1019" s="5">
        <f t="shared" si="280"/>
        <v>45914</v>
      </c>
      <c r="W1019" s="6">
        <v>45930</v>
      </c>
      <c r="X1019" s="19">
        <f t="shared" si="288"/>
        <v>-16</v>
      </c>
      <c r="Y1019" s="51">
        <f t="shared" si="318"/>
        <v>45942</v>
      </c>
      <c r="Z1019" s="51">
        <v>45944</v>
      </c>
      <c r="AA1019" s="49">
        <f t="shared" si="289"/>
        <v>-2</v>
      </c>
      <c r="AB1019" s="51">
        <f t="shared" si="281"/>
        <v>45944</v>
      </c>
      <c r="AC1019" s="49">
        <f t="shared" si="282"/>
        <v>0</v>
      </c>
      <c r="AD1019" s="43">
        <f t="shared" si="283"/>
        <v>45944</v>
      </c>
      <c r="AF1019" s="19" t="str">
        <f t="shared" si="319"/>
        <v/>
      </c>
      <c r="AG1019" s="10" t="s">
        <v>367</v>
      </c>
      <c r="AH1019" s="1"/>
      <c r="AI1019" s="1"/>
      <c r="AJ1019" s="1"/>
      <c r="AK1019" s="1"/>
      <c r="AL1019" s="1"/>
    </row>
    <row r="1020" spans="1:38" ht="14.45">
      <c r="A1020" s="156">
        <v>1019</v>
      </c>
      <c r="B1020" s="59">
        <v>45944</v>
      </c>
      <c r="C1020" s="34" t="s">
        <v>2150</v>
      </c>
      <c r="D1020" s="23" t="s">
        <v>2112</v>
      </c>
      <c r="E1020" s="23">
        <v>799.37</v>
      </c>
      <c r="F1020" s="23" t="s">
        <v>2151</v>
      </c>
      <c r="G1020" s="14" t="s">
        <v>35</v>
      </c>
      <c r="H1020" s="23" t="s">
        <v>40</v>
      </c>
      <c r="I1020" s="23" t="s">
        <v>41</v>
      </c>
      <c r="J1020" s="97">
        <f t="shared" si="277"/>
        <v>45844</v>
      </c>
      <c r="L1020" s="19" t="str">
        <f t="shared" si="304"/>
        <v/>
      </c>
      <c r="M1020" s="5">
        <f t="shared" si="278"/>
        <v>45855</v>
      </c>
      <c r="O1020" s="19" t="str">
        <f t="shared" si="285"/>
        <v/>
      </c>
      <c r="P1020" s="5">
        <f t="shared" si="279"/>
        <v>45870</v>
      </c>
      <c r="R1020" s="19" t="str">
        <f t="shared" si="286"/>
        <v/>
      </c>
      <c r="S1020" s="5">
        <f t="shared" si="284"/>
        <v>45875</v>
      </c>
      <c r="U1020" s="19" t="str">
        <f t="shared" si="287"/>
        <v/>
      </c>
      <c r="V1020" s="5">
        <f t="shared" si="280"/>
        <v>45914</v>
      </c>
      <c r="W1020" s="6">
        <v>45918</v>
      </c>
      <c r="X1020" s="19">
        <f t="shared" si="288"/>
        <v>-4</v>
      </c>
      <c r="Y1020" s="51">
        <f t="shared" si="318"/>
        <v>45942</v>
      </c>
      <c r="Z1020" s="51">
        <v>45924</v>
      </c>
      <c r="AA1020" s="49">
        <f t="shared" si="289"/>
        <v>18</v>
      </c>
      <c r="AB1020" s="51">
        <f t="shared" si="281"/>
        <v>45944</v>
      </c>
      <c r="AC1020" s="49">
        <f t="shared" si="282"/>
        <v>20</v>
      </c>
      <c r="AD1020" s="43">
        <f t="shared" si="283"/>
        <v>45944</v>
      </c>
      <c r="AE1020" s="4">
        <v>45933</v>
      </c>
      <c r="AF1020" s="19">
        <f t="shared" si="319"/>
        <v>11</v>
      </c>
      <c r="AG1020" s="10"/>
      <c r="AH1020" s="1"/>
      <c r="AI1020" s="1"/>
      <c r="AJ1020" s="1"/>
      <c r="AK1020" s="1"/>
      <c r="AL1020" s="1"/>
    </row>
    <row r="1021" spans="1:38" ht="14.45">
      <c r="A1021" s="156">
        <v>1020</v>
      </c>
      <c r="B1021" s="59">
        <v>45944</v>
      </c>
      <c r="C1021" s="34">
        <v>636563447</v>
      </c>
      <c r="D1021" s="23" t="s">
        <v>2152</v>
      </c>
      <c r="E1021" s="23">
        <v>4211.2700000000004</v>
      </c>
      <c r="F1021" s="23" t="s">
        <v>2153</v>
      </c>
      <c r="G1021" s="14" t="s">
        <v>190</v>
      </c>
      <c r="H1021" s="23" t="s">
        <v>40</v>
      </c>
      <c r="I1021" s="23" t="s">
        <v>93</v>
      </c>
      <c r="J1021" s="97">
        <f t="shared" si="277"/>
        <v>45844</v>
      </c>
      <c r="K1021" s="4">
        <v>45845</v>
      </c>
      <c r="L1021" s="19">
        <f t="shared" si="304"/>
        <v>-1</v>
      </c>
      <c r="M1021" s="5">
        <f t="shared" si="278"/>
        <v>45855</v>
      </c>
      <c r="N1021" s="4">
        <v>45855</v>
      </c>
      <c r="O1021" s="19">
        <f t="shared" si="285"/>
        <v>0</v>
      </c>
      <c r="P1021" s="5">
        <v>45887</v>
      </c>
      <c r="R1021" s="19" t="str">
        <f t="shared" si="286"/>
        <v/>
      </c>
      <c r="S1021" s="5">
        <f t="shared" si="284"/>
        <v>45875</v>
      </c>
      <c r="T1021" s="4">
        <v>45880</v>
      </c>
      <c r="U1021" s="19">
        <f t="shared" si="287"/>
        <v>-5</v>
      </c>
      <c r="V1021" s="5">
        <f t="shared" si="280"/>
        <v>45914</v>
      </c>
      <c r="W1021" s="6">
        <v>45918</v>
      </c>
      <c r="X1021" s="19">
        <f t="shared" si="288"/>
        <v>-4</v>
      </c>
      <c r="Y1021" s="51">
        <f t="shared" si="318"/>
        <v>45942</v>
      </c>
      <c r="Z1021" s="51">
        <v>45939</v>
      </c>
      <c r="AA1021" s="49">
        <f t="shared" si="289"/>
        <v>3</v>
      </c>
      <c r="AB1021" s="51">
        <f t="shared" si="281"/>
        <v>45944</v>
      </c>
      <c r="AC1021" s="49">
        <f t="shared" si="282"/>
        <v>5</v>
      </c>
      <c r="AD1021" s="43">
        <f t="shared" si="283"/>
        <v>45944</v>
      </c>
      <c r="AE1021" s="4">
        <v>45939</v>
      </c>
      <c r="AF1021" s="19">
        <f t="shared" si="319"/>
        <v>5</v>
      </c>
      <c r="AG1021" s="10"/>
      <c r="AH1021" s="1"/>
      <c r="AI1021" s="1"/>
      <c r="AJ1021" s="1"/>
      <c r="AK1021" s="1"/>
      <c r="AL1021" s="1"/>
    </row>
    <row r="1022" spans="1:38" ht="14.45">
      <c r="A1022" s="156">
        <v>1021</v>
      </c>
      <c r="B1022" s="59">
        <v>45945</v>
      </c>
      <c r="C1022" s="34" t="s">
        <v>2154</v>
      </c>
      <c r="D1022" s="23" t="s">
        <v>38</v>
      </c>
      <c r="E1022" s="23">
        <v>211.05</v>
      </c>
      <c r="F1022" s="23" t="s">
        <v>2155</v>
      </c>
      <c r="G1022" s="14" t="s">
        <v>190</v>
      </c>
      <c r="H1022" s="23" t="s">
        <v>40</v>
      </c>
      <c r="I1022" s="23" t="s">
        <v>41</v>
      </c>
      <c r="J1022" s="97">
        <f t="shared" si="277"/>
        <v>45845</v>
      </c>
      <c r="K1022" s="4">
        <v>45903</v>
      </c>
      <c r="L1022" s="19">
        <f t="shared" si="304"/>
        <v>-58</v>
      </c>
      <c r="M1022" s="5">
        <f t="shared" si="278"/>
        <v>45856</v>
      </c>
      <c r="N1022" s="4">
        <v>45926</v>
      </c>
      <c r="O1022" s="19">
        <f t="shared" si="285"/>
        <v>-70</v>
      </c>
      <c r="P1022" s="5">
        <f t="shared" ref="P1022:P1092" si="320">B1022-74</f>
        <v>45871</v>
      </c>
      <c r="Q1022" s="4">
        <v>45932</v>
      </c>
      <c r="R1022" s="19">
        <f t="shared" si="286"/>
        <v>-61</v>
      </c>
      <c r="S1022" s="5">
        <f t="shared" si="284"/>
        <v>45876</v>
      </c>
      <c r="T1022" s="4">
        <v>45932</v>
      </c>
      <c r="U1022" s="19">
        <f t="shared" si="287"/>
        <v>-56</v>
      </c>
      <c r="V1022" s="5">
        <f t="shared" si="280"/>
        <v>45915</v>
      </c>
      <c r="W1022" s="4">
        <v>45915</v>
      </c>
      <c r="X1022" s="19">
        <f t="shared" si="288"/>
        <v>0</v>
      </c>
      <c r="Y1022" s="51">
        <f t="shared" si="318"/>
        <v>45943</v>
      </c>
      <c r="Z1022" s="51">
        <v>45932</v>
      </c>
      <c r="AA1022" s="49">
        <f t="shared" si="289"/>
        <v>11</v>
      </c>
      <c r="AB1022" s="51">
        <f t="shared" si="281"/>
        <v>45945</v>
      </c>
      <c r="AC1022" s="49">
        <f t="shared" si="282"/>
        <v>13</v>
      </c>
      <c r="AD1022" s="43">
        <f t="shared" si="283"/>
        <v>45945</v>
      </c>
      <c r="AE1022" s="4">
        <v>45945</v>
      </c>
      <c r="AF1022" s="19">
        <f>IF(OR(AD1022="", AE1022=""), "", AD1022-AE1022)</f>
        <v>0</v>
      </c>
      <c r="AG1022" s="10"/>
      <c r="AH1022" s="1"/>
      <c r="AI1022" s="1"/>
      <c r="AJ1022" s="1"/>
      <c r="AK1022" s="1"/>
      <c r="AL1022" s="1"/>
    </row>
    <row r="1023" spans="1:38" ht="14.45">
      <c r="A1023" s="156">
        <v>1022</v>
      </c>
      <c r="B1023" s="59">
        <v>45945</v>
      </c>
      <c r="C1023" s="35" t="s">
        <v>2156</v>
      </c>
      <c r="D1023" s="23" t="s">
        <v>38</v>
      </c>
      <c r="E1023" s="101">
        <v>83.79</v>
      </c>
      <c r="F1023" s="35" t="s">
        <v>838</v>
      </c>
      <c r="G1023" s="14" t="s">
        <v>190</v>
      </c>
      <c r="H1023" s="23" t="s">
        <v>40</v>
      </c>
      <c r="I1023" s="23" t="s">
        <v>41</v>
      </c>
      <c r="J1023" s="97">
        <v>45845</v>
      </c>
      <c r="K1023" s="4">
        <v>45903</v>
      </c>
      <c r="L1023" s="19">
        <v>-58</v>
      </c>
      <c r="M1023" s="5">
        <v>45856</v>
      </c>
      <c r="N1023" s="4">
        <v>45926</v>
      </c>
      <c r="O1023" s="19">
        <v>0</v>
      </c>
      <c r="P1023" s="5">
        <v>45871</v>
      </c>
      <c r="Q1023" s="4">
        <v>45932</v>
      </c>
      <c r="R1023" s="19">
        <v>0</v>
      </c>
      <c r="S1023" s="5">
        <v>45876</v>
      </c>
      <c r="T1023" s="4">
        <v>45932</v>
      </c>
      <c r="U1023" s="19">
        <v>0</v>
      </c>
      <c r="V1023" s="5">
        <v>45915</v>
      </c>
      <c r="W1023" s="4">
        <v>45915</v>
      </c>
      <c r="X1023" s="19">
        <v>0</v>
      </c>
      <c r="Y1023" s="51">
        <v>45943</v>
      </c>
      <c r="Z1023" s="51">
        <v>45932</v>
      </c>
      <c r="AA1023" s="49">
        <f t="shared" si="289"/>
        <v>11</v>
      </c>
      <c r="AB1023" s="43">
        <v>45945</v>
      </c>
      <c r="AC1023" s="4"/>
      <c r="AD1023" s="43">
        <f t="shared" si="283"/>
        <v>45945</v>
      </c>
      <c r="AE1023" s="4">
        <v>45945</v>
      </c>
      <c r="AF1023" s="19">
        <f>IF(OR(AD1023="", AE1023=""), "", AD1023-AE1023)</f>
        <v>0</v>
      </c>
      <c r="AG1023" s="10"/>
      <c r="AH1023" s="1"/>
      <c r="AI1023" s="1"/>
      <c r="AJ1023" s="1"/>
      <c r="AK1023" s="1"/>
      <c r="AL1023" s="1"/>
    </row>
    <row r="1024" spans="1:38" ht="14.45">
      <c r="A1024" s="156">
        <v>1023</v>
      </c>
      <c r="B1024" s="59">
        <v>45945</v>
      </c>
      <c r="C1024" s="34" t="s">
        <v>2157</v>
      </c>
      <c r="D1024" s="23" t="s">
        <v>38</v>
      </c>
      <c r="E1024" s="23">
        <v>11287.5</v>
      </c>
      <c r="F1024" s="23" t="s">
        <v>2158</v>
      </c>
      <c r="G1024" s="14" t="s">
        <v>190</v>
      </c>
      <c r="H1024" s="23" t="s">
        <v>40</v>
      </c>
      <c r="I1024" s="23" t="s">
        <v>41</v>
      </c>
      <c r="J1024" s="97">
        <f t="shared" si="277"/>
        <v>45845</v>
      </c>
      <c r="K1024" s="4">
        <v>45903</v>
      </c>
      <c r="L1024" s="19">
        <f t="shared" si="304"/>
        <v>-58</v>
      </c>
      <c r="M1024" s="5">
        <f t="shared" si="278"/>
        <v>45856</v>
      </c>
      <c r="N1024" s="4">
        <v>45926</v>
      </c>
      <c r="O1024" s="19">
        <f t="shared" si="285"/>
        <v>-70</v>
      </c>
      <c r="P1024" s="5">
        <f t="shared" si="320"/>
        <v>45871</v>
      </c>
      <c r="Q1024" s="4">
        <v>45932</v>
      </c>
      <c r="R1024" s="19">
        <f t="shared" si="286"/>
        <v>-61</v>
      </c>
      <c r="S1024" s="5">
        <f t="shared" si="284"/>
        <v>45876</v>
      </c>
      <c r="T1024" s="4">
        <v>45932</v>
      </c>
      <c r="U1024" s="19">
        <f t="shared" si="287"/>
        <v>-56</v>
      </c>
      <c r="V1024" s="5">
        <f t="shared" si="280"/>
        <v>45915</v>
      </c>
      <c r="W1024" s="4">
        <v>45915</v>
      </c>
      <c r="X1024" s="19">
        <f t="shared" si="288"/>
        <v>0</v>
      </c>
      <c r="Y1024" s="51">
        <f t="shared" si="318"/>
        <v>45943</v>
      </c>
      <c r="Z1024" s="51">
        <v>45932</v>
      </c>
      <c r="AA1024" s="49">
        <f t="shared" si="289"/>
        <v>11</v>
      </c>
      <c r="AB1024" s="51">
        <f t="shared" si="281"/>
        <v>45945</v>
      </c>
      <c r="AC1024" s="49">
        <f t="shared" si="282"/>
        <v>13</v>
      </c>
      <c r="AD1024" s="43">
        <f t="shared" si="283"/>
        <v>45945</v>
      </c>
      <c r="AE1024" s="4">
        <v>45945</v>
      </c>
      <c r="AF1024" s="19">
        <f>IF(OR(AD1024="", AE1024=""), "", AD1024-AE1024)</f>
        <v>0</v>
      </c>
      <c r="AG1024" s="10"/>
      <c r="AH1024" s="1"/>
      <c r="AI1024" s="1"/>
      <c r="AJ1024" s="1"/>
      <c r="AK1024" s="1"/>
      <c r="AL1024" s="1"/>
    </row>
    <row r="1025" spans="1:38" ht="14.45">
      <c r="A1025" s="156">
        <v>1024</v>
      </c>
      <c r="B1025" s="59">
        <v>45945</v>
      </c>
      <c r="C1025" s="34" t="s">
        <v>2159</v>
      </c>
      <c r="D1025" s="23" t="s">
        <v>38</v>
      </c>
      <c r="E1025" s="23">
        <v>552.24</v>
      </c>
      <c r="F1025" s="23" t="s">
        <v>2160</v>
      </c>
      <c r="G1025" s="14" t="s">
        <v>190</v>
      </c>
      <c r="H1025" s="23" t="s">
        <v>40</v>
      </c>
      <c r="I1025" s="23" t="s">
        <v>41</v>
      </c>
      <c r="J1025" s="97">
        <f t="shared" si="277"/>
        <v>45845</v>
      </c>
      <c r="K1025" s="4">
        <v>45903</v>
      </c>
      <c r="L1025" s="19">
        <f t="shared" si="304"/>
        <v>-58</v>
      </c>
      <c r="M1025" s="5">
        <f t="shared" si="278"/>
        <v>45856</v>
      </c>
      <c r="N1025" s="4">
        <v>45926</v>
      </c>
      <c r="O1025" s="19">
        <f t="shared" si="285"/>
        <v>-70</v>
      </c>
      <c r="P1025" s="5">
        <f t="shared" si="320"/>
        <v>45871</v>
      </c>
      <c r="Q1025" s="4">
        <v>45932</v>
      </c>
      <c r="R1025" s="19">
        <f t="shared" si="286"/>
        <v>-61</v>
      </c>
      <c r="S1025" s="5">
        <f t="shared" si="284"/>
        <v>45876</v>
      </c>
      <c r="T1025" s="4">
        <v>45932</v>
      </c>
      <c r="U1025" s="19">
        <f t="shared" si="287"/>
        <v>-56</v>
      </c>
      <c r="V1025" s="5">
        <f t="shared" si="280"/>
        <v>45915</v>
      </c>
      <c r="W1025" s="4">
        <v>45915</v>
      </c>
      <c r="X1025" s="19">
        <f t="shared" si="288"/>
        <v>0</v>
      </c>
      <c r="Y1025" s="51">
        <f t="shared" si="318"/>
        <v>45943</v>
      </c>
      <c r="Z1025" s="51">
        <v>45932</v>
      </c>
      <c r="AA1025" s="49">
        <f t="shared" si="289"/>
        <v>11</v>
      </c>
      <c r="AB1025" s="51">
        <f t="shared" si="281"/>
        <v>45945</v>
      </c>
      <c r="AC1025" s="49">
        <f t="shared" si="282"/>
        <v>13</v>
      </c>
      <c r="AD1025" s="43">
        <f t="shared" si="283"/>
        <v>45945</v>
      </c>
      <c r="AE1025" s="4">
        <v>45945</v>
      </c>
      <c r="AF1025" s="19">
        <f>IF(OR(AD1025="", AE1025=""), "", AD1025-AE1025)</f>
        <v>0</v>
      </c>
      <c r="AG1025" s="10"/>
      <c r="AH1025" s="1"/>
      <c r="AI1025" s="1"/>
      <c r="AJ1025" s="1"/>
      <c r="AK1025" s="1"/>
      <c r="AL1025" s="1"/>
    </row>
    <row r="1026" spans="1:38" ht="14.45">
      <c r="A1026" s="156">
        <v>1025</v>
      </c>
      <c r="B1026" s="59">
        <v>45945</v>
      </c>
      <c r="C1026" s="34" t="s">
        <v>2161</v>
      </c>
      <c r="D1026" s="23" t="s">
        <v>38</v>
      </c>
      <c r="E1026" s="23">
        <v>2622.39</v>
      </c>
      <c r="F1026" s="23" t="s">
        <v>2162</v>
      </c>
      <c r="G1026" s="14" t="s">
        <v>190</v>
      </c>
      <c r="H1026" s="23" t="s">
        <v>40</v>
      </c>
      <c r="I1026" s="23" t="s">
        <v>41</v>
      </c>
      <c r="J1026" s="97">
        <f t="shared" si="277"/>
        <v>45845</v>
      </c>
      <c r="K1026" s="4">
        <v>45903</v>
      </c>
      <c r="L1026" s="19">
        <f t="shared" si="304"/>
        <v>-58</v>
      </c>
      <c r="M1026" s="5">
        <f t="shared" si="278"/>
        <v>45856</v>
      </c>
      <c r="N1026" s="4">
        <v>45926</v>
      </c>
      <c r="O1026" s="19">
        <f t="shared" si="285"/>
        <v>-70</v>
      </c>
      <c r="P1026" s="5">
        <f t="shared" si="320"/>
        <v>45871</v>
      </c>
      <c r="Q1026" s="4">
        <v>45932</v>
      </c>
      <c r="R1026" s="19">
        <f t="shared" si="286"/>
        <v>-61</v>
      </c>
      <c r="S1026" s="5">
        <f t="shared" si="284"/>
        <v>45876</v>
      </c>
      <c r="T1026" s="4">
        <v>45932</v>
      </c>
      <c r="U1026" s="19">
        <f t="shared" si="287"/>
        <v>-56</v>
      </c>
      <c r="V1026" s="5">
        <f t="shared" si="280"/>
        <v>45915</v>
      </c>
      <c r="W1026" s="4">
        <v>45915</v>
      </c>
      <c r="X1026" s="19">
        <f t="shared" si="288"/>
        <v>0</v>
      </c>
      <c r="Y1026" s="51">
        <f t="shared" si="318"/>
        <v>45943</v>
      </c>
      <c r="Z1026" s="51">
        <v>45932</v>
      </c>
      <c r="AA1026" s="49">
        <f t="shared" si="289"/>
        <v>11</v>
      </c>
      <c r="AB1026" s="51">
        <f t="shared" si="281"/>
        <v>45945</v>
      </c>
      <c r="AC1026" s="49">
        <f t="shared" si="282"/>
        <v>13</v>
      </c>
      <c r="AD1026" s="43">
        <f t="shared" si="283"/>
        <v>45945</v>
      </c>
      <c r="AE1026" s="4">
        <v>45945</v>
      </c>
      <c r="AF1026" s="19">
        <f t="shared" si="319"/>
        <v>0</v>
      </c>
      <c r="AG1026" s="10"/>
      <c r="AH1026" s="1"/>
      <c r="AI1026" s="1"/>
      <c r="AJ1026" s="1"/>
      <c r="AK1026" s="1"/>
      <c r="AL1026" s="1"/>
    </row>
    <row r="1027" spans="1:38" ht="14.45">
      <c r="A1027" s="156">
        <v>1026</v>
      </c>
      <c r="B1027" s="59">
        <v>45945</v>
      </c>
      <c r="C1027" s="34" t="s">
        <v>2163</v>
      </c>
      <c r="D1027" s="23" t="s">
        <v>1092</v>
      </c>
      <c r="E1027" s="23">
        <v>144232.20000000001</v>
      </c>
      <c r="F1027" s="23" t="s">
        <v>2164</v>
      </c>
      <c r="G1027" s="14" t="s">
        <v>46</v>
      </c>
      <c r="H1027" s="23" t="s">
        <v>40</v>
      </c>
      <c r="I1027" s="23" t="s">
        <v>1034</v>
      </c>
      <c r="J1027" s="97">
        <f t="shared" si="277"/>
        <v>45845</v>
      </c>
      <c r="K1027" s="4">
        <v>45846</v>
      </c>
      <c r="L1027" s="19">
        <f t="shared" si="304"/>
        <v>-1</v>
      </c>
      <c r="M1027" s="5">
        <f t="shared" si="278"/>
        <v>45856</v>
      </c>
      <c r="N1027" s="4">
        <v>45848</v>
      </c>
      <c r="O1027" s="19">
        <f t="shared" si="285"/>
        <v>8</v>
      </c>
      <c r="P1027" s="5">
        <f t="shared" si="320"/>
        <v>45871</v>
      </c>
      <c r="R1027" s="19" t="str">
        <f t="shared" si="286"/>
        <v/>
      </c>
      <c r="S1027" s="5">
        <f t="shared" si="284"/>
        <v>45876</v>
      </c>
      <c r="T1027" s="4">
        <v>45905</v>
      </c>
      <c r="U1027" s="19">
        <f t="shared" si="287"/>
        <v>-29</v>
      </c>
      <c r="V1027" s="5">
        <f t="shared" si="280"/>
        <v>45915</v>
      </c>
      <c r="W1027" s="6">
        <v>45937</v>
      </c>
      <c r="X1027" s="19">
        <f t="shared" si="288"/>
        <v>-22</v>
      </c>
      <c r="Y1027" s="51">
        <f t="shared" si="318"/>
        <v>45943</v>
      </c>
      <c r="Z1027" s="6">
        <v>45944</v>
      </c>
      <c r="AA1027" s="49">
        <f t="shared" si="289"/>
        <v>-1</v>
      </c>
      <c r="AB1027" s="51">
        <f t="shared" si="281"/>
        <v>45945</v>
      </c>
      <c r="AC1027" s="49">
        <f t="shared" si="282"/>
        <v>1</v>
      </c>
      <c r="AD1027" s="43">
        <f t="shared" si="283"/>
        <v>45945</v>
      </c>
      <c r="AF1027" s="19" t="str">
        <f t="shared" si="319"/>
        <v/>
      </c>
      <c r="AG1027" s="10"/>
      <c r="AH1027" s="1"/>
      <c r="AI1027" s="1"/>
      <c r="AJ1027" s="1"/>
      <c r="AK1027" s="1"/>
      <c r="AL1027" s="1"/>
    </row>
    <row r="1028" spans="1:38" ht="14.45">
      <c r="A1028" s="156">
        <v>1027</v>
      </c>
      <c r="B1028" s="59">
        <v>45945</v>
      </c>
      <c r="C1028" s="34" t="s">
        <v>2165</v>
      </c>
      <c r="D1028" s="23" t="s">
        <v>991</v>
      </c>
      <c r="E1028" s="23">
        <v>316119.78000000003</v>
      </c>
      <c r="F1028" s="23" t="s">
        <v>2166</v>
      </c>
      <c r="G1028" s="14" t="s">
        <v>46</v>
      </c>
      <c r="H1028" s="23" t="s">
        <v>40</v>
      </c>
      <c r="I1028" s="23" t="s">
        <v>1034</v>
      </c>
      <c r="J1028" s="97">
        <f t="shared" ref="J1028:J1097" si="321">B1028-100</f>
        <v>45845</v>
      </c>
      <c r="K1028" s="4">
        <v>45846</v>
      </c>
      <c r="L1028" s="19">
        <f t="shared" si="304"/>
        <v>-1</v>
      </c>
      <c r="M1028" s="5">
        <f t="shared" ref="M1028:M1097" si="322">B1028-89</f>
        <v>45856</v>
      </c>
      <c r="N1028" s="4">
        <v>45848</v>
      </c>
      <c r="O1028" s="19">
        <f t="shared" si="285"/>
        <v>8</v>
      </c>
      <c r="P1028" s="5">
        <f t="shared" si="320"/>
        <v>45871</v>
      </c>
      <c r="R1028" s="19" t="str">
        <f t="shared" si="286"/>
        <v/>
      </c>
      <c r="S1028" s="5">
        <f t="shared" si="284"/>
        <v>45876</v>
      </c>
      <c r="T1028" s="4">
        <v>45905</v>
      </c>
      <c r="U1028" s="19">
        <f t="shared" si="287"/>
        <v>-29</v>
      </c>
      <c r="V1028" s="5">
        <f t="shared" ref="V1028:V1097" si="323">B1028-30</f>
        <v>45915</v>
      </c>
      <c r="W1028" s="6">
        <v>45937</v>
      </c>
      <c r="X1028" s="19">
        <f t="shared" si="288"/>
        <v>-22</v>
      </c>
      <c r="Y1028" s="51">
        <f t="shared" si="318"/>
        <v>45943</v>
      </c>
      <c r="Z1028" s="6">
        <v>45944</v>
      </c>
      <c r="AA1028" s="49">
        <f t="shared" si="289"/>
        <v>-1</v>
      </c>
      <c r="AB1028" s="51">
        <f t="shared" ref="AB1028:AB1097" si="324">IF(B1028&lt;&gt;"", B1028, "")</f>
        <v>45945</v>
      </c>
      <c r="AC1028" s="49">
        <f t="shared" ref="AC1028:AC1097" si="325">IF(OR(AB1028="", Z1028=""), "", AB1028-Z1028)</f>
        <v>1</v>
      </c>
      <c r="AD1028" s="43">
        <f t="shared" ref="AD1028:AD1097" si="326">IF(B1028&lt;&gt;"", B1028, "")</f>
        <v>45945</v>
      </c>
      <c r="AF1028" s="19" t="str">
        <f t="shared" si="319"/>
        <v/>
      </c>
      <c r="AG1028" s="10"/>
      <c r="AH1028" s="1"/>
      <c r="AI1028" s="1"/>
      <c r="AJ1028" s="1"/>
      <c r="AK1028" s="1"/>
      <c r="AL1028" s="1"/>
    </row>
    <row r="1029" spans="1:38" ht="14.45">
      <c r="A1029" s="156">
        <v>1028</v>
      </c>
      <c r="B1029" s="59">
        <v>45945</v>
      </c>
      <c r="C1029" s="34">
        <v>637193533</v>
      </c>
      <c r="D1029" s="23" t="s">
        <v>2167</v>
      </c>
      <c r="E1029" s="23">
        <v>25287.7</v>
      </c>
      <c r="F1029" s="23" t="s">
        <v>2168</v>
      </c>
      <c r="G1029" s="14" t="s">
        <v>120</v>
      </c>
      <c r="H1029" s="23" t="s">
        <v>40</v>
      </c>
      <c r="I1029" s="23" t="s">
        <v>93</v>
      </c>
      <c r="J1029" s="97">
        <f t="shared" si="321"/>
        <v>45845</v>
      </c>
      <c r="K1029" s="4">
        <v>45849</v>
      </c>
      <c r="L1029" s="19">
        <f t="shared" si="304"/>
        <v>-4</v>
      </c>
      <c r="M1029" s="5">
        <f t="shared" si="322"/>
        <v>45856</v>
      </c>
      <c r="N1029" s="4">
        <v>45860</v>
      </c>
      <c r="O1029" s="19">
        <f t="shared" si="285"/>
        <v>-4</v>
      </c>
      <c r="P1029" s="5">
        <f t="shared" si="320"/>
        <v>45871</v>
      </c>
      <c r="R1029" s="19" t="str">
        <f t="shared" si="286"/>
        <v/>
      </c>
      <c r="S1029" s="5">
        <f t="shared" si="284"/>
        <v>45876</v>
      </c>
      <c r="T1029" s="4">
        <v>45873</v>
      </c>
      <c r="U1029" s="19">
        <f t="shared" si="287"/>
        <v>3</v>
      </c>
      <c r="V1029" s="5">
        <f t="shared" si="323"/>
        <v>45915</v>
      </c>
      <c r="W1029" s="6">
        <v>45917</v>
      </c>
      <c r="X1029" s="19">
        <f t="shared" si="288"/>
        <v>-2</v>
      </c>
      <c r="Y1029" s="51">
        <f t="shared" si="318"/>
        <v>45943</v>
      </c>
      <c r="Z1029" s="51">
        <v>45938</v>
      </c>
      <c r="AA1029" s="49">
        <f t="shared" si="289"/>
        <v>5</v>
      </c>
      <c r="AB1029" s="51">
        <f t="shared" si="324"/>
        <v>45945</v>
      </c>
      <c r="AC1029" s="49">
        <f t="shared" si="325"/>
        <v>7</v>
      </c>
      <c r="AD1029" s="43">
        <f t="shared" si="326"/>
        <v>45945</v>
      </c>
      <c r="AE1029" s="51">
        <v>45938</v>
      </c>
      <c r="AF1029" s="19">
        <f t="shared" si="319"/>
        <v>7</v>
      </c>
      <c r="AG1029" s="10"/>
      <c r="AH1029" s="1"/>
      <c r="AI1029" s="1"/>
      <c r="AJ1029" s="1"/>
      <c r="AK1029" s="1"/>
      <c r="AL1029" s="1"/>
    </row>
    <row r="1030" spans="1:38" ht="14.45">
      <c r="A1030" s="156">
        <v>1029</v>
      </c>
      <c r="B1030" s="59">
        <v>45946</v>
      </c>
      <c r="C1030" s="34" t="s">
        <v>2169</v>
      </c>
      <c r="D1030" s="23" t="s">
        <v>2170</v>
      </c>
      <c r="E1030" s="23">
        <v>3347.17</v>
      </c>
      <c r="F1030" s="23" t="s">
        <v>2171</v>
      </c>
      <c r="G1030" s="14" t="s">
        <v>120</v>
      </c>
      <c r="H1030" s="23" t="s">
        <v>40</v>
      </c>
      <c r="I1030" s="23" t="s">
        <v>93</v>
      </c>
      <c r="J1030" s="97">
        <f t="shared" si="321"/>
        <v>45846</v>
      </c>
      <c r="K1030" s="4">
        <v>45849</v>
      </c>
      <c r="L1030" s="19">
        <f t="shared" si="304"/>
        <v>-3</v>
      </c>
      <c r="M1030" s="5">
        <f t="shared" si="322"/>
        <v>45857</v>
      </c>
      <c r="N1030" s="4">
        <v>45858</v>
      </c>
      <c r="O1030" s="19">
        <f t="shared" si="285"/>
        <v>-1</v>
      </c>
      <c r="P1030" s="5">
        <f t="shared" si="320"/>
        <v>45872</v>
      </c>
      <c r="R1030" s="19" t="str">
        <f t="shared" si="286"/>
        <v/>
      </c>
      <c r="S1030" s="5">
        <f t="shared" si="284"/>
        <v>45877</v>
      </c>
      <c r="T1030" s="4">
        <v>45873</v>
      </c>
      <c r="U1030" s="19">
        <f t="shared" si="287"/>
        <v>4</v>
      </c>
      <c r="V1030" s="5">
        <f t="shared" si="323"/>
        <v>45916</v>
      </c>
      <c r="W1030" s="6">
        <v>45911</v>
      </c>
      <c r="X1030" s="19">
        <f t="shared" si="288"/>
        <v>5</v>
      </c>
      <c r="Y1030" s="51">
        <f t="shared" si="318"/>
        <v>45944</v>
      </c>
      <c r="Z1030" s="4">
        <v>45943</v>
      </c>
      <c r="AA1030" s="49">
        <f t="shared" si="289"/>
        <v>1</v>
      </c>
      <c r="AB1030" s="51">
        <f t="shared" si="324"/>
        <v>45946</v>
      </c>
      <c r="AC1030" s="49">
        <f t="shared" si="325"/>
        <v>3</v>
      </c>
      <c r="AD1030" s="43">
        <f t="shared" si="326"/>
        <v>45946</v>
      </c>
      <c r="AE1030" s="4">
        <v>45943</v>
      </c>
      <c r="AF1030" s="19">
        <f t="shared" si="319"/>
        <v>3</v>
      </c>
      <c r="AG1030" s="10"/>
      <c r="AH1030" s="1"/>
      <c r="AI1030" s="1"/>
      <c r="AJ1030" s="1"/>
      <c r="AK1030" s="1"/>
      <c r="AL1030" s="1"/>
    </row>
    <row r="1031" spans="1:38" ht="14.45">
      <c r="A1031" s="156">
        <v>1030</v>
      </c>
      <c r="B1031" s="59">
        <v>45946</v>
      </c>
      <c r="C1031" s="34" t="s">
        <v>2172</v>
      </c>
      <c r="D1031" s="23" t="s">
        <v>2173</v>
      </c>
      <c r="E1031" s="23">
        <v>35666.85</v>
      </c>
      <c r="F1031" s="23" t="s">
        <v>2174</v>
      </c>
      <c r="G1031" s="14" t="s">
        <v>128</v>
      </c>
      <c r="H1031" s="23" t="s">
        <v>40</v>
      </c>
      <c r="I1031" s="23" t="s">
        <v>93</v>
      </c>
      <c r="J1031" s="97">
        <f t="shared" si="321"/>
        <v>45846</v>
      </c>
      <c r="K1031" s="4">
        <v>45838</v>
      </c>
      <c r="L1031" s="19">
        <f t="shared" si="304"/>
        <v>8</v>
      </c>
      <c r="M1031" s="5">
        <f t="shared" si="322"/>
        <v>45857</v>
      </c>
      <c r="N1031" s="4">
        <v>45862</v>
      </c>
      <c r="O1031" s="19">
        <f t="shared" si="285"/>
        <v>-5</v>
      </c>
      <c r="P1031" s="5">
        <f t="shared" si="320"/>
        <v>45872</v>
      </c>
      <c r="R1031" s="19" t="str">
        <f t="shared" si="286"/>
        <v/>
      </c>
      <c r="S1031" s="5">
        <f t="shared" ref="S1031:S1100" si="327">B1031-69</f>
        <v>45877</v>
      </c>
      <c r="T1031" s="4">
        <v>45915</v>
      </c>
      <c r="U1031" s="19">
        <f t="shared" si="287"/>
        <v>-38</v>
      </c>
      <c r="V1031" s="5">
        <f t="shared" si="323"/>
        <v>45916</v>
      </c>
      <c r="W1031" s="6">
        <v>45931</v>
      </c>
      <c r="X1031" s="19">
        <f t="shared" si="288"/>
        <v>-15</v>
      </c>
      <c r="Y1031" s="51">
        <f t="shared" si="318"/>
        <v>45944</v>
      </c>
      <c r="Z1031" s="4">
        <v>45946</v>
      </c>
      <c r="AA1031" s="49">
        <f t="shared" si="289"/>
        <v>-2</v>
      </c>
      <c r="AB1031" s="51">
        <f t="shared" si="324"/>
        <v>45946</v>
      </c>
      <c r="AC1031" s="49">
        <f t="shared" si="325"/>
        <v>0</v>
      </c>
      <c r="AD1031" s="43">
        <f t="shared" si="326"/>
        <v>45946</v>
      </c>
      <c r="AF1031" s="19" t="str">
        <f t="shared" si="319"/>
        <v/>
      </c>
      <c r="AG1031" s="10"/>
      <c r="AH1031" s="1"/>
      <c r="AI1031" s="1"/>
      <c r="AJ1031" s="1"/>
      <c r="AK1031" s="1"/>
      <c r="AL1031" s="1"/>
    </row>
    <row r="1032" spans="1:38" ht="14.45">
      <c r="A1032" s="156">
        <v>1031</v>
      </c>
      <c r="B1032" s="59">
        <v>45947</v>
      </c>
      <c r="C1032" s="34" t="s">
        <v>2175</v>
      </c>
      <c r="D1032" s="23" t="s">
        <v>1791</v>
      </c>
      <c r="E1032" s="23">
        <v>12033.88</v>
      </c>
      <c r="F1032" s="23" t="s">
        <v>2176</v>
      </c>
      <c r="G1032" s="14" t="s">
        <v>46</v>
      </c>
      <c r="H1032" s="23" t="s">
        <v>36</v>
      </c>
      <c r="I1032" s="23" t="s">
        <v>93</v>
      </c>
      <c r="J1032" s="97">
        <f t="shared" si="321"/>
        <v>45847</v>
      </c>
      <c r="K1032" s="4">
        <v>45846</v>
      </c>
      <c r="L1032" s="19">
        <f t="shared" si="304"/>
        <v>1</v>
      </c>
      <c r="M1032" s="5">
        <f t="shared" si="322"/>
        <v>45858</v>
      </c>
      <c r="N1032" s="4">
        <v>45846</v>
      </c>
      <c r="O1032" s="19">
        <f t="shared" si="285"/>
        <v>12</v>
      </c>
      <c r="P1032" s="5">
        <f t="shared" si="320"/>
        <v>45873</v>
      </c>
      <c r="R1032" s="19" t="str">
        <f t="shared" si="286"/>
        <v/>
      </c>
      <c r="S1032" s="5">
        <f t="shared" si="327"/>
        <v>45878</v>
      </c>
      <c r="T1032" s="4">
        <v>45891</v>
      </c>
      <c r="U1032" s="19">
        <f t="shared" si="287"/>
        <v>-13</v>
      </c>
      <c r="V1032" s="5">
        <f t="shared" si="323"/>
        <v>45917</v>
      </c>
      <c r="W1032" s="6">
        <v>45905</v>
      </c>
      <c r="X1032" s="19">
        <f t="shared" si="288"/>
        <v>12</v>
      </c>
      <c r="Y1032" s="51">
        <f t="shared" si="318"/>
        <v>45945</v>
      </c>
      <c r="Z1032" s="4">
        <v>45931</v>
      </c>
      <c r="AA1032" s="49">
        <f t="shared" si="289"/>
        <v>14</v>
      </c>
      <c r="AB1032" s="51">
        <f t="shared" si="324"/>
        <v>45947</v>
      </c>
      <c r="AC1032" s="49">
        <f t="shared" si="325"/>
        <v>16</v>
      </c>
      <c r="AD1032" s="43">
        <f t="shared" si="326"/>
        <v>45947</v>
      </c>
      <c r="AE1032" s="4">
        <v>45931</v>
      </c>
      <c r="AF1032" s="19">
        <f t="shared" si="319"/>
        <v>16</v>
      </c>
      <c r="AG1032" s="10"/>
      <c r="AH1032" s="1"/>
      <c r="AI1032" s="1"/>
      <c r="AJ1032" s="1"/>
      <c r="AK1032" s="1"/>
      <c r="AL1032" s="1"/>
    </row>
    <row r="1033" spans="1:38" ht="14.45">
      <c r="A1033" s="156">
        <v>1032</v>
      </c>
      <c r="B1033" s="59">
        <v>45948</v>
      </c>
      <c r="C1033" s="34" t="s">
        <v>2177</v>
      </c>
      <c r="D1033" s="23" t="s">
        <v>38</v>
      </c>
      <c r="E1033" s="23">
        <v>1057.2</v>
      </c>
      <c r="F1033" s="23" t="s">
        <v>2178</v>
      </c>
      <c r="G1033" s="14" t="s">
        <v>190</v>
      </c>
      <c r="H1033" s="23" t="s">
        <v>40</v>
      </c>
      <c r="I1033" s="23" t="s">
        <v>41</v>
      </c>
      <c r="J1033" s="97">
        <f t="shared" si="321"/>
        <v>45848</v>
      </c>
      <c r="K1033" s="4">
        <v>45903</v>
      </c>
      <c r="L1033" s="19">
        <f t="shared" si="304"/>
        <v>-55</v>
      </c>
      <c r="M1033" s="5">
        <f t="shared" si="322"/>
        <v>45859</v>
      </c>
      <c r="N1033" s="4">
        <v>45926</v>
      </c>
      <c r="O1033" s="19">
        <f t="shared" si="285"/>
        <v>-67</v>
      </c>
      <c r="P1033" s="5">
        <f t="shared" si="320"/>
        <v>45874</v>
      </c>
      <c r="Q1033" s="4">
        <v>45932</v>
      </c>
      <c r="R1033" s="19">
        <f t="shared" si="286"/>
        <v>-58</v>
      </c>
      <c r="S1033" s="5">
        <f t="shared" si="327"/>
        <v>45879</v>
      </c>
      <c r="T1033" s="4">
        <v>45932</v>
      </c>
      <c r="U1033" s="19">
        <f t="shared" si="287"/>
        <v>-53</v>
      </c>
      <c r="V1033" s="5">
        <f t="shared" si="323"/>
        <v>45918</v>
      </c>
      <c r="W1033" s="4">
        <v>45918</v>
      </c>
      <c r="X1033" s="19">
        <f t="shared" si="288"/>
        <v>0</v>
      </c>
      <c r="Y1033" s="51">
        <f t="shared" si="318"/>
        <v>45946</v>
      </c>
      <c r="Z1033" s="51">
        <v>45932</v>
      </c>
      <c r="AA1033" s="49">
        <f t="shared" si="289"/>
        <v>14</v>
      </c>
      <c r="AB1033" s="51">
        <f t="shared" si="324"/>
        <v>45948</v>
      </c>
      <c r="AC1033" s="49">
        <f t="shared" si="325"/>
        <v>16</v>
      </c>
      <c r="AD1033" s="43">
        <f t="shared" si="326"/>
        <v>45948</v>
      </c>
      <c r="AE1033" s="4">
        <v>45945</v>
      </c>
      <c r="AF1033" s="19">
        <f t="shared" si="319"/>
        <v>3</v>
      </c>
      <c r="AG1033" s="10"/>
      <c r="AH1033" s="1"/>
      <c r="AI1033" s="1"/>
      <c r="AJ1033" s="1"/>
      <c r="AK1033" s="1"/>
      <c r="AL1033" s="1"/>
    </row>
    <row r="1034" spans="1:38" ht="14.45">
      <c r="A1034" s="156">
        <v>1033</v>
      </c>
      <c r="B1034" s="59">
        <v>45948</v>
      </c>
      <c r="C1034" s="34" t="s">
        <v>2179</v>
      </c>
      <c r="D1034" s="23" t="s">
        <v>2180</v>
      </c>
      <c r="E1034" s="23">
        <v>3400.62</v>
      </c>
      <c r="F1034" s="23" t="s">
        <v>2181</v>
      </c>
      <c r="G1034" s="14" t="s">
        <v>190</v>
      </c>
      <c r="H1034" s="23" t="s">
        <v>40</v>
      </c>
      <c r="I1034" s="23" t="s">
        <v>93</v>
      </c>
      <c r="J1034" s="97">
        <f t="shared" si="321"/>
        <v>45848</v>
      </c>
      <c r="K1034" s="4">
        <v>45845</v>
      </c>
      <c r="L1034" s="19">
        <f t="shared" si="304"/>
        <v>3</v>
      </c>
      <c r="M1034" s="5">
        <f t="shared" si="322"/>
        <v>45859</v>
      </c>
      <c r="N1034" s="4">
        <v>45856</v>
      </c>
      <c r="O1034" s="19">
        <f t="shared" si="285"/>
        <v>3</v>
      </c>
      <c r="P1034" s="5">
        <f t="shared" si="320"/>
        <v>45874</v>
      </c>
      <c r="Q1034" s="4">
        <v>45859</v>
      </c>
      <c r="R1034" s="19">
        <f t="shared" si="286"/>
        <v>15</v>
      </c>
      <c r="S1034" s="5">
        <f t="shared" si="327"/>
        <v>45879</v>
      </c>
      <c r="T1034" s="4">
        <v>45880</v>
      </c>
      <c r="U1034" s="19">
        <f t="shared" si="287"/>
        <v>-1</v>
      </c>
      <c r="V1034" s="5">
        <f t="shared" si="323"/>
        <v>45918</v>
      </c>
      <c r="W1034" s="6">
        <v>45939</v>
      </c>
      <c r="X1034" s="19">
        <f t="shared" si="288"/>
        <v>-21</v>
      </c>
      <c r="Y1034" s="51">
        <f t="shared" si="318"/>
        <v>45946</v>
      </c>
      <c r="Z1034" s="51">
        <v>45947</v>
      </c>
      <c r="AA1034" s="49">
        <f t="shared" si="289"/>
        <v>-1</v>
      </c>
      <c r="AB1034" s="51">
        <f t="shared" si="324"/>
        <v>45948</v>
      </c>
      <c r="AC1034" s="49">
        <f t="shared" si="325"/>
        <v>1</v>
      </c>
      <c r="AD1034" s="43">
        <f t="shared" si="326"/>
        <v>45948</v>
      </c>
      <c r="AF1034" s="19" t="str">
        <f t="shared" si="319"/>
        <v/>
      </c>
      <c r="AG1034" s="10"/>
      <c r="AH1034" s="1"/>
      <c r="AI1034" s="1"/>
      <c r="AJ1034" s="1"/>
      <c r="AK1034" s="1"/>
      <c r="AL1034" s="1"/>
    </row>
    <row r="1035" spans="1:38" s="9" customFormat="1" ht="14.45">
      <c r="A1035" s="156">
        <v>1034</v>
      </c>
      <c r="B1035" s="60">
        <v>45949</v>
      </c>
      <c r="C1035" s="41" t="s">
        <v>2182</v>
      </c>
      <c r="D1035" s="24" t="s">
        <v>2183</v>
      </c>
      <c r="E1035" s="24">
        <v>13650.32</v>
      </c>
      <c r="F1035" s="24" t="s">
        <v>2184</v>
      </c>
      <c r="G1035" s="14" t="s">
        <v>46</v>
      </c>
      <c r="H1035" s="24" t="s">
        <v>40</v>
      </c>
      <c r="I1035" s="24" t="s">
        <v>41</v>
      </c>
      <c r="J1035" s="98">
        <f t="shared" si="321"/>
        <v>45849</v>
      </c>
      <c r="K1035" s="7">
        <v>45846</v>
      </c>
      <c r="L1035" s="99">
        <f t="shared" si="304"/>
        <v>3</v>
      </c>
      <c r="M1035" s="20">
        <f t="shared" si="322"/>
        <v>45860</v>
      </c>
      <c r="N1035" s="7"/>
      <c r="O1035" s="99" t="str">
        <f t="shared" si="285"/>
        <v/>
      </c>
      <c r="P1035" s="20">
        <f t="shared" si="320"/>
        <v>45875</v>
      </c>
      <c r="Q1035" s="7"/>
      <c r="R1035" s="99" t="str">
        <f t="shared" si="286"/>
        <v/>
      </c>
      <c r="S1035" s="20">
        <f t="shared" si="327"/>
        <v>45880</v>
      </c>
      <c r="T1035" s="7"/>
      <c r="U1035" s="99" t="str">
        <f t="shared" si="287"/>
        <v/>
      </c>
      <c r="V1035" s="20">
        <f t="shared" si="323"/>
        <v>45919</v>
      </c>
      <c r="W1035" s="47"/>
      <c r="X1035" s="99" t="str">
        <f t="shared" si="288"/>
        <v/>
      </c>
      <c r="Y1035" s="66">
        <f t="shared" si="318"/>
        <v>45947</v>
      </c>
      <c r="Z1035" s="126"/>
      <c r="AA1035" s="50" t="str">
        <f t="shared" si="289"/>
        <v/>
      </c>
      <c r="AB1035" s="51">
        <f t="shared" si="324"/>
        <v>45949</v>
      </c>
      <c r="AC1035" s="49" t="str">
        <f t="shared" si="325"/>
        <v/>
      </c>
      <c r="AD1035" s="100">
        <f t="shared" si="326"/>
        <v>45949</v>
      </c>
      <c r="AE1035" s="7"/>
      <c r="AF1035" s="99" t="str">
        <f t="shared" si="319"/>
        <v/>
      </c>
      <c r="AG1035" s="36" t="s">
        <v>2185</v>
      </c>
      <c r="AH1035" s="48"/>
      <c r="AI1035" s="48"/>
      <c r="AJ1035" s="48"/>
      <c r="AK1035" s="48"/>
      <c r="AL1035" s="48"/>
    </row>
    <row r="1036" spans="1:38" ht="14.45">
      <c r="A1036" s="156">
        <v>1035</v>
      </c>
      <c r="B1036" s="59">
        <v>45950</v>
      </c>
      <c r="C1036" s="34" t="s">
        <v>2186</v>
      </c>
      <c r="D1036" s="23" t="s">
        <v>38</v>
      </c>
      <c r="E1036" s="23">
        <v>230.63</v>
      </c>
      <c r="F1036" s="23" t="s">
        <v>2187</v>
      </c>
      <c r="G1036" s="14" t="s">
        <v>190</v>
      </c>
      <c r="H1036" s="23" t="s">
        <v>40</v>
      </c>
      <c r="I1036" s="23" t="s">
        <v>41</v>
      </c>
      <c r="J1036" s="97">
        <f t="shared" si="321"/>
        <v>45850</v>
      </c>
      <c r="K1036" s="4">
        <v>45903</v>
      </c>
      <c r="L1036" s="19">
        <f t="shared" si="304"/>
        <v>-53</v>
      </c>
      <c r="M1036" s="5">
        <f t="shared" si="322"/>
        <v>45861</v>
      </c>
      <c r="N1036" s="4">
        <v>45926</v>
      </c>
      <c r="O1036" s="19">
        <f t="shared" si="285"/>
        <v>-65</v>
      </c>
      <c r="P1036" s="5">
        <f t="shared" si="320"/>
        <v>45876</v>
      </c>
      <c r="Q1036" s="4">
        <v>45932</v>
      </c>
      <c r="R1036" s="19">
        <f t="shared" si="286"/>
        <v>-56</v>
      </c>
      <c r="S1036" s="5">
        <f t="shared" si="327"/>
        <v>45881</v>
      </c>
      <c r="T1036" s="4">
        <v>45932</v>
      </c>
      <c r="U1036" s="19">
        <f t="shared" si="287"/>
        <v>-51</v>
      </c>
      <c r="V1036" s="5">
        <f t="shared" si="323"/>
        <v>45920</v>
      </c>
      <c r="W1036" s="4">
        <v>45920</v>
      </c>
      <c r="X1036" s="19">
        <f t="shared" si="288"/>
        <v>0</v>
      </c>
      <c r="Y1036" s="51">
        <f t="shared" si="318"/>
        <v>45948</v>
      </c>
      <c r="Z1036" s="51">
        <v>45932</v>
      </c>
      <c r="AA1036" s="49">
        <f t="shared" si="289"/>
        <v>16</v>
      </c>
      <c r="AB1036" s="51">
        <f t="shared" si="324"/>
        <v>45950</v>
      </c>
      <c r="AC1036" s="49">
        <f t="shared" si="325"/>
        <v>18</v>
      </c>
      <c r="AD1036" s="43">
        <f t="shared" si="326"/>
        <v>45950</v>
      </c>
      <c r="AE1036" s="4">
        <v>45945</v>
      </c>
      <c r="AF1036" s="19">
        <f t="shared" si="319"/>
        <v>5</v>
      </c>
      <c r="AG1036" s="10"/>
      <c r="AH1036" s="1"/>
      <c r="AI1036" s="1"/>
      <c r="AJ1036" s="1"/>
      <c r="AK1036" s="1"/>
      <c r="AL1036" s="1"/>
    </row>
    <row r="1037" spans="1:38" ht="14.45">
      <c r="A1037" s="156">
        <v>1036</v>
      </c>
      <c r="B1037" s="59">
        <v>45950</v>
      </c>
      <c r="C1037" s="34" t="s">
        <v>2188</v>
      </c>
      <c r="D1037" s="23" t="s">
        <v>2189</v>
      </c>
      <c r="E1037" s="23">
        <v>19810.689999999999</v>
      </c>
      <c r="F1037" s="23" t="s">
        <v>2190</v>
      </c>
      <c r="G1037" s="14" t="s">
        <v>190</v>
      </c>
      <c r="H1037" s="23" t="s">
        <v>36</v>
      </c>
      <c r="I1037" s="23" t="s">
        <v>93</v>
      </c>
      <c r="J1037" s="97">
        <f t="shared" si="321"/>
        <v>45850</v>
      </c>
      <c r="K1037" s="4">
        <v>45845</v>
      </c>
      <c r="L1037" s="19">
        <f t="shared" si="304"/>
        <v>5</v>
      </c>
      <c r="M1037" s="5">
        <f t="shared" si="322"/>
        <v>45861</v>
      </c>
      <c r="N1037" s="4">
        <v>45863</v>
      </c>
      <c r="O1037" s="19">
        <f t="shared" si="285"/>
        <v>-2</v>
      </c>
      <c r="P1037" s="5">
        <f t="shared" si="320"/>
        <v>45876</v>
      </c>
      <c r="R1037" s="19" t="str">
        <f t="shared" si="286"/>
        <v/>
      </c>
      <c r="S1037" s="5">
        <f t="shared" si="327"/>
        <v>45881</v>
      </c>
      <c r="T1037" s="4">
        <v>45891</v>
      </c>
      <c r="U1037" s="19">
        <f t="shared" si="287"/>
        <v>-10</v>
      </c>
      <c r="V1037" s="5">
        <f t="shared" si="323"/>
        <v>45920</v>
      </c>
      <c r="W1037" s="6">
        <v>45939</v>
      </c>
      <c r="X1037" s="19">
        <f t="shared" si="288"/>
        <v>-19</v>
      </c>
      <c r="Y1037" s="51">
        <f t="shared" si="318"/>
        <v>45948</v>
      </c>
      <c r="Z1037" s="51">
        <v>45950</v>
      </c>
      <c r="AA1037" s="49">
        <f t="shared" si="289"/>
        <v>-2</v>
      </c>
      <c r="AB1037" s="51">
        <f t="shared" si="324"/>
        <v>45950</v>
      </c>
      <c r="AC1037" s="49">
        <f t="shared" si="325"/>
        <v>0</v>
      </c>
      <c r="AD1037" s="43">
        <f t="shared" si="326"/>
        <v>45950</v>
      </c>
      <c r="AE1037" s="4">
        <v>45950</v>
      </c>
      <c r="AF1037" s="19">
        <f t="shared" si="319"/>
        <v>0</v>
      </c>
      <c r="AG1037" s="10"/>
      <c r="AH1037" s="1"/>
      <c r="AI1037" s="1"/>
      <c r="AJ1037" s="1"/>
      <c r="AK1037" s="1"/>
      <c r="AL1037" s="1"/>
    </row>
    <row r="1038" spans="1:38" ht="14.45">
      <c r="A1038" s="156">
        <v>1037</v>
      </c>
      <c r="B1038" s="59">
        <v>45951</v>
      </c>
      <c r="C1038" s="35" t="s">
        <v>2191</v>
      </c>
      <c r="D1038" s="23" t="s">
        <v>38</v>
      </c>
      <c r="E1038" s="101">
        <v>222.44</v>
      </c>
      <c r="F1038" s="35" t="s">
        <v>856</v>
      </c>
      <c r="G1038" s="14" t="s">
        <v>190</v>
      </c>
      <c r="H1038" s="23" t="s">
        <v>36</v>
      </c>
      <c r="I1038" s="23" t="s">
        <v>93</v>
      </c>
      <c r="J1038" s="97">
        <f t="shared" ref="J1038:J1039" si="328">B1038-100</f>
        <v>45851</v>
      </c>
      <c r="K1038" s="4">
        <v>45845</v>
      </c>
      <c r="L1038" s="19">
        <f t="shared" ref="L1038:L1039" si="329">IF(OR(J1038="", K1038=""), "", J1038-K1038)</f>
        <v>6</v>
      </c>
      <c r="M1038" s="5">
        <f t="shared" ref="M1038:M1039" si="330">B1038-89</f>
        <v>45862</v>
      </c>
      <c r="N1038" s="4">
        <v>45926</v>
      </c>
      <c r="O1038" s="19">
        <f t="shared" ref="O1038:O1039" si="331">IF(OR(M1038="", N1038=""), "", M1038-N1038)</f>
        <v>-64</v>
      </c>
      <c r="P1038" s="5">
        <f t="shared" ref="P1038:P1039" si="332">B1038-74</f>
        <v>45877</v>
      </c>
      <c r="Q1038" s="4">
        <v>45932</v>
      </c>
      <c r="R1038" s="19">
        <f t="shared" ref="R1038:R1039" si="333">IF(OR(P1038="", Q1038=""), "", P1038-Q1038)</f>
        <v>-55</v>
      </c>
      <c r="S1038" s="5">
        <f t="shared" ref="S1038:S1039" si="334">B1038-69</f>
        <v>45882</v>
      </c>
      <c r="T1038" s="4">
        <v>45932</v>
      </c>
      <c r="U1038" s="19">
        <f t="shared" ref="U1038:U1039" si="335">IF(OR(S1038="", T1038=""), "", S1038-T1038)</f>
        <v>-50</v>
      </c>
      <c r="V1038" s="5">
        <f t="shared" ref="V1038:V1039" si="336">B1038-30</f>
        <v>45921</v>
      </c>
      <c r="W1038" s="4">
        <v>45921</v>
      </c>
      <c r="X1038" s="19">
        <f t="shared" ref="X1038:X1039" si="337">IF(OR(V1038="", W1038=""), "", V1038-W1038)</f>
        <v>0</v>
      </c>
      <c r="Y1038" s="51">
        <f t="shared" ref="Y1038:Y1039" si="338">B1038-2</f>
        <v>45949</v>
      </c>
      <c r="Z1038" s="51">
        <v>45932</v>
      </c>
      <c r="AA1038" s="49">
        <f t="shared" ref="AA1038:AA1039" si="339">IF(OR(Y1038="", Z1038=""), "", Y1038-Z1038)</f>
        <v>17</v>
      </c>
      <c r="AB1038" s="51">
        <f t="shared" ref="AB1038:AB1039" si="340">IF(B1038&lt;&gt;"", B1038, "")</f>
        <v>45951</v>
      </c>
      <c r="AC1038" s="49">
        <f t="shared" ref="AC1038:AC1039" si="341">IF(OR(AB1038="", Z1038=""), "", AB1038-Z1038)</f>
        <v>19</v>
      </c>
      <c r="AD1038" s="43">
        <f t="shared" ref="AD1038:AD1039" si="342">IF(B1038&lt;&gt;"", B1038, "")</f>
        <v>45951</v>
      </c>
      <c r="AE1038" s="4">
        <v>45945</v>
      </c>
      <c r="AF1038" s="19">
        <f t="shared" ref="AF1038:AF1039" si="343">IF(OR(AD1038="", AE1038=""), "", AD1038-AE1038)</f>
        <v>6</v>
      </c>
      <c r="AG1038" s="10"/>
      <c r="AH1038" s="1"/>
      <c r="AI1038" s="1"/>
      <c r="AJ1038" s="1"/>
      <c r="AK1038" s="1"/>
      <c r="AL1038" s="1"/>
    </row>
    <row r="1039" spans="1:38" ht="14.45">
      <c r="A1039" s="156">
        <v>1038</v>
      </c>
      <c r="B1039" s="59">
        <v>45951</v>
      </c>
      <c r="C1039" s="35" t="s">
        <v>2192</v>
      </c>
      <c r="D1039" s="23" t="s">
        <v>38</v>
      </c>
      <c r="E1039" s="101">
        <v>335.88</v>
      </c>
      <c r="F1039" s="35" t="s">
        <v>858</v>
      </c>
      <c r="G1039" s="14" t="s">
        <v>190</v>
      </c>
      <c r="H1039" s="23" t="s">
        <v>36</v>
      </c>
      <c r="I1039" s="23" t="s">
        <v>93</v>
      </c>
      <c r="J1039" s="97">
        <f t="shared" si="328"/>
        <v>45851</v>
      </c>
      <c r="K1039" s="4">
        <v>45845</v>
      </c>
      <c r="L1039" s="19">
        <f t="shared" si="329"/>
        <v>6</v>
      </c>
      <c r="M1039" s="5">
        <f t="shared" si="330"/>
        <v>45862</v>
      </c>
      <c r="N1039" s="4">
        <v>45926</v>
      </c>
      <c r="O1039" s="19">
        <f t="shared" si="331"/>
        <v>-64</v>
      </c>
      <c r="P1039" s="5">
        <f t="shared" si="332"/>
        <v>45877</v>
      </c>
      <c r="Q1039" s="4">
        <v>45932</v>
      </c>
      <c r="R1039" s="19">
        <f t="shared" si="333"/>
        <v>-55</v>
      </c>
      <c r="S1039" s="5">
        <f t="shared" si="334"/>
        <v>45882</v>
      </c>
      <c r="T1039" s="4">
        <v>45932</v>
      </c>
      <c r="U1039" s="19">
        <f t="shared" si="335"/>
        <v>-50</v>
      </c>
      <c r="V1039" s="5">
        <f t="shared" si="336"/>
        <v>45921</v>
      </c>
      <c r="W1039" s="4">
        <v>45921</v>
      </c>
      <c r="X1039" s="19">
        <f t="shared" si="337"/>
        <v>0</v>
      </c>
      <c r="Y1039" s="51">
        <f t="shared" si="338"/>
        <v>45949</v>
      </c>
      <c r="Z1039" s="51">
        <v>45932</v>
      </c>
      <c r="AA1039" s="49">
        <f t="shared" si="339"/>
        <v>17</v>
      </c>
      <c r="AB1039" s="51">
        <f t="shared" si="340"/>
        <v>45951</v>
      </c>
      <c r="AC1039" s="49">
        <f t="shared" si="341"/>
        <v>19</v>
      </c>
      <c r="AD1039" s="43">
        <f t="shared" si="342"/>
        <v>45951</v>
      </c>
      <c r="AE1039" s="4">
        <v>45945</v>
      </c>
      <c r="AF1039" s="19">
        <f t="shared" si="343"/>
        <v>6</v>
      </c>
      <c r="AG1039" s="10"/>
      <c r="AH1039" s="1"/>
      <c r="AI1039" s="1"/>
      <c r="AJ1039" s="1"/>
      <c r="AK1039" s="1"/>
      <c r="AL1039" s="1"/>
    </row>
    <row r="1040" spans="1:38" s="9" customFormat="1" ht="14.45">
      <c r="A1040" s="156">
        <v>1039</v>
      </c>
      <c r="B1040" s="60">
        <v>45951</v>
      </c>
      <c r="C1040" s="41" t="s">
        <v>2193</v>
      </c>
      <c r="D1040" s="24" t="s">
        <v>2194</v>
      </c>
      <c r="E1040" s="24">
        <v>9255.36</v>
      </c>
      <c r="F1040" s="24" t="s">
        <v>2195</v>
      </c>
      <c r="G1040" s="14" t="s">
        <v>46</v>
      </c>
      <c r="H1040" s="24" t="s">
        <v>36</v>
      </c>
      <c r="I1040" s="24" t="s">
        <v>93</v>
      </c>
      <c r="J1040" s="98">
        <f t="shared" si="321"/>
        <v>45851</v>
      </c>
      <c r="K1040" s="7">
        <v>45846</v>
      </c>
      <c r="L1040" s="99">
        <f t="shared" si="304"/>
        <v>5</v>
      </c>
      <c r="M1040" s="20">
        <f t="shared" si="322"/>
        <v>45862</v>
      </c>
      <c r="N1040" s="7">
        <v>45891</v>
      </c>
      <c r="O1040" s="99">
        <f t="shared" ref="O1040:O1107" si="344">IF(OR(M1040="", N1040=""), "", M1040-N1040)</f>
        <v>-29</v>
      </c>
      <c r="P1040" s="20">
        <f t="shared" si="320"/>
        <v>45877</v>
      </c>
      <c r="Q1040" s="7"/>
      <c r="R1040" s="99" t="str">
        <f t="shared" ref="R1040:R1107" si="345">IF(OR(P1040="", Q1040=""), "", P1040-Q1040)</f>
        <v/>
      </c>
      <c r="S1040" s="20">
        <f t="shared" si="327"/>
        <v>45882</v>
      </c>
      <c r="T1040" s="7">
        <v>45891</v>
      </c>
      <c r="U1040" s="99">
        <f t="shared" ref="U1040:U1107" si="346">IF(OR(S1040="", T1040=""), "", S1040-T1040)</f>
        <v>-9</v>
      </c>
      <c r="V1040" s="20">
        <f t="shared" si="323"/>
        <v>45921</v>
      </c>
      <c r="W1040" s="47"/>
      <c r="X1040" s="99" t="str">
        <f t="shared" ref="X1040:X1107" si="347">IF(OR(V1040="", W1040=""), "", V1040-W1040)</f>
        <v/>
      </c>
      <c r="Y1040" s="66">
        <f t="shared" si="318"/>
        <v>45949</v>
      </c>
      <c r="Z1040" s="126"/>
      <c r="AA1040" s="50" t="str">
        <f t="shared" ref="AA1040:AA1107" si="348">IF(OR(Y1040="", Z1040=""), "", Y1040-Z1040)</f>
        <v/>
      </c>
      <c r="AB1040" s="51">
        <f t="shared" si="324"/>
        <v>45951</v>
      </c>
      <c r="AC1040" s="49" t="str">
        <f t="shared" si="325"/>
        <v/>
      </c>
      <c r="AD1040" s="100">
        <f t="shared" si="326"/>
        <v>45951</v>
      </c>
      <c r="AE1040" s="7"/>
      <c r="AF1040" s="99" t="str">
        <f t="shared" si="319"/>
        <v/>
      </c>
      <c r="AG1040" s="36" t="s">
        <v>2185</v>
      </c>
      <c r="AH1040" s="48"/>
      <c r="AI1040" s="48"/>
      <c r="AJ1040" s="48"/>
      <c r="AK1040" s="48"/>
      <c r="AL1040" s="48"/>
    </row>
    <row r="1041" spans="1:38" ht="14.45">
      <c r="A1041" s="156">
        <v>1040</v>
      </c>
      <c r="B1041" s="59">
        <v>45951</v>
      </c>
      <c r="C1041" s="34">
        <v>111806013</v>
      </c>
      <c r="D1041" s="23" t="s">
        <v>2196</v>
      </c>
      <c r="E1041" s="23">
        <v>95596</v>
      </c>
      <c r="F1041" s="23" t="s">
        <v>2197</v>
      </c>
      <c r="G1041" s="14" t="s">
        <v>128</v>
      </c>
      <c r="H1041" s="23" t="s">
        <v>36</v>
      </c>
      <c r="I1041" s="23" t="s">
        <v>37</v>
      </c>
      <c r="J1041" s="97">
        <f t="shared" si="321"/>
        <v>45851</v>
      </c>
      <c r="K1041" s="4">
        <v>45897</v>
      </c>
      <c r="L1041" s="19">
        <f t="shared" si="304"/>
        <v>-46</v>
      </c>
      <c r="M1041" s="5">
        <f t="shared" si="322"/>
        <v>45862</v>
      </c>
      <c r="N1041" s="4">
        <v>45936</v>
      </c>
      <c r="O1041" s="19">
        <f t="shared" si="344"/>
        <v>-74</v>
      </c>
      <c r="P1041" s="5">
        <f t="shared" si="320"/>
        <v>45877</v>
      </c>
      <c r="R1041" s="19" t="str">
        <f t="shared" si="345"/>
        <v/>
      </c>
      <c r="S1041" s="5">
        <f t="shared" si="327"/>
        <v>45882</v>
      </c>
      <c r="T1041" s="4">
        <v>45936</v>
      </c>
      <c r="U1041" s="19">
        <f t="shared" si="346"/>
        <v>-54</v>
      </c>
      <c r="V1041" s="5">
        <f t="shared" si="323"/>
        <v>45921</v>
      </c>
      <c r="W1041" s="6">
        <v>45936</v>
      </c>
      <c r="X1041" s="19">
        <f t="shared" si="347"/>
        <v>-15</v>
      </c>
      <c r="Y1041" s="51">
        <f t="shared" si="318"/>
        <v>45949</v>
      </c>
      <c r="Z1041" s="51">
        <v>45947</v>
      </c>
      <c r="AA1041" s="49">
        <f t="shared" si="348"/>
        <v>2</v>
      </c>
      <c r="AB1041" s="51">
        <f t="shared" si="324"/>
        <v>45951</v>
      </c>
      <c r="AC1041" s="49">
        <f t="shared" si="325"/>
        <v>4</v>
      </c>
      <c r="AD1041" s="43">
        <f t="shared" si="326"/>
        <v>45951</v>
      </c>
      <c r="AE1041" s="4">
        <v>45947</v>
      </c>
      <c r="AF1041" s="19">
        <f t="shared" si="319"/>
        <v>4</v>
      </c>
      <c r="AG1041" s="10"/>
      <c r="AH1041" s="1"/>
      <c r="AI1041" s="1"/>
      <c r="AJ1041" s="1"/>
      <c r="AK1041" s="1"/>
      <c r="AL1041" s="1"/>
    </row>
    <row r="1042" spans="1:38" ht="14.45">
      <c r="A1042" s="156">
        <v>1041</v>
      </c>
      <c r="B1042" s="60">
        <v>45951</v>
      </c>
      <c r="C1042" s="41">
        <v>111806013</v>
      </c>
      <c r="D1042" s="24" t="s">
        <v>2196</v>
      </c>
      <c r="E1042" s="24">
        <v>95596</v>
      </c>
      <c r="F1042" s="24" t="s">
        <v>2197</v>
      </c>
      <c r="G1042" s="16" t="s">
        <v>35</v>
      </c>
      <c r="H1042" s="24" t="s">
        <v>36</v>
      </c>
      <c r="I1042" s="24" t="s">
        <v>37</v>
      </c>
      <c r="J1042" s="98">
        <f t="shared" si="321"/>
        <v>45851</v>
      </c>
      <c r="K1042" s="7">
        <v>45897</v>
      </c>
      <c r="L1042" s="99">
        <f t="shared" si="304"/>
        <v>-46</v>
      </c>
      <c r="M1042" s="20">
        <f t="shared" si="322"/>
        <v>45862</v>
      </c>
      <c r="N1042" s="7"/>
      <c r="O1042" s="99" t="str">
        <f t="shared" si="344"/>
        <v/>
      </c>
      <c r="P1042" s="20">
        <f t="shared" si="320"/>
        <v>45877</v>
      </c>
      <c r="Q1042" s="7"/>
      <c r="R1042" s="99" t="str">
        <f t="shared" si="345"/>
        <v/>
      </c>
      <c r="S1042" s="20">
        <f t="shared" si="327"/>
        <v>45882</v>
      </c>
      <c r="T1042" s="7"/>
      <c r="U1042" s="99" t="str">
        <f t="shared" si="346"/>
        <v/>
      </c>
      <c r="V1042" s="20">
        <f t="shared" si="323"/>
        <v>45921</v>
      </c>
      <c r="W1042" s="47"/>
      <c r="X1042" s="99" t="str">
        <f t="shared" si="347"/>
        <v/>
      </c>
      <c r="Y1042" s="66">
        <f t="shared" si="318"/>
        <v>45949</v>
      </c>
      <c r="Z1042" s="66"/>
      <c r="AA1042" s="50" t="str">
        <f t="shared" si="348"/>
        <v/>
      </c>
      <c r="AB1042" s="66">
        <f t="shared" si="324"/>
        <v>45951</v>
      </c>
      <c r="AC1042" s="50" t="str">
        <f t="shared" si="325"/>
        <v/>
      </c>
      <c r="AD1042" s="100">
        <f t="shared" si="326"/>
        <v>45951</v>
      </c>
      <c r="AE1042" s="7"/>
      <c r="AF1042" s="99" t="str">
        <f t="shared" si="319"/>
        <v/>
      </c>
      <c r="AG1042" s="36" t="s">
        <v>367</v>
      </c>
      <c r="AH1042" s="1"/>
      <c r="AI1042" s="1"/>
      <c r="AJ1042" s="1"/>
      <c r="AK1042" s="1"/>
      <c r="AL1042" s="1"/>
    </row>
    <row r="1043" spans="1:38" ht="14.45">
      <c r="A1043" s="156">
        <v>1042</v>
      </c>
      <c r="B1043" s="59">
        <v>45951</v>
      </c>
      <c r="C1043" s="34" t="s">
        <v>2198</v>
      </c>
      <c r="D1043" s="23" t="s">
        <v>2199</v>
      </c>
      <c r="E1043" s="23">
        <v>2703.18</v>
      </c>
      <c r="F1043" s="23" t="s">
        <v>2200</v>
      </c>
      <c r="G1043" s="14" t="s">
        <v>35</v>
      </c>
      <c r="H1043" s="23" t="s">
        <v>40</v>
      </c>
      <c r="I1043" s="23" t="s">
        <v>93</v>
      </c>
      <c r="J1043" s="97">
        <f t="shared" si="321"/>
        <v>45851</v>
      </c>
      <c r="L1043" s="19" t="str">
        <f t="shared" si="304"/>
        <v/>
      </c>
      <c r="M1043" s="5">
        <f t="shared" si="322"/>
        <v>45862</v>
      </c>
      <c r="O1043" s="19" t="str">
        <f t="shared" si="344"/>
        <v/>
      </c>
      <c r="P1043" s="5">
        <f t="shared" si="320"/>
        <v>45877</v>
      </c>
      <c r="R1043" s="19" t="str">
        <f t="shared" si="345"/>
        <v/>
      </c>
      <c r="S1043" s="5">
        <f t="shared" si="327"/>
        <v>45882</v>
      </c>
      <c r="T1043" s="4">
        <v>45926</v>
      </c>
      <c r="U1043" s="19">
        <f t="shared" si="346"/>
        <v>-44</v>
      </c>
      <c r="V1043" s="5">
        <f t="shared" si="323"/>
        <v>45921</v>
      </c>
      <c r="W1043" s="6">
        <v>45932</v>
      </c>
      <c r="X1043" s="19">
        <f t="shared" si="347"/>
        <v>-11</v>
      </c>
      <c r="Y1043" s="51">
        <f t="shared" si="318"/>
        <v>45949</v>
      </c>
      <c r="Z1043" s="51">
        <v>45950</v>
      </c>
      <c r="AA1043" s="49">
        <f t="shared" si="348"/>
        <v>-1</v>
      </c>
      <c r="AB1043" s="51">
        <f t="shared" si="324"/>
        <v>45951</v>
      </c>
      <c r="AC1043" s="49">
        <f t="shared" si="325"/>
        <v>1</v>
      </c>
      <c r="AD1043" s="43">
        <f t="shared" si="326"/>
        <v>45951</v>
      </c>
      <c r="AE1043" s="4">
        <v>45952</v>
      </c>
      <c r="AF1043" s="19">
        <f t="shared" si="319"/>
        <v>-1</v>
      </c>
      <c r="AG1043" s="10"/>
      <c r="AH1043" s="1"/>
      <c r="AI1043" s="1"/>
      <c r="AJ1043" s="1"/>
      <c r="AK1043" s="1"/>
      <c r="AL1043" s="1"/>
    </row>
    <row r="1044" spans="1:38" ht="14.45">
      <c r="A1044" s="156">
        <v>1043</v>
      </c>
      <c r="B1044" s="59">
        <v>45952</v>
      </c>
      <c r="C1044" s="34" t="s">
        <v>2201</v>
      </c>
      <c r="D1044" s="23" t="s">
        <v>227</v>
      </c>
      <c r="E1044" s="23">
        <v>25652.5</v>
      </c>
      <c r="F1044" s="23" t="s">
        <v>2202</v>
      </c>
      <c r="G1044" s="14" t="s">
        <v>120</v>
      </c>
      <c r="H1044" s="23" t="s">
        <v>40</v>
      </c>
      <c r="I1044" s="23" t="s">
        <v>52</v>
      </c>
      <c r="J1044" s="97">
        <f t="shared" si="321"/>
        <v>45852</v>
      </c>
      <c r="K1044" s="4">
        <v>45849</v>
      </c>
      <c r="L1044" s="19">
        <f t="shared" si="304"/>
        <v>3</v>
      </c>
      <c r="M1044" s="5">
        <f t="shared" si="322"/>
        <v>45863</v>
      </c>
      <c r="N1044" s="4">
        <v>45865</v>
      </c>
      <c r="O1044" s="19">
        <f t="shared" si="344"/>
        <v>-2</v>
      </c>
      <c r="P1044" s="5">
        <f t="shared" si="320"/>
        <v>45878</v>
      </c>
      <c r="R1044" s="19" t="str">
        <f t="shared" si="345"/>
        <v/>
      </c>
      <c r="S1044" s="5">
        <f t="shared" si="327"/>
        <v>45883</v>
      </c>
      <c r="T1044" s="4">
        <v>45882</v>
      </c>
      <c r="U1044" s="19">
        <f t="shared" si="346"/>
        <v>1</v>
      </c>
      <c r="V1044" s="5">
        <f t="shared" si="323"/>
        <v>45922</v>
      </c>
      <c r="W1044" s="6">
        <v>45923</v>
      </c>
      <c r="X1044" s="19">
        <f t="shared" si="347"/>
        <v>-1</v>
      </c>
      <c r="Y1044" s="51">
        <f t="shared" si="318"/>
        <v>45950</v>
      </c>
      <c r="Z1044" s="51">
        <v>45938</v>
      </c>
      <c r="AA1044" s="49">
        <f t="shared" si="348"/>
        <v>12</v>
      </c>
      <c r="AB1044" s="51">
        <f t="shared" si="324"/>
        <v>45952</v>
      </c>
      <c r="AC1044" s="49">
        <f t="shared" si="325"/>
        <v>14</v>
      </c>
      <c r="AD1044" s="43">
        <f t="shared" si="326"/>
        <v>45952</v>
      </c>
      <c r="AE1044" s="4">
        <v>45938</v>
      </c>
      <c r="AF1044" s="19">
        <f t="shared" si="319"/>
        <v>14</v>
      </c>
      <c r="AG1044" s="10"/>
      <c r="AH1044" s="1"/>
      <c r="AI1044" s="1"/>
      <c r="AJ1044" s="1"/>
      <c r="AK1044" s="1"/>
      <c r="AL1044" s="1"/>
    </row>
    <row r="1045" spans="1:38" ht="14.45">
      <c r="A1045" s="156">
        <v>1044</v>
      </c>
      <c r="B1045" s="59">
        <v>45952</v>
      </c>
      <c r="C1045" s="34" t="s">
        <v>2203</v>
      </c>
      <c r="D1045" s="23" t="s">
        <v>2204</v>
      </c>
      <c r="E1045" s="23">
        <v>1403.91</v>
      </c>
      <c r="F1045" s="23" t="s">
        <v>2205</v>
      </c>
      <c r="G1045" s="14" t="s">
        <v>46</v>
      </c>
      <c r="H1045" s="23" t="s">
        <v>40</v>
      </c>
      <c r="I1045" s="23" t="s">
        <v>229</v>
      </c>
      <c r="J1045" s="97">
        <f t="shared" si="321"/>
        <v>45852</v>
      </c>
      <c r="K1045" s="4">
        <v>45846</v>
      </c>
      <c r="L1045" s="19">
        <f t="shared" si="304"/>
        <v>6</v>
      </c>
      <c r="M1045" s="5">
        <f t="shared" si="322"/>
        <v>45863</v>
      </c>
      <c r="N1045" s="4">
        <v>45891</v>
      </c>
      <c r="O1045" s="19">
        <f t="shared" si="344"/>
        <v>-28</v>
      </c>
      <c r="P1045" s="5">
        <f t="shared" si="320"/>
        <v>45878</v>
      </c>
      <c r="Q1045" s="4">
        <v>45892</v>
      </c>
      <c r="R1045" s="19">
        <f t="shared" si="345"/>
        <v>-14</v>
      </c>
      <c r="S1045" s="5">
        <f t="shared" si="327"/>
        <v>45883</v>
      </c>
      <c r="T1045" s="4">
        <v>45905</v>
      </c>
      <c r="U1045" s="19">
        <f t="shared" si="346"/>
        <v>-22</v>
      </c>
      <c r="V1045" s="5">
        <f t="shared" si="323"/>
        <v>45922</v>
      </c>
      <c r="W1045" s="6">
        <v>45917</v>
      </c>
      <c r="X1045" s="19">
        <f t="shared" si="347"/>
        <v>5</v>
      </c>
      <c r="Y1045" s="51">
        <f t="shared" si="318"/>
        <v>45950</v>
      </c>
      <c r="Z1045" s="4">
        <v>45931</v>
      </c>
      <c r="AA1045" s="49">
        <f t="shared" si="348"/>
        <v>19</v>
      </c>
      <c r="AB1045" s="51">
        <f t="shared" si="324"/>
        <v>45952</v>
      </c>
      <c r="AC1045" s="49">
        <f t="shared" si="325"/>
        <v>21</v>
      </c>
      <c r="AD1045" s="43">
        <f>IF(B1045&lt;&gt;"", B1045, "")</f>
        <v>45952</v>
      </c>
      <c r="AE1045" s="4">
        <v>45931</v>
      </c>
      <c r="AF1045" s="19">
        <f t="shared" si="319"/>
        <v>21</v>
      </c>
      <c r="AG1045" s="10"/>
      <c r="AH1045" s="1"/>
      <c r="AI1045" s="1"/>
      <c r="AJ1045" s="1"/>
      <c r="AK1045" s="1"/>
      <c r="AL1045" s="1"/>
    </row>
    <row r="1046" spans="1:38" ht="14.45">
      <c r="A1046" s="156">
        <v>1045</v>
      </c>
      <c r="B1046" s="59">
        <v>45952</v>
      </c>
      <c r="C1046" s="34">
        <v>641953948</v>
      </c>
      <c r="D1046" s="23" t="s">
        <v>2206</v>
      </c>
      <c r="E1046" s="23">
        <v>21259.47</v>
      </c>
      <c r="F1046" s="23" t="s">
        <v>2207</v>
      </c>
      <c r="G1046" s="14" t="s">
        <v>190</v>
      </c>
      <c r="H1046" s="23" t="s">
        <v>40</v>
      </c>
      <c r="I1046" s="23" t="s">
        <v>93</v>
      </c>
      <c r="J1046" s="97">
        <f t="shared" si="321"/>
        <v>45852</v>
      </c>
      <c r="K1046" s="4">
        <v>45845</v>
      </c>
      <c r="L1046" s="19">
        <f t="shared" si="304"/>
        <v>7</v>
      </c>
      <c r="M1046" s="5">
        <f t="shared" si="322"/>
        <v>45863</v>
      </c>
      <c r="N1046" s="4">
        <v>45863</v>
      </c>
      <c r="O1046" s="19">
        <f t="shared" si="344"/>
        <v>0</v>
      </c>
      <c r="P1046" s="5">
        <f t="shared" si="320"/>
        <v>45878</v>
      </c>
      <c r="Q1046" s="4">
        <v>45874</v>
      </c>
      <c r="R1046" s="19">
        <f t="shared" si="345"/>
        <v>4</v>
      </c>
      <c r="S1046" s="5">
        <f t="shared" si="327"/>
        <v>45883</v>
      </c>
      <c r="T1046" s="4">
        <v>45891</v>
      </c>
      <c r="U1046" s="19">
        <f t="shared" si="346"/>
        <v>-8</v>
      </c>
      <c r="V1046" s="5">
        <f t="shared" si="323"/>
        <v>45922</v>
      </c>
      <c r="W1046" s="6">
        <v>45940</v>
      </c>
      <c r="X1046" s="19">
        <f t="shared" si="347"/>
        <v>-18</v>
      </c>
      <c r="Y1046" s="51">
        <f t="shared" si="318"/>
        <v>45950</v>
      </c>
      <c r="Z1046" s="51">
        <v>45951</v>
      </c>
      <c r="AA1046" s="49">
        <f t="shared" si="348"/>
        <v>-1</v>
      </c>
      <c r="AB1046" s="51">
        <f t="shared" si="324"/>
        <v>45952</v>
      </c>
      <c r="AC1046" s="49">
        <f t="shared" si="325"/>
        <v>1</v>
      </c>
      <c r="AD1046" s="43">
        <f t="shared" si="326"/>
        <v>45952</v>
      </c>
      <c r="AE1046" s="4">
        <v>45951</v>
      </c>
      <c r="AF1046" s="19">
        <f t="shared" si="319"/>
        <v>1</v>
      </c>
      <c r="AG1046" s="10"/>
      <c r="AH1046" s="1"/>
      <c r="AI1046" s="1"/>
      <c r="AJ1046" s="1"/>
      <c r="AK1046" s="1"/>
      <c r="AL1046" s="1"/>
    </row>
    <row r="1047" spans="1:38" ht="14.45">
      <c r="A1047" s="156">
        <v>1046</v>
      </c>
      <c r="B1047" s="59">
        <v>45953</v>
      </c>
      <c r="C1047" s="35" t="s">
        <v>2208</v>
      </c>
      <c r="D1047" s="23" t="s">
        <v>38</v>
      </c>
      <c r="E1047" s="101">
        <v>1465.72</v>
      </c>
      <c r="F1047" s="35" t="s">
        <v>898</v>
      </c>
      <c r="G1047" s="14" t="s">
        <v>190</v>
      </c>
      <c r="H1047" s="23" t="s">
        <v>40</v>
      </c>
      <c r="I1047" s="23" t="s">
        <v>41</v>
      </c>
      <c r="J1047" s="97">
        <f t="shared" ref="J1047" si="349">B1047-100</f>
        <v>45853</v>
      </c>
      <c r="K1047" s="4">
        <v>45903</v>
      </c>
      <c r="L1047" s="19">
        <f t="shared" ref="L1047" si="350">IF(OR(J1047="", K1047=""), "", J1047-K1047)</f>
        <v>-50</v>
      </c>
      <c r="M1047" s="5">
        <f t="shared" ref="M1047" si="351">B1047-89</f>
        <v>45864</v>
      </c>
      <c r="N1047" s="4">
        <v>45926</v>
      </c>
      <c r="O1047" s="19">
        <f t="shared" ref="O1047" si="352">IF(OR(M1047="", N1047=""), "", M1047-N1047)</f>
        <v>-62</v>
      </c>
      <c r="P1047" s="5">
        <f t="shared" ref="P1047" si="353">B1047-74</f>
        <v>45879</v>
      </c>
      <c r="Q1047" s="4">
        <v>45932</v>
      </c>
      <c r="R1047" s="19">
        <f t="shared" ref="R1047" si="354">IF(OR(P1047="", Q1047=""), "", P1047-Q1047)</f>
        <v>-53</v>
      </c>
      <c r="S1047" s="5">
        <f t="shared" ref="S1047" si="355">B1047-69</f>
        <v>45884</v>
      </c>
      <c r="T1047" s="4">
        <v>45932</v>
      </c>
      <c r="U1047" s="19">
        <f t="shared" ref="U1047" si="356">IF(OR(S1047="", T1047=""), "", S1047-T1047)</f>
        <v>-48</v>
      </c>
      <c r="V1047" s="5">
        <f t="shared" ref="V1047" si="357">B1047-30</f>
        <v>45923</v>
      </c>
      <c r="W1047" s="4">
        <v>45923</v>
      </c>
      <c r="X1047" s="19">
        <f t="shared" ref="X1047" si="358">IF(OR(V1047="", W1047=""), "", V1047-W1047)</f>
        <v>0</v>
      </c>
      <c r="Y1047" s="51">
        <f t="shared" ref="Y1047" si="359">B1047-2</f>
        <v>45951</v>
      </c>
      <c r="Z1047" s="51">
        <v>45932</v>
      </c>
      <c r="AA1047" s="49">
        <f t="shared" ref="AA1047" si="360">IF(OR(Y1047="", Z1047=""), "", Y1047-Z1047)</f>
        <v>19</v>
      </c>
      <c r="AB1047" s="51">
        <f t="shared" ref="AB1047" si="361">IF(B1047&lt;&gt;"", B1047, "")</f>
        <v>45953</v>
      </c>
      <c r="AC1047" s="49">
        <f t="shared" ref="AC1047" si="362">IF(OR(AB1047="", Z1047=""), "", AB1047-Z1047)</f>
        <v>21</v>
      </c>
      <c r="AD1047" s="43">
        <f t="shared" ref="AD1047" si="363">IF(B1047&lt;&gt;"", B1047, "")</f>
        <v>45953</v>
      </c>
      <c r="AE1047" s="4">
        <v>45945</v>
      </c>
      <c r="AF1047" s="19">
        <f t="shared" ref="AF1047" si="364">IF(OR(AD1047="", AE1047=""), "", AD1047-AE1047)</f>
        <v>8</v>
      </c>
      <c r="AG1047" s="10"/>
      <c r="AH1047" s="1"/>
      <c r="AI1047" s="1"/>
      <c r="AJ1047" s="1"/>
      <c r="AK1047" s="1"/>
      <c r="AL1047" s="1"/>
    </row>
    <row r="1048" spans="1:38" ht="14.45">
      <c r="A1048" s="156">
        <v>1047</v>
      </c>
      <c r="B1048" s="59">
        <v>45953</v>
      </c>
      <c r="C1048" s="34" t="s">
        <v>2209</v>
      </c>
      <c r="D1048" s="23" t="s">
        <v>38</v>
      </c>
      <c r="E1048" s="23">
        <v>1524.96</v>
      </c>
      <c r="F1048" s="23" t="s">
        <v>2210</v>
      </c>
      <c r="G1048" s="14" t="s">
        <v>190</v>
      </c>
      <c r="H1048" s="23" t="s">
        <v>40</v>
      </c>
      <c r="I1048" s="23" t="s">
        <v>41</v>
      </c>
      <c r="J1048" s="97">
        <f t="shared" si="321"/>
        <v>45853</v>
      </c>
      <c r="K1048" s="4">
        <v>45903</v>
      </c>
      <c r="L1048" s="19">
        <f t="shared" si="304"/>
        <v>-50</v>
      </c>
      <c r="M1048" s="5">
        <f t="shared" si="322"/>
        <v>45864</v>
      </c>
      <c r="N1048" s="4">
        <v>45926</v>
      </c>
      <c r="O1048" s="19">
        <f t="shared" si="344"/>
        <v>-62</v>
      </c>
      <c r="P1048" s="5">
        <f t="shared" si="320"/>
        <v>45879</v>
      </c>
      <c r="Q1048" s="4">
        <v>45932</v>
      </c>
      <c r="R1048" s="19">
        <f t="shared" si="345"/>
        <v>-53</v>
      </c>
      <c r="S1048" s="5">
        <f t="shared" si="327"/>
        <v>45884</v>
      </c>
      <c r="T1048" s="4">
        <v>45932</v>
      </c>
      <c r="U1048" s="19">
        <f t="shared" si="346"/>
        <v>-48</v>
      </c>
      <c r="V1048" s="5">
        <f t="shared" si="323"/>
        <v>45923</v>
      </c>
      <c r="W1048" s="4">
        <v>45923</v>
      </c>
      <c r="X1048" s="19">
        <f t="shared" si="347"/>
        <v>0</v>
      </c>
      <c r="Y1048" s="51">
        <f t="shared" si="318"/>
        <v>45951</v>
      </c>
      <c r="Z1048" s="51">
        <v>45932</v>
      </c>
      <c r="AA1048" s="49">
        <f t="shared" si="348"/>
        <v>19</v>
      </c>
      <c r="AB1048" s="51">
        <f t="shared" si="324"/>
        <v>45953</v>
      </c>
      <c r="AC1048" s="49">
        <f t="shared" si="325"/>
        <v>21</v>
      </c>
      <c r="AD1048" s="43">
        <f t="shared" si="326"/>
        <v>45953</v>
      </c>
      <c r="AE1048" s="4">
        <v>45945</v>
      </c>
      <c r="AF1048" s="19">
        <f t="shared" si="319"/>
        <v>8</v>
      </c>
      <c r="AG1048" s="10"/>
      <c r="AH1048" s="1"/>
      <c r="AI1048" s="1"/>
      <c r="AJ1048" s="1"/>
      <c r="AK1048" s="1"/>
      <c r="AL1048" s="1"/>
    </row>
    <row r="1049" spans="1:38" ht="14.45">
      <c r="A1049" s="156">
        <v>1048</v>
      </c>
      <c r="B1049" s="59">
        <v>45953</v>
      </c>
      <c r="C1049" s="89" t="s">
        <v>2211</v>
      </c>
      <c r="D1049" s="23" t="s">
        <v>2212</v>
      </c>
      <c r="E1049" s="23">
        <v>6913.72</v>
      </c>
      <c r="F1049" s="23" t="s">
        <v>93</v>
      </c>
      <c r="G1049" s="14" t="s">
        <v>35</v>
      </c>
      <c r="H1049" s="23" t="s">
        <v>36</v>
      </c>
      <c r="I1049" s="23" t="s">
        <v>93</v>
      </c>
      <c r="J1049" s="97">
        <f t="shared" si="321"/>
        <v>45853</v>
      </c>
      <c r="L1049" s="19" t="str">
        <f t="shared" si="304"/>
        <v/>
      </c>
      <c r="M1049" s="5">
        <f t="shared" si="322"/>
        <v>45864</v>
      </c>
      <c r="O1049" s="19" t="str">
        <f t="shared" si="344"/>
        <v/>
      </c>
      <c r="P1049" s="5">
        <f t="shared" si="320"/>
        <v>45879</v>
      </c>
      <c r="R1049" s="19" t="str">
        <f t="shared" si="345"/>
        <v/>
      </c>
      <c r="S1049" s="5">
        <f t="shared" si="327"/>
        <v>45884</v>
      </c>
      <c r="U1049" s="19" t="str">
        <f t="shared" si="346"/>
        <v/>
      </c>
      <c r="V1049" s="5">
        <f t="shared" si="323"/>
        <v>45923</v>
      </c>
      <c r="W1049" s="6">
        <v>45926</v>
      </c>
      <c r="X1049" s="19">
        <f t="shared" si="347"/>
        <v>-3</v>
      </c>
      <c r="Y1049" s="51">
        <f t="shared" si="318"/>
        <v>45951</v>
      </c>
      <c r="Z1049" s="51">
        <v>45940</v>
      </c>
      <c r="AA1049" s="49">
        <f t="shared" si="348"/>
        <v>11</v>
      </c>
      <c r="AB1049" s="51">
        <f t="shared" si="324"/>
        <v>45953</v>
      </c>
      <c r="AC1049" s="49">
        <f t="shared" si="325"/>
        <v>13</v>
      </c>
      <c r="AD1049" s="43">
        <f t="shared" si="326"/>
        <v>45953</v>
      </c>
      <c r="AE1049" s="4">
        <v>45943</v>
      </c>
      <c r="AF1049" s="19">
        <f t="shared" si="319"/>
        <v>10</v>
      </c>
      <c r="AG1049" s="10"/>
      <c r="AH1049" s="1"/>
      <c r="AI1049" s="1"/>
      <c r="AJ1049" s="1"/>
      <c r="AK1049" s="1"/>
      <c r="AL1049" s="1"/>
    </row>
    <row r="1050" spans="1:38" ht="14.45">
      <c r="A1050" s="156">
        <v>1049</v>
      </c>
      <c r="B1050" s="59">
        <v>45953</v>
      </c>
      <c r="C1050" s="34" t="s">
        <v>2213</v>
      </c>
      <c r="D1050" s="23" t="s">
        <v>2214</v>
      </c>
      <c r="E1050" s="23">
        <v>10152.709999999999</v>
      </c>
      <c r="F1050" s="23" t="s">
        <v>2215</v>
      </c>
      <c r="G1050" s="14" t="s">
        <v>35</v>
      </c>
      <c r="H1050" s="23" t="s">
        <v>36</v>
      </c>
      <c r="I1050" s="23" t="s">
        <v>62</v>
      </c>
      <c r="J1050" s="97">
        <f t="shared" si="321"/>
        <v>45853</v>
      </c>
      <c r="L1050" s="19" t="str">
        <f t="shared" si="304"/>
        <v/>
      </c>
      <c r="M1050" s="5">
        <f t="shared" si="322"/>
        <v>45864</v>
      </c>
      <c r="N1050" s="4">
        <v>45919</v>
      </c>
      <c r="O1050" s="19">
        <f t="shared" si="344"/>
        <v>-55</v>
      </c>
      <c r="P1050" s="5">
        <f t="shared" si="320"/>
        <v>45879</v>
      </c>
      <c r="R1050" s="19" t="str">
        <f t="shared" si="345"/>
        <v/>
      </c>
      <c r="S1050" s="5">
        <f t="shared" si="327"/>
        <v>45884</v>
      </c>
      <c r="U1050" s="19" t="str">
        <f t="shared" si="346"/>
        <v/>
      </c>
      <c r="V1050" s="5">
        <f t="shared" si="323"/>
        <v>45923</v>
      </c>
      <c r="W1050" s="6">
        <v>45919</v>
      </c>
      <c r="X1050" s="19">
        <f t="shared" si="347"/>
        <v>4</v>
      </c>
      <c r="Y1050" s="51">
        <f t="shared" si="318"/>
        <v>45951</v>
      </c>
      <c r="Z1050" s="51">
        <v>45952</v>
      </c>
      <c r="AA1050" s="49">
        <f t="shared" si="348"/>
        <v>-1</v>
      </c>
      <c r="AB1050" s="51">
        <f t="shared" si="324"/>
        <v>45953</v>
      </c>
      <c r="AC1050" s="49">
        <f t="shared" si="325"/>
        <v>1</v>
      </c>
      <c r="AD1050" s="43">
        <f t="shared" si="326"/>
        <v>45953</v>
      </c>
      <c r="AF1050" s="19" t="str">
        <f t="shared" si="319"/>
        <v/>
      </c>
      <c r="AG1050" s="10"/>
      <c r="AH1050" s="1"/>
      <c r="AI1050" s="1"/>
      <c r="AJ1050" s="1"/>
      <c r="AK1050" s="1"/>
      <c r="AL1050" s="1"/>
    </row>
    <row r="1051" spans="1:38" ht="14.45">
      <c r="A1051" s="156">
        <v>1050</v>
      </c>
      <c r="B1051" s="59">
        <v>45954</v>
      </c>
      <c r="C1051" s="34" t="s">
        <v>2216</v>
      </c>
      <c r="D1051" s="23" t="s">
        <v>2217</v>
      </c>
      <c r="E1051" s="23">
        <v>9074</v>
      </c>
      <c r="F1051" s="23" t="s">
        <v>2218</v>
      </c>
      <c r="G1051" s="14" t="s">
        <v>46</v>
      </c>
      <c r="H1051" s="23" t="s">
        <v>36</v>
      </c>
      <c r="I1051" s="23" t="s">
        <v>62</v>
      </c>
      <c r="J1051" s="97">
        <f t="shared" si="321"/>
        <v>45854</v>
      </c>
      <c r="K1051" s="4">
        <v>45846</v>
      </c>
      <c r="L1051" s="19">
        <f t="shared" ref="L1051:L1118" si="365">IF(OR(J1051="", K1051=""), "", J1051-K1051)</f>
        <v>8</v>
      </c>
      <c r="M1051" s="5">
        <f t="shared" si="322"/>
        <v>45865</v>
      </c>
      <c r="N1051" s="4">
        <v>45908</v>
      </c>
      <c r="O1051" s="19">
        <f t="shared" si="344"/>
        <v>-43</v>
      </c>
      <c r="P1051" s="5">
        <f t="shared" si="320"/>
        <v>45880</v>
      </c>
      <c r="R1051" s="19" t="str">
        <f t="shared" si="345"/>
        <v/>
      </c>
      <c r="S1051" s="5">
        <f t="shared" si="327"/>
        <v>45885</v>
      </c>
      <c r="T1051" s="4">
        <v>45905</v>
      </c>
      <c r="U1051" s="19">
        <f t="shared" si="346"/>
        <v>-20</v>
      </c>
      <c r="V1051" s="5">
        <f t="shared" si="323"/>
        <v>45924</v>
      </c>
      <c r="W1051" s="6">
        <v>45912</v>
      </c>
      <c r="X1051" s="19">
        <f t="shared" si="347"/>
        <v>12</v>
      </c>
      <c r="Y1051" s="51">
        <f t="shared" si="318"/>
        <v>45952</v>
      </c>
      <c r="Z1051" s="51">
        <v>45930</v>
      </c>
      <c r="AA1051" s="49">
        <f t="shared" si="348"/>
        <v>22</v>
      </c>
      <c r="AB1051" s="51">
        <f t="shared" si="324"/>
        <v>45954</v>
      </c>
      <c r="AC1051" s="49">
        <f t="shared" si="325"/>
        <v>24</v>
      </c>
      <c r="AD1051" s="43">
        <f t="shared" si="326"/>
        <v>45954</v>
      </c>
      <c r="AE1051" s="4">
        <v>45931</v>
      </c>
      <c r="AF1051" s="19">
        <f t="shared" si="319"/>
        <v>23</v>
      </c>
      <c r="AG1051" s="10"/>
      <c r="AH1051" s="1"/>
      <c r="AI1051" s="1"/>
      <c r="AJ1051" s="1"/>
      <c r="AK1051" s="1"/>
      <c r="AL1051" s="1"/>
    </row>
    <row r="1052" spans="1:38" ht="14.45">
      <c r="A1052" s="156">
        <v>1051</v>
      </c>
      <c r="B1052" s="59">
        <v>45954</v>
      </c>
      <c r="C1052" s="34" t="s">
        <v>2219</v>
      </c>
      <c r="D1052" s="23" t="s">
        <v>38</v>
      </c>
      <c r="E1052" s="23">
        <v>2227.5100000000002</v>
      </c>
      <c r="F1052" s="23" t="s">
        <v>2220</v>
      </c>
      <c r="G1052" s="14" t="s">
        <v>190</v>
      </c>
      <c r="H1052" s="23" t="s">
        <v>40</v>
      </c>
      <c r="I1052" s="23" t="s">
        <v>41</v>
      </c>
      <c r="J1052" s="97">
        <f t="shared" si="321"/>
        <v>45854</v>
      </c>
      <c r="K1052" s="4">
        <v>45903</v>
      </c>
      <c r="L1052" s="19">
        <f t="shared" si="365"/>
        <v>-49</v>
      </c>
      <c r="M1052" s="5">
        <f t="shared" si="322"/>
        <v>45865</v>
      </c>
      <c r="N1052" s="4">
        <v>45926</v>
      </c>
      <c r="O1052" s="19">
        <f t="shared" si="344"/>
        <v>-61</v>
      </c>
      <c r="P1052" s="5">
        <f t="shared" si="320"/>
        <v>45880</v>
      </c>
      <c r="Q1052" s="4">
        <v>45932</v>
      </c>
      <c r="R1052" s="19">
        <f t="shared" si="345"/>
        <v>-52</v>
      </c>
      <c r="S1052" s="5">
        <f t="shared" si="327"/>
        <v>45885</v>
      </c>
      <c r="T1052" s="4">
        <v>45932</v>
      </c>
      <c r="U1052" s="19">
        <f t="shared" si="346"/>
        <v>-47</v>
      </c>
      <c r="V1052" s="5">
        <f t="shared" si="323"/>
        <v>45924</v>
      </c>
      <c r="W1052" s="4">
        <v>45924</v>
      </c>
      <c r="X1052" s="19">
        <f t="shared" si="347"/>
        <v>0</v>
      </c>
      <c r="Y1052" s="51">
        <f t="shared" si="318"/>
        <v>45952</v>
      </c>
      <c r="Z1052" s="51">
        <v>45932</v>
      </c>
      <c r="AA1052" s="49">
        <f t="shared" si="348"/>
        <v>20</v>
      </c>
      <c r="AB1052" s="51">
        <f t="shared" si="324"/>
        <v>45954</v>
      </c>
      <c r="AC1052" s="49">
        <f t="shared" si="325"/>
        <v>22</v>
      </c>
      <c r="AD1052" s="43">
        <f t="shared" si="326"/>
        <v>45954</v>
      </c>
      <c r="AE1052" s="4">
        <v>45945</v>
      </c>
      <c r="AF1052" s="19">
        <f t="shared" si="319"/>
        <v>9</v>
      </c>
      <c r="AG1052" s="10"/>
      <c r="AH1052" s="1"/>
      <c r="AI1052" s="1"/>
      <c r="AJ1052" s="1"/>
      <c r="AK1052" s="1"/>
      <c r="AL1052" s="1"/>
    </row>
    <row r="1053" spans="1:38" ht="14.45">
      <c r="A1053" s="156">
        <v>1052</v>
      </c>
      <c r="B1053" s="59">
        <v>45954</v>
      </c>
      <c r="C1053" s="34" t="s">
        <v>2221</v>
      </c>
      <c r="D1053" s="23" t="s">
        <v>2222</v>
      </c>
      <c r="E1053" s="23">
        <v>2162.23</v>
      </c>
      <c r="F1053" s="23" t="s">
        <v>2223</v>
      </c>
      <c r="G1053" s="14" t="s">
        <v>35</v>
      </c>
      <c r="H1053" s="23" t="s">
        <v>40</v>
      </c>
      <c r="I1053" s="23" t="s">
        <v>93</v>
      </c>
      <c r="J1053" s="97">
        <f t="shared" si="321"/>
        <v>45854</v>
      </c>
      <c r="L1053" s="19" t="str">
        <f t="shared" si="365"/>
        <v/>
      </c>
      <c r="M1053" s="5">
        <f t="shared" si="322"/>
        <v>45865</v>
      </c>
      <c r="O1053" s="19" t="str">
        <f t="shared" si="344"/>
        <v/>
      </c>
      <c r="P1053" s="5">
        <f t="shared" si="320"/>
        <v>45880</v>
      </c>
      <c r="R1053" s="19" t="str">
        <f t="shared" si="345"/>
        <v/>
      </c>
      <c r="S1053" s="5">
        <f t="shared" si="327"/>
        <v>45885</v>
      </c>
      <c r="T1053" s="4">
        <v>45924</v>
      </c>
      <c r="U1053" s="19">
        <f t="shared" si="346"/>
        <v>-39</v>
      </c>
      <c r="V1053" s="5">
        <f t="shared" si="323"/>
        <v>45924</v>
      </c>
      <c r="W1053" s="6">
        <v>45933</v>
      </c>
      <c r="X1053" s="19">
        <f t="shared" si="347"/>
        <v>-9</v>
      </c>
      <c r="Y1053" s="51">
        <f t="shared" si="318"/>
        <v>45952</v>
      </c>
      <c r="Z1053" s="51">
        <v>45953</v>
      </c>
      <c r="AA1053" s="49">
        <f t="shared" si="348"/>
        <v>-1</v>
      </c>
      <c r="AB1053" s="51">
        <f t="shared" si="324"/>
        <v>45954</v>
      </c>
      <c r="AC1053" s="49">
        <f t="shared" si="325"/>
        <v>1</v>
      </c>
      <c r="AD1053" s="43">
        <f t="shared" si="326"/>
        <v>45954</v>
      </c>
      <c r="AF1053" s="19" t="str">
        <f t="shared" si="319"/>
        <v/>
      </c>
      <c r="AG1053" s="10"/>
      <c r="AH1053" s="1"/>
      <c r="AI1053" s="1"/>
      <c r="AJ1053" s="1"/>
      <c r="AK1053" s="1"/>
      <c r="AL1053" s="1"/>
    </row>
    <row r="1054" spans="1:38" ht="14.45">
      <c r="A1054" s="156">
        <v>1053</v>
      </c>
      <c r="B1054" s="59">
        <v>45954</v>
      </c>
      <c r="C1054" s="34" t="s">
        <v>2224</v>
      </c>
      <c r="D1054" s="23" t="s">
        <v>2222</v>
      </c>
      <c r="E1054" s="23">
        <v>458.27</v>
      </c>
      <c r="F1054" s="23" t="s">
        <v>2225</v>
      </c>
      <c r="G1054" s="14" t="s">
        <v>35</v>
      </c>
      <c r="H1054" s="23" t="s">
        <v>40</v>
      </c>
      <c r="I1054" s="23" t="s">
        <v>121</v>
      </c>
      <c r="J1054" s="97">
        <f t="shared" si="321"/>
        <v>45854</v>
      </c>
      <c r="L1054" s="19" t="str">
        <f t="shared" si="365"/>
        <v/>
      </c>
      <c r="M1054" s="5">
        <f t="shared" si="322"/>
        <v>45865</v>
      </c>
      <c r="O1054" s="19" t="str">
        <f t="shared" si="344"/>
        <v/>
      </c>
      <c r="P1054" s="5">
        <f t="shared" si="320"/>
        <v>45880</v>
      </c>
      <c r="R1054" s="19" t="str">
        <f t="shared" si="345"/>
        <v/>
      </c>
      <c r="S1054" s="5">
        <f t="shared" si="327"/>
        <v>45885</v>
      </c>
      <c r="T1054" s="4">
        <v>45924</v>
      </c>
      <c r="U1054" s="19">
        <f t="shared" si="346"/>
        <v>-39</v>
      </c>
      <c r="V1054" s="5">
        <f t="shared" si="323"/>
        <v>45924</v>
      </c>
      <c r="W1054" s="6">
        <v>45933</v>
      </c>
      <c r="X1054" s="19">
        <f t="shared" si="347"/>
        <v>-9</v>
      </c>
      <c r="Y1054" s="51">
        <f t="shared" si="318"/>
        <v>45952</v>
      </c>
      <c r="Z1054" s="51">
        <v>45952</v>
      </c>
      <c r="AA1054" s="49">
        <f t="shared" si="348"/>
        <v>0</v>
      </c>
      <c r="AB1054" s="51">
        <f t="shared" si="324"/>
        <v>45954</v>
      </c>
      <c r="AC1054" s="49">
        <f t="shared" si="325"/>
        <v>2</v>
      </c>
      <c r="AD1054" s="43">
        <f t="shared" si="326"/>
        <v>45954</v>
      </c>
      <c r="AF1054" s="19" t="str">
        <f t="shared" si="319"/>
        <v/>
      </c>
      <c r="AG1054" s="10"/>
      <c r="AH1054" s="1"/>
      <c r="AI1054" s="1"/>
      <c r="AJ1054" s="1"/>
      <c r="AK1054" s="1"/>
      <c r="AL1054" s="1"/>
    </row>
    <row r="1055" spans="1:38" s="9" customFormat="1" ht="14.45">
      <c r="A1055" s="156">
        <v>1054</v>
      </c>
      <c r="B1055" s="60">
        <v>45954</v>
      </c>
      <c r="C1055" s="41" t="s">
        <v>2226</v>
      </c>
      <c r="D1055" s="24" t="s">
        <v>2227</v>
      </c>
      <c r="E1055" s="24">
        <v>17300</v>
      </c>
      <c r="F1055" s="24" t="s">
        <v>2228</v>
      </c>
      <c r="G1055" s="16" t="s">
        <v>46</v>
      </c>
      <c r="H1055" s="24" t="s">
        <v>36</v>
      </c>
      <c r="I1055" s="24" t="s">
        <v>323</v>
      </c>
      <c r="J1055" s="98">
        <f t="shared" si="321"/>
        <v>45854</v>
      </c>
      <c r="K1055" s="7">
        <v>45846</v>
      </c>
      <c r="L1055" s="99">
        <f t="shared" si="365"/>
        <v>8</v>
      </c>
      <c r="M1055" s="20">
        <f t="shared" si="322"/>
        <v>45865</v>
      </c>
      <c r="N1055" s="7">
        <v>45891</v>
      </c>
      <c r="O1055" s="99">
        <f t="shared" si="344"/>
        <v>-26</v>
      </c>
      <c r="P1055" s="20">
        <f t="shared" si="320"/>
        <v>45880</v>
      </c>
      <c r="Q1055" s="7"/>
      <c r="R1055" s="99" t="str">
        <f t="shared" si="345"/>
        <v/>
      </c>
      <c r="S1055" s="20">
        <f t="shared" si="327"/>
        <v>45885</v>
      </c>
      <c r="T1055" s="7">
        <v>45908</v>
      </c>
      <c r="U1055" s="99">
        <f t="shared" si="346"/>
        <v>-23</v>
      </c>
      <c r="V1055" s="20">
        <f t="shared" si="323"/>
        <v>45924</v>
      </c>
      <c r="W1055" s="47">
        <v>45917</v>
      </c>
      <c r="X1055" s="99">
        <f t="shared" si="347"/>
        <v>7</v>
      </c>
      <c r="Y1055" s="66">
        <f t="shared" si="318"/>
        <v>45952</v>
      </c>
      <c r="Z1055" s="126"/>
      <c r="AA1055" s="50" t="str">
        <f t="shared" si="348"/>
        <v/>
      </c>
      <c r="AB1055" s="51">
        <f t="shared" si="324"/>
        <v>45954</v>
      </c>
      <c r="AC1055" s="49" t="str">
        <f t="shared" si="325"/>
        <v/>
      </c>
      <c r="AD1055" s="100">
        <f t="shared" si="326"/>
        <v>45954</v>
      </c>
      <c r="AE1055" s="7"/>
      <c r="AF1055" s="99" t="str">
        <f t="shared" si="319"/>
        <v/>
      </c>
      <c r="AG1055" s="36" t="s">
        <v>2185</v>
      </c>
      <c r="AH1055" s="48"/>
      <c r="AI1055" s="48"/>
      <c r="AJ1055" s="48"/>
      <c r="AK1055" s="48"/>
      <c r="AL1055" s="48"/>
    </row>
    <row r="1056" spans="1:38" ht="14.45">
      <c r="A1056" s="156">
        <v>1055</v>
      </c>
      <c r="B1056" s="59">
        <v>45955</v>
      </c>
      <c r="C1056" s="34" t="s">
        <v>2229</v>
      </c>
      <c r="D1056" s="23" t="s">
        <v>38</v>
      </c>
      <c r="E1056" s="23">
        <v>441.23</v>
      </c>
      <c r="F1056" s="23" t="s">
        <v>2230</v>
      </c>
      <c r="G1056" s="14" t="s">
        <v>190</v>
      </c>
      <c r="H1056" s="23" t="s">
        <v>40</v>
      </c>
      <c r="I1056" s="23" t="s">
        <v>41</v>
      </c>
      <c r="J1056" s="97">
        <f t="shared" si="321"/>
        <v>45855</v>
      </c>
      <c r="K1056" s="4">
        <v>45903</v>
      </c>
      <c r="L1056" s="19">
        <f t="shared" si="365"/>
        <v>-48</v>
      </c>
      <c r="M1056" s="5">
        <f t="shared" si="322"/>
        <v>45866</v>
      </c>
      <c r="N1056" s="4">
        <v>45926</v>
      </c>
      <c r="O1056" s="19">
        <f t="shared" si="344"/>
        <v>-60</v>
      </c>
      <c r="P1056" s="5">
        <f t="shared" si="320"/>
        <v>45881</v>
      </c>
      <c r="Q1056" s="4">
        <v>45932</v>
      </c>
      <c r="R1056" s="19">
        <f t="shared" si="345"/>
        <v>-51</v>
      </c>
      <c r="S1056" s="5">
        <f t="shared" si="327"/>
        <v>45886</v>
      </c>
      <c r="T1056" s="4">
        <v>45932</v>
      </c>
      <c r="U1056" s="19">
        <f t="shared" si="346"/>
        <v>-46</v>
      </c>
      <c r="V1056" s="5">
        <f t="shared" si="323"/>
        <v>45925</v>
      </c>
      <c r="W1056" s="4">
        <v>45925</v>
      </c>
      <c r="X1056" s="19">
        <f t="shared" si="347"/>
        <v>0</v>
      </c>
      <c r="Y1056" s="51">
        <f t="shared" si="318"/>
        <v>45953</v>
      </c>
      <c r="Z1056" s="51">
        <v>45932</v>
      </c>
      <c r="AA1056" s="49">
        <f t="shared" si="348"/>
        <v>21</v>
      </c>
      <c r="AB1056" s="51">
        <f t="shared" si="324"/>
        <v>45955</v>
      </c>
      <c r="AC1056" s="49">
        <f t="shared" si="325"/>
        <v>23</v>
      </c>
      <c r="AD1056" s="43">
        <f t="shared" si="326"/>
        <v>45955</v>
      </c>
      <c r="AE1056" s="4">
        <v>45945</v>
      </c>
      <c r="AF1056" s="19">
        <f t="shared" si="319"/>
        <v>10</v>
      </c>
      <c r="AG1056" s="10"/>
      <c r="AH1056" s="1"/>
      <c r="AI1056" s="1"/>
      <c r="AJ1056" s="1"/>
      <c r="AK1056" s="1"/>
      <c r="AL1056" s="1"/>
    </row>
    <row r="1057" spans="1:38" ht="14.45">
      <c r="A1057" s="156">
        <v>1056</v>
      </c>
      <c r="B1057" s="59">
        <v>45955</v>
      </c>
      <c r="C1057" s="34" t="s">
        <v>2231</v>
      </c>
      <c r="D1057" s="23" t="s">
        <v>38</v>
      </c>
      <c r="E1057" s="23">
        <v>195.26</v>
      </c>
      <c r="F1057" s="23" t="s">
        <v>2232</v>
      </c>
      <c r="G1057" s="14" t="s">
        <v>190</v>
      </c>
      <c r="H1057" s="23" t="s">
        <v>40</v>
      </c>
      <c r="I1057" s="23" t="s">
        <v>41</v>
      </c>
      <c r="J1057" s="97">
        <f t="shared" si="321"/>
        <v>45855</v>
      </c>
      <c r="K1057" s="4">
        <v>45903</v>
      </c>
      <c r="L1057" s="19">
        <f t="shared" si="365"/>
        <v>-48</v>
      </c>
      <c r="M1057" s="5">
        <f t="shared" si="322"/>
        <v>45866</v>
      </c>
      <c r="N1057" s="4">
        <v>45926</v>
      </c>
      <c r="O1057" s="19">
        <f t="shared" si="344"/>
        <v>-60</v>
      </c>
      <c r="P1057" s="5">
        <f t="shared" si="320"/>
        <v>45881</v>
      </c>
      <c r="Q1057" s="4">
        <v>45932</v>
      </c>
      <c r="R1057" s="19">
        <f t="shared" si="345"/>
        <v>-51</v>
      </c>
      <c r="S1057" s="5">
        <f t="shared" si="327"/>
        <v>45886</v>
      </c>
      <c r="T1057" s="4">
        <v>45932</v>
      </c>
      <c r="U1057" s="19">
        <f t="shared" si="346"/>
        <v>-46</v>
      </c>
      <c r="V1057" s="5">
        <f t="shared" si="323"/>
        <v>45925</v>
      </c>
      <c r="W1057" s="4">
        <v>45925</v>
      </c>
      <c r="X1057" s="19">
        <f t="shared" si="347"/>
        <v>0</v>
      </c>
      <c r="Y1057" s="51">
        <f t="shared" si="318"/>
        <v>45953</v>
      </c>
      <c r="Z1057" s="51">
        <v>45932</v>
      </c>
      <c r="AA1057" s="49">
        <f t="shared" si="348"/>
        <v>21</v>
      </c>
      <c r="AB1057" s="51">
        <f t="shared" si="324"/>
        <v>45955</v>
      </c>
      <c r="AC1057" s="49">
        <f t="shared" si="325"/>
        <v>23</v>
      </c>
      <c r="AD1057" s="43">
        <f t="shared" si="326"/>
        <v>45955</v>
      </c>
      <c r="AE1057" s="4">
        <v>45945</v>
      </c>
      <c r="AF1057" s="19">
        <f t="shared" si="319"/>
        <v>10</v>
      </c>
      <c r="AG1057" s="10"/>
      <c r="AH1057" s="1"/>
      <c r="AI1057" s="1"/>
      <c r="AJ1057" s="1"/>
      <c r="AK1057" s="1"/>
      <c r="AL1057" s="1"/>
    </row>
    <row r="1058" spans="1:38" ht="14.45">
      <c r="A1058" s="156">
        <v>1057</v>
      </c>
      <c r="B1058" s="59">
        <v>45955</v>
      </c>
      <c r="C1058" s="34">
        <v>111744088</v>
      </c>
      <c r="D1058" s="23" t="s">
        <v>2233</v>
      </c>
      <c r="E1058" s="23">
        <v>30750.82</v>
      </c>
      <c r="F1058" s="23" t="s">
        <v>2234</v>
      </c>
      <c r="G1058" s="14" t="s">
        <v>35</v>
      </c>
      <c r="H1058" s="23" t="s">
        <v>36</v>
      </c>
      <c r="I1058" s="23" t="s">
        <v>37</v>
      </c>
      <c r="J1058" s="97">
        <f t="shared" si="321"/>
        <v>45855</v>
      </c>
      <c r="L1058" s="19" t="str">
        <f t="shared" si="365"/>
        <v/>
      </c>
      <c r="M1058" s="5">
        <f t="shared" si="322"/>
        <v>45866</v>
      </c>
      <c r="O1058" s="19" t="str">
        <f t="shared" si="344"/>
        <v/>
      </c>
      <c r="P1058" s="5">
        <f t="shared" si="320"/>
        <v>45881</v>
      </c>
      <c r="R1058" s="19" t="str">
        <f t="shared" si="345"/>
        <v/>
      </c>
      <c r="S1058" s="5">
        <f t="shared" si="327"/>
        <v>45886</v>
      </c>
      <c r="T1058" s="4">
        <v>45887</v>
      </c>
      <c r="U1058" s="19">
        <f t="shared" si="346"/>
        <v>-1</v>
      </c>
      <c r="V1058" s="5">
        <f t="shared" si="323"/>
        <v>45925</v>
      </c>
      <c r="W1058" s="6">
        <v>45925</v>
      </c>
      <c r="X1058" s="19">
        <f t="shared" si="347"/>
        <v>0</v>
      </c>
      <c r="Y1058" s="51">
        <f t="shared" si="318"/>
        <v>45953</v>
      </c>
      <c r="Z1058" s="51">
        <v>45943</v>
      </c>
      <c r="AA1058" s="49">
        <f t="shared" si="348"/>
        <v>10</v>
      </c>
      <c r="AB1058" s="51">
        <f t="shared" si="324"/>
        <v>45955</v>
      </c>
      <c r="AC1058" s="49">
        <f t="shared" si="325"/>
        <v>12</v>
      </c>
      <c r="AD1058" s="43">
        <f t="shared" si="326"/>
        <v>45955</v>
      </c>
      <c r="AE1058" s="4">
        <v>45943</v>
      </c>
      <c r="AF1058" s="19">
        <f t="shared" si="319"/>
        <v>12</v>
      </c>
      <c r="AG1058" s="10"/>
      <c r="AH1058" s="1"/>
      <c r="AI1058" s="1"/>
      <c r="AJ1058" s="1"/>
      <c r="AK1058" s="1"/>
      <c r="AL1058" s="1"/>
    </row>
    <row r="1059" spans="1:38" ht="14.45">
      <c r="A1059" s="156">
        <v>1058</v>
      </c>
      <c r="B1059" s="59">
        <v>45955</v>
      </c>
      <c r="C1059" s="34">
        <v>644335705</v>
      </c>
      <c r="D1059" s="23" t="s">
        <v>1248</v>
      </c>
      <c r="E1059" s="23">
        <v>40350</v>
      </c>
      <c r="F1059" s="23" t="s">
        <v>2235</v>
      </c>
      <c r="G1059" s="14" t="s">
        <v>120</v>
      </c>
      <c r="H1059" s="23" t="s">
        <v>40</v>
      </c>
      <c r="I1059" s="23" t="s">
        <v>467</v>
      </c>
      <c r="J1059" s="97">
        <f t="shared" si="321"/>
        <v>45855</v>
      </c>
      <c r="L1059" s="19" t="str">
        <f t="shared" si="365"/>
        <v/>
      </c>
      <c r="M1059" s="5">
        <f t="shared" si="322"/>
        <v>45866</v>
      </c>
      <c r="N1059" s="4">
        <v>45873</v>
      </c>
      <c r="O1059" s="19">
        <f t="shared" si="344"/>
        <v>-7</v>
      </c>
      <c r="P1059" s="5">
        <f t="shared" si="320"/>
        <v>45881</v>
      </c>
      <c r="R1059" s="19" t="str">
        <f t="shared" si="345"/>
        <v/>
      </c>
      <c r="S1059" s="5">
        <f t="shared" si="327"/>
        <v>45886</v>
      </c>
      <c r="T1059" s="4">
        <v>45883</v>
      </c>
      <c r="U1059" s="19">
        <f t="shared" si="346"/>
        <v>3</v>
      </c>
      <c r="V1059" s="5">
        <f t="shared" si="323"/>
        <v>45925</v>
      </c>
      <c r="W1059" s="6">
        <v>45925</v>
      </c>
      <c r="X1059" s="19">
        <f t="shared" si="347"/>
        <v>0</v>
      </c>
      <c r="Y1059" s="51">
        <f t="shared" si="318"/>
        <v>45953</v>
      </c>
      <c r="Z1059" s="51">
        <v>45953</v>
      </c>
      <c r="AA1059" s="49">
        <f t="shared" si="348"/>
        <v>0</v>
      </c>
      <c r="AB1059" s="51">
        <f t="shared" si="324"/>
        <v>45955</v>
      </c>
      <c r="AC1059" s="49">
        <f t="shared" si="325"/>
        <v>2</v>
      </c>
      <c r="AD1059" s="43">
        <f t="shared" si="326"/>
        <v>45955</v>
      </c>
      <c r="AF1059" s="19" t="str">
        <f t="shared" si="319"/>
        <v/>
      </c>
      <c r="AG1059" s="10"/>
      <c r="AH1059" s="1"/>
      <c r="AI1059" s="1"/>
      <c r="AJ1059" s="1"/>
      <c r="AK1059" s="1"/>
      <c r="AL1059" s="1"/>
    </row>
    <row r="1060" spans="1:38" ht="14.45">
      <c r="A1060" s="156">
        <v>1059</v>
      </c>
      <c r="B1060" s="59">
        <v>45956</v>
      </c>
      <c r="C1060" s="34" t="s">
        <v>2236</v>
      </c>
      <c r="D1060" s="23" t="s">
        <v>2237</v>
      </c>
      <c r="E1060" s="23">
        <v>8099.05</v>
      </c>
      <c r="F1060" s="23" t="s">
        <v>2238</v>
      </c>
      <c r="G1060" s="14" t="s">
        <v>46</v>
      </c>
      <c r="H1060" s="23" t="s">
        <v>40</v>
      </c>
      <c r="I1060" s="23" t="s">
        <v>229</v>
      </c>
      <c r="J1060" s="97">
        <f t="shared" si="321"/>
        <v>45856</v>
      </c>
      <c r="K1060" s="4">
        <v>45846</v>
      </c>
      <c r="L1060" s="19">
        <f t="shared" si="365"/>
        <v>10</v>
      </c>
      <c r="M1060" s="5">
        <f t="shared" si="322"/>
        <v>45867</v>
      </c>
      <c r="N1060" s="4">
        <v>45891</v>
      </c>
      <c r="O1060" s="19">
        <f t="shared" si="344"/>
        <v>-24</v>
      </c>
      <c r="P1060" s="5">
        <f t="shared" si="320"/>
        <v>45882</v>
      </c>
      <c r="R1060" s="19" t="str">
        <f t="shared" si="345"/>
        <v/>
      </c>
      <c r="S1060" s="5">
        <f t="shared" si="327"/>
        <v>45887</v>
      </c>
      <c r="T1060" s="4">
        <v>45905</v>
      </c>
      <c r="U1060" s="19">
        <f t="shared" si="346"/>
        <v>-18</v>
      </c>
      <c r="V1060" s="5">
        <f t="shared" si="323"/>
        <v>45926</v>
      </c>
      <c r="W1060" s="6">
        <v>45936</v>
      </c>
      <c r="X1060" s="19">
        <f t="shared" si="347"/>
        <v>-10</v>
      </c>
      <c r="Y1060" s="51">
        <f t="shared" si="318"/>
        <v>45954</v>
      </c>
      <c r="Z1060" s="4">
        <v>45943</v>
      </c>
      <c r="AA1060" s="49">
        <f t="shared" si="348"/>
        <v>11</v>
      </c>
      <c r="AB1060" s="51">
        <f t="shared" si="324"/>
        <v>45956</v>
      </c>
      <c r="AC1060" s="49">
        <f t="shared" si="325"/>
        <v>13</v>
      </c>
      <c r="AD1060" s="43">
        <f t="shared" si="326"/>
        <v>45956</v>
      </c>
      <c r="AE1060" s="4">
        <v>45943</v>
      </c>
      <c r="AF1060" s="19">
        <f t="shared" si="319"/>
        <v>13</v>
      </c>
      <c r="AG1060" s="10"/>
      <c r="AH1060" s="1"/>
      <c r="AI1060" s="1"/>
      <c r="AJ1060" s="1"/>
      <c r="AK1060" s="1"/>
      <c r="AL1060" s="1"/>
    </row>
    <row r="1061" spans="1:38" ht="14.45">
      <c r="A1061" s="156">
        <v>1060</v>
      </c>
      <c r="B1061" s="59">
        <v>45956</v>
      </c>
      <c r="C1061" s="34" t="s">
        <v>2239</v>
      </c>
      <c r="D1061" s="23" t="s">
        <v>38</v>
      </c>
      <c r="E1061" s="23">
        <v>1317.01</v>
      </c>
      <c r="F1061" s="23" t="s">
        <v>2240</v>
      </c>
      <c r="G1061" s="14" t="s">
        <v>190</v>
      </c>
      <c r="H1061" s="23" t="s">
        <v>40</v>
      </c>
      <c r="I1061" s="23" t="s">
        <v>41</v>
      </c>
      <c r="J1061" s="97">
        <f t="shared" si="321"/>
        <v>45856</v>
      </c>
      <c r="K1061" s="4">
        <v>45903</v>
      </c>
      <c r="L1061" s="19">
        <f t="shared" si="365"/>
        <v>-47</v>
      </c>
      <c r="M1061" s="5">
        <f t="shared" si="322"/>
        <v>45867</v>
      </c>
      <c r="N1061" s="4">
        <v>45926</v>
      </c>
      <c r="O1061" s="19">
        <f t="shared" si="344"/>
        <v>-59</v>
      </c>
      <c r="P1061" s="5">
        <f t="shared" si="320"/>
        <v>45882</v>
      </c>
      <c r="Q1061" s="4">
        <v>45932</v>
      </c>
      <c r="R1061" s="19">
        <f t="shared" si="345"/>
        <v>-50</v>
      </c>
      <c r="S1061" s="5">
        <f t="shared" si="327"/>
        <v>45887</v>
      </c>
      <c r="T1061" s="4">
        <v>45932</v>
      </c>
      <c r="U1061" s="19">
        <f t="shared" si="346"/>
        <v>-45</v>
      </c>
      <c r="V1061" s="5">
        <f t="shared" si="323"/>
        <v>45926</v>
      </c>
      <c r="W1061" s="4">
        <v>45926</v>
      </c>
      <c r="X1061" s="19">
        <f t="shared" si="347"/>
        <v>0</v>
      </c>
      <c r="Y1061" s="51">
        <f t="shared" si="318"/>
        <v>45954</v>
      </c>
      <c r="Z1061" s="51">
        <v>45932</v>
      </c>
      <c r="AA1061" s="49">
        <f t="shared" si="348"/>
        <v>22</v>
      </c>
      <c r="AB1061" s="51">
        <f t="shared" si="324"/>
        <v>45956</v>
      </c>
      <c r="AC1061" s="49">
        <f t="shared" si="325"/>
        <v>24</v>
      </c>
      <c r="AD1061" s="43">
        <f t="shared" si="326"/>
        <v>45956</v>
      </c>
      <c r="AE1061" s="4">
        <v>45945</v>
      </c>
      <c r="AF1061" s="19">
        <f t="shared" si="319"/>
        <v>11</v>
      </c>
      <c r="AG1061" s="10"/>
      <c r="AH1061" s="1"/>
      <c r="AI1061" s="1"/>
      <c r="AJ1061" s="1"/>
      <c r="AK1061" s="1"/>
      <c r="AL1061" s="1"/>
    </row>
    <row r="1062" spans="1:38" ht="14.45">
      <c r="A1062" s="156">
        <v>1061</v>
      </c>
      <c r="B1062" s="59">
        <v>45956</v>
      </c>
      <c r="C1062" s="34" t="s">
        <v>2241</v>
      </c>
      <c r="D1062" s="23" t="s">
        <v>38</v>
      </c>
      <c r="E1062" s="23">
        <v>3759.41</v>
      </c>
      <c r="F1062" s="23" t="s">
        <v>2242</v>
      </c>
      <c r="G1062" s="14" t="s">
        <v>190</v>
      </c>
      <c r="H1062" s="23" t="s">
        <v>40</v>
      </c>
      <c r="I1062" s="23" t="s">
        <v>41</v>
      </c>
      <c r="J1062" s="97">
        <f t="shared" si="321"/>
        <v>45856</v>
      </c>
      <c r="K1062" s="4">
        <v>45903</v>
      </c>
      <c r="L1062" s="19">
        <f t="shared" si="365"/>
        <v>-47</v>
      </c>
      <c r="M1062" s="5">
        <f t="shared" si="322"/>
        <v>45867</v>
      </c>
      <c r="N1062" s="4">
        <v>45926</v>
      </c>
      <c r="O1062" s="19">
        <f t="shared" si="344"/>
        <v>-59</v>
      </c>
      <c r="P1062" s="5">
        <f t="shared" si="320"/>
        <v>45882</v>
      </c>
      <c r="Q1062" s="4">
        <v>45932</v>
      </c>
      <c r="R1062" s="19">
        <f t="shared" si="345"/>
        <v>-50</v>
      </c>
      <c r="S1062" s="5">
        <f t="shared" si="327"/>
        <v>45887</v>
      </c>
      <c r="T1062" s="4">
        <v>45932</v>
      </c>
      <c r="U1062" s="19">
        <f t="shared" si="346"/>
        <v>-45</v>
      </c>
      <c r="V1062" s="5">
        <f t="shared" si="323"/>
        <v>45926</v>
      </c>
      <c r="W1062" s="4">
        <v>45926</v>
      </c>
      <c r="X1062" s="19">
        <f t="shared" si="347"/>
        <v>0</v>
      </c>
      <c r="Y1062" s="51">
        <f t="shared" si="318"/>
        <v>45954</v>
      </c>
      <c r="Z1062" s="51">
        <v>45932</v>
      </c>
      <c r="AA1062" s="49">
        <f t="shared" si="348"/>
        <v>22</v>
      </c>
      <c r="AB1062" s="51">
        <f t="shared" si="324"/>
        <v>45956</v>
      </c>
      <c r="AC1062" s="49">
        <f t="shared" si="325"/>
        <v>24</v>
      </c>
      <c r="AD1062" s="43">
        <f t="shared" si="326"/>
        <v>45956</v>
      </c>
      <c r="AE1062" s="4">
        <v>45945</v>
      </c>
      <c r="AF1062" s="19">
        <f t="shared" si="319"/>
        <v>11</v>
      </c>
      <c r="AG1062" s="10"/>
      <c r="AH1062" s="1"/>
      <c r="AI1062" s="1"/>
      <c r="AJ1062" s="1"/>
      <c r="AK1062" s="1"/>
      <c r="AL1062" s="1"/>
    </row>
    <row r="1063" spans="1:38" ht="14.45">
      <c r="A1063" s="156">
        <v>1062</v>
      </c>
      <c r="B1063" s="59">
        <v>45957</v>
      </c>
      <c r="C1063" s="34" t="s">
        <v>2243</v>
      </c>
      <c r="D1063" s="23" t="s">
        <v>38</v>
      </c>
      <c r="E1063" s="23">
        <v>94.47</v>
      </c>
      <c r="F1063" s="23" t="s">
        <v>2244</v>
      </c>
      <c r="G1063" s="14" t="s">
        <v>190</v>
      </c>
      <c r="H1063" s="23" t="s">
        <v>40</v>
      </c>
      <c r="I1063" s="23" t="s">
        <v>41</v>
      </c>
      <c r="J1063" s="97">
        <f t="shared" si="321"/>
        <v>45857</v>
      </c>
      <c r="K1063" s="4">
        <v>45903</v>
      </c>
      <c r="L1063" s="19">
        <f t="shared" si="365"/>
        <v>-46</v>
      </c>
      <c r="M1063" s="5">
        <f t="shared" si="322"/>
        <v>45868</v>
      </c>
      <c r="N1063" s="4">
        <v>45926</v>
      </c>
      <c r="O1063" s="19">
        <f t="shared" si="344"/>
        <v>-58</v>
      </c>
      <c r="P1063" s="5">
        <f t="shared" si="320"/>
        <v>45883</v>
      </c>
      <c r="Q1063" s="4">
        <v>45932</v>
      </c>
      <c r="R1063" s="19">
        <f t="shared" si="345"/>
        <v>-49</v>
      </c>
      <c r="S1063" s="5">
        <f t="shared" si="327"/>
        <v>45888</v>
      </c>
      <c r="T1063" s="4">
        <v>45932</v>
      </c>
      <c r="U1063" s="19">
        <f t="shared" si="346"/>
        <v>-44</v>
      </c>
      <c r="V1063" s="5">
        <f t="shared" si="323"/>
        <v>45927</v>
      </c>
      <c r="W1063" s="4">
        <v>45927</v>
      </c>
      <c r="X1063" s="19">
        <f t="shared" si="347"/>
        <v>0</v>
      </c>
      <c r="Y1063" s="51">
        <f t="shared" si="318"/>
        <v>45955</v>
      </c>
      <c r="Z1063" s="51">
        <v>45932</v>
      </c>
      <c r="AA1063" s="49">
        <f t="shared" si="348"/>
        <v>23</v>
      </c>
      <c r="AB1063" s="51">
        <f t="shared" si="324"/>
        <v>45957</v>
      </c>
      <c r="AC1063" s="49">
        <f t="shared" si="325"/>
        <v>25</v>
      </c>
      <c r="AD1063" s="43">
        <f t="shared" si="326"/>
        <v>45957</v>
      </c>
      <c r="AE1063" s="4">
        <v>45945</v>
      </c>
      <c r="AF1063" s="19">
        <f t="shared" si="319"/>
        <v>12</v>
      </c>
      <c r="AG1063" s="10"/>
      <c r="AH1063" s="1"/>
      <c r="AI1063" s="1"/>
      <c r="AJ1063" s="1"/>
      <c r="AK1063" s="1"/>
      <c r="AL1063" s="1"/>
    </row>
    <row r="1064" spans="1:38" ht="14.45">
      <c r="A1064" s="156">
        <v>1063</v>
      </c>
      <c r="B1064" s="59">
        <v>45957</v>
      </c>
      <c r="C1064" s="34" t="s">
        <v>2245</v>
      </c>
      <c r="D1064" s="23" t="s">
        <v>38</v>
      </c>
      <c r="E1064" s="23">
        <v>2998.8</v>
      </c>
      <c r="F1064" s="23" t="s">
        <v>2246</v>
      </c>
      <c r="G1064" s="14" t="s">
        <v>190</v>
      </c>
      <c r="H1064" s="23" t="s">
        <v>40</v>
      </c>
      <c r="I1064" s="23" t="s">
        <v>41</v>
      </c>
      <c r="J1064" s="97">
        <f t="shared" si="321"/>
        <v>45857</v>
      </c>
      <c r="K1064" s="4">
        <v>45903</v>
      </c>
      <c r="L1064" s="19">
        <f t="shared" si="365"/>
        <v>-46</v>
      </c>
      <c r="M1064" s="5">
        <f t="shared" si="322"/>
        <v>45868</v>
      </c>
      <c r="N1064" s="4">
        <v>45926</v>
      </c>
      <c r="O1064" s="19">
        <f t="shared" si="344"/>
        <v>-58</v>
      </c>
      <c r="P1064" s="5">
        <f t="shared" si="320"/>
        <v>45883</v>
      </c>
      <c r="Q1064" s="4">
        <v>45932</v>
      </c>
      <c r="R1064" s="19">
        <f t="shared" si="345"/>
        <v>-49</v>
      </c>
      <c r="S1064" s="5">
        <f t="shared" si="327"/>
        <v>45888</v>
      </c>
      <c r="T1064" s="4">
        <v>45932</v>
      </c>
      <c r="U1064" s="19">
        <f t="shared" si="346"/>
        <v>-44</v>
      </c>
      <c r="V1064" s="5">
        <f t="shared" si="323"/>
        <v>45927</v>
      </c>
      <c r="W1064" s="4">
        <v>45927</v>
      </c>
      <c r="X1064" s="19">
        <f t="shared" si="347"/>
        <v>0</v>
      </c>
      <c r="Y1064" s="51">
        <f t="shared" si="318"/>
        <v>45955</v>
      </c>
      <c r="Z1064" s="51">
        <v>45932</v>
      </c>
      <c r="AA1064" s="49">
        <f t="shared" si="348"/>
        <v>23</v>
      </c>
      <c r="AB1064" s="51">
        <f t="shared" si="324"/>
        <v>45957</v>
      </c>
      <c r="AC1064" s="49">
        <f t="shared" si="325"/>
        <v>25</v>
      </c>
      <c r="AD1064" s="43">
        <f t="shared" si="326"/>
        <v>45957</v>
      </c>
      <c r="AE1064" s="4">
        <v>45945</v>
      </c>
      <c r="AF1064" s="19">
        <f t="shared" si="319"/>
        <v>12</v>
      </c>
      <c r="AG1064" s="10"/>
      <c r="AH1064" s="1"/>
      <c r="AI1064" s="1"/>
      <c r="AJ1064" s="1"/>
      <c r="AK1064" s="1"/>
      <c r="AL1064" s="1"/>
    </row>
    <row r="1065" spans="1:38" ht="14.45">
      <c r="A1065" s="156">
        <v>1064</v>
      </c>
      <c r="B1065" s="59">
        <v>45957</v>
      </c>
      <c r="C1065" s="34" t="s">
        <v>2247</v>
      </c>
      <c r="D1065" s="23" t="s">
        <v>726</v>
      </c>
      <c r="E1065" s="23">
        <v>2085.33</v>
      </c>
      <c r="F1065" s="23" t="s">
        <v>2248</v>
      </c>
      <c r="G1065" s="14" t="s">
        <v>120</v>
      </c>
      <c r="H1065" s="23" t="s">
        <v>40</v>
      </c>
      <c r="I1065" s="23" t="s">
        <v>93</v>
      </c>
      <c r="J1065" s="97">
        <f t="shared" si="321"/>
        <v>45857</v>
      </c>
      <c r="K1065" s="4">
        <v>45849</v>
      </c>
      <c r="L1065" s="19">
        <f t="shared" si="365"/>
        <v>8</v>
      </c>
      <c r="M1065" s="5">
        <f t="shared" si="322"/>
        <v>45868</v>
      </c>
      <c r="N1065" s="4">
        <v>45872</v>
      </c>
      <c r="O1065" s="19">
        <f t="shared" si="344"/>
        <v>-4</v>
      </c>
      <c r="P1065" s="5">
        <f t="shared" si="320"/>
        <v>45883</v>
      </c>
      <c r="R1065" s="19" t="str">
        <f t="shared" si="345"/>
        <v/>
      </c>
      <c r="S1065" s="5">
        <f t="shared" si="327"/>
        <v>45888</v>
      </c>
      <c r="T1065" s="4">
        <v>45884</v>
      </c>
      <c r="U1065" s="19">
        <f t="shared" si="346"/>
        <v>4</v>
      </c>
      <c r="V1065" s="5">
        <f t="shared" si="323"/>
        <v>45927</v>
      </c>
      <c r="W1065" s="6">
        <v>45922</v>
      </c>
      <c r="X1065" s="19">
        <f t="shared" si="347"/>
        <v>5</v>
      </c>
      <c r="Y1065" s="51">
        <f t="shared" si="318"/>
        <v>45955</v>
      </c>
      <c r="Z1065" s="49"/>
      <c r="AA1065" s="49" t="str">
        <f t="shared" si="348"/>
        <v/>
      </c>
      <c r="AB1065" s="51">
        <f t="shared" si="324"/>
        <v>45957</v>
      </c>
      <c r="AC1065" s="49" t="str">
        <f t="shared" si="325"/>
        <v/>
      </c>
      <c r="AD1065" s="43">
        <f t="shared" si="326"/>
        <v>45957</v>
      </c>
      <c r="AF1065" s="19" t="str">
        <f t="shared" si="319"/>
        <v/>
      </c>
      <c r="AG1065" s="10" t="s">
        <v>2185</v>
      </c>
      <c r="AH1065" s="1"/>
      <c r="AI1065" s="1"/>
      <c r="AJ1065" s="1"/>
      <c r="AK1065" s="1"/>
      <c r="AL1065" s="1"/>
    </row>
    <row r="1066" spans="1:38" ht="14.45">
      <c r="A1066" s="156">
        <v>1065</v>
      </c>
      <c r="B1066" s="59">
        <v>45957</v>
      </c>
      <c r="C1066" s="34" t="s">
        <v>2249</v>
      </c>
      <c r="D1066" s="23" t="s">
        <v>726</v>
      </c>
      <c r="E1066" s="23">
        <v>1895.79</v>
      </c>
      <c r="F1066" s="23" t="s">
        <v>2250</v>
      </c>
      <c r="G1066" s="14" t="s">
        <v>120</v>
      </c>
      <c r="H1066" s="23" t="s">
        <v>40</v>
      </c>
      <c r="I1066" s="23" t="s">
        <v>121</v>
      </c>
      <c r="J1066" s="97">
        <f t="shared" si="321"/>
        <v>45857</v>
      </c>
      <c r="K1066" s="4">
        <v>45849</v>
      </c>
      <c r="L1066" s="19">
        <f t="shared" si="365"/>
        <v>8</v>
      </c>
      <c r="M1066" s="5">
        <f t="shared" si="322"/>
        <v>45868</v>
      </c>
      <c r="N1066" s="4">
        <v>45872</v>
      </c>
      <c r="O1066" s="19">
        <f t="shared" si="344"/>
        <v>-4</v>
      </c>
      <c r="P1066" s="5">
        <f t="shared" si="320"/>
        <v>45883</v>
      </c>
      <c r="R1066" s="19" t="str">
        <f t="shared" si="345"/>
        <v/>
      </c>
      <c r="S1066" s="5">
        <f t="shared" si="327"/>
        <v>45888</v>
      </c>
      <c r="T1066" s="4">
        <v>45884</v>
      </c>
      <c r="U1066" s="19">
        <f t="shared" si="346"/>
        <v>4</v>
      </c>
      <c r="V1066" s="5">
        <f t="shared" si="323"/>
        <v>45927</v>
      </c>
      <c r="W1066" s="6">
        <v>45922</v>
      </c>
      <c r="X1066" s="19">
        <f t="shared" si="347"/>
        <v>5</v>
      </c>
      <c r="Y1066" s="51">
        <f t="shared" si="318"/>
        <v>45955</v>
      </c>
      <c r="Z1066" s="51">
        <v>45936</v>
      </c>
      <c r="AA1066" s="49"/>
      <c r="AB1066" s="51">
        <f t="shared" si="324"/>
        <v>45957</v>
      </c>
      <c r="AC1066" s="49">
        <f t="shared" si="325"/>
        <v>21</v>
      </c>
      <c r="AD1066" s="43">
        <f t="shared" si="326"/>
        <v>45957</v>
      </c>
      <c r="AE1066" s="51">
        <v>45936</v>
      </c>
      <c r="AG1066" s="10" t="s">
        <v>2185</v>
      </c>
      <c r="AH1066" s="1"/>
      <c r="AI1066" s="1"/>
      <c r="AJ1066" s="1"/>
      <c r="AK1066" s="1"/>
      <c r="AL1066" s="1"/>
    </row>
    <row r="1067" spans="1:38" ht="14.45">
      <c r="A1067" s="156">
        <v>1066</v>
      </c>
      <c r="B1067" s="59">
        <v>45958</v>
      </c>
      <c r="C1067" s="34" t="s">
        <v>2251</v>
      </c>
      <c r="D1067" s="23" t="s">
        <v>2227</v>
      </c>
      <c r="E1067" s="23">
        <v>15850</v>
      </c>
      <c r="F1067" s="23" t="s">
        <v>2252</v>
      </c>
      <c r="G1067" s="14" t="s">
        <v>46</v>
      </c>
      <c r="H1067" s="23" t="s">
        <v>36</v>
      </c>
      <c r="I1067" s="23" t="s">
        <v>323</v>
      </c>
      <c r="J1067" s="97">
        <f t="shared" si="321"/>
        <v>45858</v>
      </c>
      <c r="K1067" s="4">
        <v>45846</v>
      </c>
      <c r="L1067" s="19">
        <f t="shared" si="365"/>
        <v>12</v>
      </c>
      <c r="M1067" s="5">
        <f t="shared" si="322"/>
        <v>45869</v>
      </c>
      <c r="N1067" s="4">
        <v>45891</v>
      </c>
      <c r="O1067" s="19">
        <f t="shared" si="344"/>
        <v>-22</v>
      </c>
      <c r="P1067" s="5">
        <f t="shared" si="320"/>
        <v>45884</v>
      </c>
      <c r="R1067" s="19" t="str">
        <f t="shared" si="345"/>
        <v/>
      </c>
      <c r="S1067" s="5">
        <f t="shared" si="327"/>
        <v>45889</v>
      </c>
      <c r="T1067" s="4">
        <v>45908</v>
      </c>
      <c r="U1067" s="19">
        <f t="shared" si="346"/>
        <v>-19</v>
      </c>
      <c r="V1067" s="5">
        <f t="shared" si="323"/>
        <v>45928</v>
      </c>
      <c r="W1067" s="6">
        <v>45918</v>
      </c>
      <c r="X1067" s="19">
        <f t="shared" si="347"/>
        <v>10</v>
      </c>
      <c r="Y1067" s="51">
        <f t="shared" si="318"/>
        <v>45956</v>
      </c>
      <c r="Z1067" s="6">
        <v>45933</v>
      </c>
      <c r="AA1067" s="49">
        <f t="shared" si="348"/>
        <v>23</v>
      </c>
      <c r="AB1067" s="51">
        <f t="shared" si="324"/>
        <v>45958</v>
      </c>
      <c r="AC1067" s="49">
        <f t="shared" si="325"/>
        <v>25</v>
      </c>
      <c r="AD1067" s="43">
        <f t="shared" si="326"/>
        <v>45958</v>
      </c>
      <c r="AE1067" s="4">
        <v>45943</v>
      </c>
      <c r="AF1067" s="19">
        <f t="shared" si="319"/>
        <v>15</v>
      </c>
      <c r="AG1067" s="10"/>
      <c r="AH1067" s="1"/>
      <c r="AI1067" s="1"/>
      <c r="AJ1067" s="1"/>
      <c r="AK1067" s="1"/>
      <c r="AL1067" s="1"/>
    </row>
    <row r="1068" spans="1:38" ht="14.45">
      <c r="A1068" s="156">
        <v>1067</v>
      </c>
      <c r="B1068" s="59">
        <v>45958</v>
      </c>
      <c r="C1068" s="35" t="s">
        <v>2253</v>
      </c>
      <c r="D1068" s="23" t="s">
        <v>38</v>
      </c>
      <c r="E1068" s="101">
        <v>676.38</v>
      </c>
      <c r="F1068" s="35" t="s">
        <v>2254</v>
      </c>
      <c r="G1068" s="14" t="s">
        <v>190</v>
      </c>
      <c r="H1068" s="23" t="s">
        <v>40</v>
      </c>
      <c r="I1068" s="23" t="s">
        <v>41</v>
      </c>
      <c r="J1068" s="97">
        <f t="shared" ref="J1068:J1070" si="366">B1068-100</f>
        <v>45858</v>
      </c>
      <c r="K1068" s="4">
        <v>45903</v>
      </c>
      <c r="L1068" s="19">
        <f t="shared" ref="L1068:L1070" si="367">IF(OR(J1068="", K1068=""), "", J1068-K1068)</f>
        <v>-45</v>
      </c>
      <c r="M1068" s="5">
        <f t="shared" ref="M1068:M1070" si="368">B1068-89</f>
        <v>45869</v>
      </c>
      <c r="N1068" s="4">
        <v>45926</v>
      </c>
      <c r="O1068" s="19">
        <f t="shared" ref="O1068:O1070" si="369">IF(OR(M1068="", N1068=""), "", M1068-N1068)</f>
        <v>-57</v>
      </c>
      <c r="P1068" s="5">
        <f t="shared" ref="P1068:P1070" si="370">B1068-74</f>
        <v>45884</v>
      </c>
      <c r="Q1068" s="4">
        <v>45932</v>
      </c>
      <c r="R1068" s="19">
        <f t="shared" ref="R1068:R1070" si="371">IF(OR(P1068="", Q1068=""), "", P1068-Q1068)</f>
        <v>-48</v>
      </c>
      <c r="S1068" s="5">
        <f t="shared" ref="S1068:S1070" si="372">B1068-69</f>
        <v>45889</v>
      </c>
      <c r="T1068" s="4">
        <v>45932</v>
      </c>
      <c r="U1068" s="19">
        <f t="shared" ref="U1068:U1070" si="373">IF(OR(S1068="", T1068=""), "", S1068-T1068)</f>
        <v>-43</v>
      </c>
      <c r="V1068" s="5">
        <f t="shared" ref="V1068:V1070" si="374">B1068-30</f>
        <v>45928</v>
      </c>
      <c r="W1068" s="4">
        <v>45928</v>
      </c>
      <c r="X1068" s="19">
        <f t="shared" ref="X1068:X1070" si="375">IF(OR(V1068="", W1068=""), "", V1068-W1068)</f>
        <v>0</v>
      </c>
      <c r="Y1068" s="51">
        <f t="shared" ref="Y1068:Y1070" si="376">B1068-2</f>
        <v>45956</v>
      </c>
      <c r="Z1068" s="51">
        <v>45932</v>
      </c>
      <c r="AA1068" s="49">
        <f t="shared" ref="AA1068:AA1070" si="377">IF(OR(Y1068="", Z1068=""), "", Y1068-Z1068)</f>
        <v>24</v>
      </c>
      <c r="AB1068" s="51">
        <f t="shared" ref="AB1068:AB1070" si="378">IF(B1068&lt;&gt;"", B1068, "")</f>
        <v>45958</v>
      </c>
      <c r="AC1068" s="49">
        <f t="shared" ref="AC1068:AC1070" si="379">IF(OR(AB1068="", Z1068=""), "", AB1068-Z1068)</f>
        <v>26</v>
      </c>
      <c r="AD1068" s="43">
        <f t="shared" ref="AD1068:AD1070" si="380">IF(B1068&lt;&gt;"", B1068, "")</f>
        <v>45958</v>
      </c>
      <c r="AE1068" s="4">
        <v>45945</v>
      </c>
      <c r="AF1068" s="19">
        <f t="shared" ref="AF1068:AF1070" si="381">IF(OR(AD1068="", AE1068=""), "", AD1068-AE1068)</f>
        <v>13</v>
      </c>
      <c r="AG1068" s="10"/>
      <c r="AH1068" s="1"/>
      <c r="AI1068" s="1"/>
      <c r="AJ1068" s="1"/>
      <c r="AK1068" s="1"/>
      <c r="AL1068" s="1"/>
    </row>
    <row r="1069" spans="1:38" ht="14.45">
      <c r="A1069" s="156">
        <v>1068</v>
      </c>
      <c r="B1069" s="59">
        <v>45958</v>
      </c>
      <c r="C1069" s="35" t="s">
        <v>2255</v>
      </c>
      <c r="D1069" s="23" t="s">
        <v>38</v>
      </c>
      <c r="E1069" s="101">
        <v>340.89</v>
      </c>
      <c r="F1069" s="35" t="s">
        <v>928</v>
      </c>
      <c r="G1069" s="14" t="s">
        <v>190</v>
      </c>
      <c r="H1069" s="23" t="s">
        <v>40</v>
      </c>
      <c r="I1069" s="23" t="s">
        <v>41</v>
      </c>
      <c r="J1069" s="97">
        <f t="shared" si="366"/>
        <v>45858</v>
      </c>
      <c r="K1069" s="4">
        <v>45903</v>
      </c>
      <c r="L1069" s="19">
        <f t="shared" si="367"/>
        <v>-45</v>
      </c>
      <c r="M1069" s="5">
        <f t="shared" si="368"/>
        <v>45869</v>
      </c>
      <c r="N1069" s="4">
        <v>45926</v>
      </c>
      <c r="O1069" s="19">
        <f t="shared" si="369"/>
        <v>-57</v>
      </c>
      <c r="P1069" s="5">
        <f t="shared" si="370"/>
        <v>45884</v>
      </c>
      <c r="Q1069" s="4">
        <v>45932</v>
      </c>
      <c r="R1069" s="19">
        <f t="shared" si="371"/>
        <v>-48</v>
      </c>
      <c r="S1069" s="5">
        <f t="shared" si="372"/>
        <v>45889</v>
      </c>
      <c r="T1069" s="4">
        <v>45932</v>
      </c>
      <c r="U1069" s="19">
        <f t="shared" si="373"/>
        <v>-43</v>
      </c>
      <c r="V1069" s="5">
        <f t="shared" si="374"/>
        <v>45928</v>
      </c>
      <c r="W1069" s="4">
        <v>45928</v>
      </c>
      <c r="X1069" s="19">
        <f t="shared" si="375"/>
        <v>0</v>
      </c>
      <c r="Y1069" s="51">
        <f t="shared" si="376"/>
        <v>45956</v>
      </c>
      <c r="Z1069" s="51">
        <v>45932</v>
      </c>
      <c r="AA1069" s="49">
        <f t="shared" si="377"/>
        <v>24</v>
      </c>
      <c r="AB1069" s="51">
        <f t="shared" si="378"/>
        <v>45958</v>
      </c>
      <c r="AC1069" s="49">
        <f t="shared" si="379"/>
        <v>26</v>
      </c>
      <c r="AD1069" s="43">
        <f t="shared" si="380"/>
        <v>45958</v>
      </c>
      <c r="AE1069" s="4">
        <v>45945</v>
      </c>
      <c r="AF1069" s="19">
        <f t="shared" si="381"/>
        <v>13</v>
      </c>
      <c r="AG1069" s="10"/>
      <c r="AH1069" s="1"/>
      <c r="AI1069" s="1"/>
      <c r="AJ1069" s="1"/>
      <c r="AK1069" s="1"/>
      <c r="AL1069" s="1"/>
    </row>
    <row r="1070" spans="1:38" ht="14.45">
      <c r="A1070" s="156">
        <v>1069</v>
      </c>
      <c r="B1070" s="59">
        <v>45959</v>
      </c>
      <c r="C1070" s="35" t="s">
        <v>2256</v>
      </c>
      <c r="D1070" s="23" t="s">
        <v>38</v>
      </c>
      <c r="E1070" s="101">
        <v>5992.24</v>
      </c>
      <c r="F1070" s="35" t="s">
        <v>157</v>
      </c>
      <c r="G1070" s="14" t="s">
        <v>190</v>
      </c>
      <c r="H1070" s="23" t="s">
        <v>40</v>
      </c>
      <c r="I1070" s="23" t="s">
        <v>41</v>
      </c>
      <c r="J1070" s="97">
        <f t="shared" si="366"/>
        <v>45859</v>
      </c>
      <c r="K1070" s="4">
        <v>45903</v>
      </c>
      <c r="L1070" s="19">
        <f t="shared" si="367"/>
        <v>-44</v>
      </c>
      <c r="M1070" s="5">
        <f t="shared" si="368"/>
        <v>45870</v>
      </c>
      <c r="N1070" s="4">
        <v>45926</v>
      </c>
      <c r="O1070" s="19">
        <f t="shared" si="369"/>
        <v>-56</v>
      </c>
      <c r="P1070" s="5">
        <f t="shared" si="370"/>
        <v>45885</v>
      </c>
      <c r="Q1070" s="4">
        <v>45932</v>
      </c>
      <c r="R1070" s="19">
        <f t="shared" si="371"/>
        <v>-47</v>
      </c>
      <c r="S1070" s="5">
        <f t="shared" si="372"/>
        <v>45890</v>
      </c>
      <c r="T1070" s="4">
        <v>45932</v>
      </c>
      <c r="U1070" s="19">
        <f t="shared" si="373"/>
        <v>-42</v>
      </c>
      <c r="V1070" s="5">
        <f t="shared" si="374"/>
        <v>45929</v>
      </c>
      <c r="W1070" s="4">
        <v>45929</v>
      </c>
      <c r="X1070" s="19">
        <f t="shared" si="375"/>
        <v>0</v>
      </c>
      <c r="Y1070" s="51">
        <f t="shared" si="376"/>
        <v>45957</v>
      </c>
      <c r="Z1070" s="51">
        <v>45932</v>
      </c>
      <c r="AA1070" s="49">
        <f t="shared" si="377"/>
        <v>25</v>
      </c>
      <c r="AB1070" s="51">
        <f t="shared" si="378"/>
        <v>45959</v>
      </c>
      <c r="AC1070" s="49">
        <f t="shared" si="379"/>
        <v>27</v>
      </c>
      <c r="AD1070" s="43">
        <f t="shared" si="380"/>
        <v>45959</v>
      </c>
      <c r="AE1070" s="4">
        <v>45945</v>
      </c>
      <c r="AF1070" s="19">
        <f t="shared" si="381"/>
        <v>14</v>
      </c>
      <c r="AG1070" s="10"/>
      <c r="AH1070" s="1"/>
      <c r="AI1070" s="1"/>
      <c r="AJ1070" s="1"/>
      <c r="AK1070" s="1"/>
      <c r="AL1070" s="1"/>
    </row>
    <row r="1071" spans="1:38" ht="13.9" customHeight="1">
      <c r="A1071" s="156">
        <v>1070</v>
      </c>
      <c r="B1071" s="59">
        <v>45959</v>
      </c>
      <c r="C1071" s="34" t="s">
        <v>2257</v>
      </c>
      <c r="D1071" s="23" t="s">
        <v>38</v>
      </c>
      <c r="E1071" s="23">
        <v>715.74</v>
      </c>
      <c r="F1071" s="23" t="s">
        <v>2258</v>
      </c>
      <c r="G1071" s="14" t="s">
        <v>190</v>
      </c>
      <c r="H1071" s="23" t="s">
        <v>40</v>
      </c>
      <c r="I1071" s="23" t="s">
        <v>41</v>
      </c>
      <c r="J1071" s="97">
        <f t="shared" si="321"/>
        <v>45859</v>
      </c>
      <c r="K1071" s="4">
        <v>45903</v>
      </c>
      <c r="L1071" s="19">
        <f t="shared" si="365"/>
        <v>-44</v>
      </c>
      <c r="M1071" s="5">
        <f t="shared" si="322"/>
        <v>45870</v>
      </c>
      <c r="N1071" s="4">
        <v>45926</v>
      </c>
      <c r="O1071" s="19">
        <f t="shared" si="344"/>
        <v>-56</v>
      </c>
      <c r="P1071" s="5">
        <f t="shared" si="320"/>
        <v>45885</v>
      </c>
      <c r="Q1071" s="4">
        <v>45932</v>
      </c>
      <c r="R1071" s="19">
        <f t="shared" si="345"/>
        <v>-47</v>
      </c>
      <c r="S1071" s="5">
        <f t="shared" si="327"/>
        <v>45890</v>
      </c>
      <c r="T1071" s="4">
        <v>45932</v>
      </c>
      <c r="U1071" s="19">
        <f t="shared" si="346"/>
        <v>-42</v>
      </c>
      <c r="V1071" s="5">
        <f t="shared" si="323"/>
        <v>45929</v>
      </c>
      <c r="W1071" s="4">
        <v>45929</v>
      </c>
      <c r="X1071" s="19">
        <f t="shared" si="347"/>
        <v>0</v>
      </c>
      <c r="Y1071" s="51">
        <f t="shared" si="318"/>
        <v>45957</v>
      </c>
      <c r="Z1071" s="51">
        <v>45932</v>
      </c>
      <c r="AA1071" s="49">
        <f t="shared" si="348"/>
        <v>25</v>
      </c>
      <c r="AB1071" s="51">
        <f t="shared" si="324"/>
        <v>45959</v>
      </c>
      <c r="AC1071" s="49">
        <f t="shared" si="325"/>
        <v>27</v>
      </c>
      <c r="AD1071" s="43">
        <f t="shared" si="326"/>
        <v>45959</v>
      </c>
      <c r="AE1071" s="4">
        <v>45945</v>
      </c>
      <c r="AF1071" s="19">
        <f t="shared" si="319"/>
        <v>14</v>
      </c>
      <c r="AG1071" s="10"/>
      <c r="AH1071" s="1"/>
      <c r="AI1071" s="1"/>
      <c r="AJ1071" s="1"/>
      <c r="AK1071" s="1"/>
      <c r="AL1071" s="1"/>
    </row>
    <row r="1072" spans="1:38" ht="14.45">
      <c r="A1072" s="156">
        <v>1071</v>
      </c>
      <c r="B1072" s="59">
        <v>45959</v>
      </c>
      <c r="C1072" s="34" t="s">
        <v>2259</v>
      </c>
      <c r="D1072" s="23" t="s">
        <v>2260</v>
      </c>
      <c r="E1072" s="23">
        <v>29070.21</v>
      </c>
      <c r="F1072" s="23" t="s">
        <v>2261</v>
      </c>
      <c r="G1072" s="14" t="s">
        <v>120</v>
      </c>
      <c r="H1072" s="23" t="s">
        <v>40</v>
      </c>
      <c r="I1072" s="23" t="s">
        <v>93</v>
      </c>
      <c r="J1072" s="97">
        <f t="shared" si="321"/>
        <v>45859</v>
      </c>
      <c r="K1072" s="4">
        <v>45849</v>
      </c>
      <c r="L1072" s="19">
        <f t="shared" si="365"/>
        <v>10</v>
      </c>
      <c r="M1072" s="5">
        <f t="shared" si="322"/>
        <v>45870</v>
      </c>
      <c r="N1072" s="4">
        <v>45872</v>
      </c>
      <c r="O1072" s="19">
        <f t="shared" si="344"/>
        <v>-2</v>
      </c>
      <c r="P1072" s="5">
        <f t="shared" si="320"/>
        <v>45885</v>
      </c>
      <c r="R1072" s="19" t="str">
        <f t="shared" si="345"/>
        <v/>
      </c>
      <c r="S1072" s="5">
        <f t="shared" si="327"/>
        <v>45890</v>
      </c>
      <c r="T1072" s="4">
        <v>45888</v>
      </c>
      <c r="U1072" s="19">
        <f t="shared" si="346"/>
        <v>2</v>
      </c>
      <c r="V1072" s="5">
        <f t="shared" si="323"/>
        <v>45929</v>
      </c>
      <c r="W1072" s="6">
        <v>45929</v>
      </c>
      <c r="X1072" s="19">
        <f t="shared" si="347"/>
        <v>0</v>
      </c>
      <c r="Y1072" s="51">
        <f t="shared" si="318"/>
        <v>45957</v>
      </c>
      <c r="Z1072" s="4">
        <v>45957</v>
      </c>
      <c r="AA1072" s="49">
        <f t="shared" si="348"/>
        <v>0</v>
      </c>
      <c r="AB1072" s="51">
        <f t="shared" si="324"/>
        <v>45959</v>
      </c>
      <c r="AC1072" s="49">
        <f t="shared" si="325"/>
        <v>2</v>
      </c>
      <c r="AD1072" s="43">
        <f t="shared" si="326"/>
        <v>45959</v>
      </c>
      <c r="AE1072" s="4">
        <v>45957</v>
      </c>
      <c r="AF1072" s="19">
        <f t="shared" si="319"/>
        <v>2</v>
      </c>
      <c r="AG1072" s="10"/>
      <c r="AH1072" s="1"/>
      <c r="AI1072" s="1"/>
      <c r="AJ1072" s="1"/>
      <c r="AK1072" s="1"/>
      <c r="AL1072" s="1"/>
    </row>
    <row r="1073" spans="1:38" ht="14.45">
      <c r="A1073" s="156">
        <v>1072</v>
      </c>
      <c r="B1073" s="59">
        <v>45959</v>
      </c>
      <c r="C1073" s="34" t="s">
        <v>2262</v>
      </c>
      <c r="D1073" s="23" t="s">
        <v>2260</v>
      </c>
      <c r="E1073" s="23">
        <v>29796.07</v>
      </c>
      <c r="F1073" s="23" t="s">
        <v>2263</v>
      </c>
      <c r="G1073" s="14" t="s">
        <v>120</v>
      </c>
      <c r="H1073" s="23" t="s">
        <v>40</v>
      </c>
      <c r="I1073" s="23" t="s">
        <v>93</v>
      </c>
      <c r="J1073" s="97">
        <f t="shared" si="321"/>
        <v>45859</v>
      </c>
      <c r="K1073" s="4">
        <v>45849</v>
      </c>
      <c r="L1073" s="19">
        <f t="shared" si="365"/>
        <v>10</v>
      </c>
      <c r="M1073" s="5">
        <f t="shared" si="322"/>
        <v>45870</v>
      </c>
      <c r="N1073" s="4">
        <v>45872</v>
      </c>
      <c r="O1073" s="19">
        <f t="shared" si="344"/>
        <v>-2</v>
      </c>
      <c r="P1073" s="5">
        <f t="shared" si="320"/>
        <v>45885</v>
      </c>
      <c r="R1073" s="19" t="str">
        <f t="shared" si="345"/>
        <v/>
      </c>
      <c r="S1073" s="5">
        <f t="shared" si="327"/>
        <v>45890</v>
      </c>
      <c r="T1073" s="4">
        <v>45888</v>
      </c>
      <c r="U1073" s="19">
        <f t="shared" si="346"/>
        <v>2</v>
      </c>
      <c r="V1073" s="5">
        <f t="shared" si="323"/>
        <v>45929</v>
      </c>
      <c r="W1073" s="6">
        <v>45929</v>
      </c>
      <c r="X1073" s="19">
        <f t="shared" si="347"/>
        <v>0</v>
      </c>
      <c r="Y1073" s="51">
        <f t="shared" si="318"/>
        <v>45957</v>
      </c>
      <c r="Z1073" s="4">
        <v>45957</v>
      </c>
      <c r="AA1073" s="49">
        <f t="shared" si="348"/>
        <v>0</v>
      </c>
      <c r="AB1073" s="51">
        <f t="shared" si="324"/>
        <v>45959</v>
      </c>
      <c r="AC1073" s="49">
        <f t="shared" si="325"/>
        <v>2</v>
      </c>
      <c r="AD1073" s="43">
        <f t="shared" si="326"/>
        <v>45959</v>
      </c>
      <c r="AE1073" s="4">
        <v>45957</v>
      </c>
      <c r="AF1073" s="19">
        <f t="shared" si="319"/>
        <v>2</v>
      </c>
      <c r="AG1073" s="10"/>
      <c r="AH1073" s="1"/>
      <c r="AI1073" s="1"/>
      <c r="AJ1073" s="1"/>
      <c r="AK1073" s="1"/>
      <c r="AL1073" s="1"/>
    </row>
    <row r="1074" spans="1:38" ht="14.45">
      <c r="A1074" s="156">
        <v>1073</v>
      </c>
      <c r="B1074" s="59">
        <v>45959</v>
      </c>
      <c r="C1074" s="34" t="s">
        <v>2264</v>
      </c>
      <c r="D1074" s="23" t="s">
        <v>2260</v>
      </c>
      <c r="E1074" s="23">
        <v>29120.98</v>
      </c>
      <c r="F1074" s="23" t="s">
        <v>2265</v>
      </c>
      <c r="G1074" s="14" t="s">
        <v>120</v>
      </c>
      <c r="H1074" s="23" t="s">
        <v>40</v>
      </c>
      <c r="I1074" s="23" t="s">
        <v>93</v>
      </c>
      <c r="J1074" s="97">
        <f t="shared" si="321"/>
        <v>45859</v>
      </c>
      <c r="K1074" s="4">
        <v>45849</v>
      </c>
      <c r="L1074" s="19">
        <f t="shared" si="365"/>
        <v>10</v>
      </c>
      <c r="M1074" s="5">
        <f t="shared" si="322"/>
        <v>45870</v>
      </c>
      <c r="N1074" s="4">
        <v>45872</v>
      </c>
      <c r="O1074" s="19">
        <f t="shared" si="344"/>
        <v>-2</v>
      </c>
      <c r="P1074" s="5">
        <f t="shared" si="320"/>
        <v>45885</v>
      </c>
      <c r="R1074" s="19" t="str">
        <f t="shared" si="345"/>
        <v/>
      </c>
      <c r="S1074" s="5">
        <f t="shared" si="327"/>
        <v>45890</v>
      </c>
      <c r="T1074" s="4">
        <v>45888</v>
      </c>
      <c r="U1074" s="19">
        <f t="shared" si="346"/>
        <v>2</v>
      </c>
      <c r="V1074" s="5">
        <f t="shared" si="323"/>
        <v>45929</v>
      </c>
      <c r="W1074" s="6">
        <v>45929</v>
      </c>
      <c r="X1074" s="19">
        <f t="shared" si="347"/>
        <v>0</v>
      </c>
      <c r="Y1074" s="51">
        <f t="shared" si="318"/>
        <v>45957</v>
      </c>
      <c r="Z1074" s="4">
        <v>45957</v>
      </c>
      <c r="AA1074" s="49">
        <f t="shared" si="348"/>
        <v>0</v>
      </c>
      <c r="AB1074" s="51">
        <f t="shared" si="324"/>
        <v>45959</v>
      </c>
      <c r="AC1074" s="49">
        <f t="shared" si="325"/>
        <v>2</v>
      </c>
      <c r="AD1074" s="43">
        <f t="shared" si="326"/>
        <v>45959</v>
      </c>
      <c r="AE1074" s="4">
        <v>45957</v>
      </c>
      <c r="AF1074" s="19">
        <f t="shared" si="319"/>
        <v>2</v>
      </c>
      <c r="AG1074" s="10"/>
      <c r="AH1074" s="1"/>
      <c r="AI1074" s="1"/>
      <c r="AJ1074" s="1"/>
      <c r="AK1074" s="1"/>
      <c r="AL1074" s="1"/>
    </row>
    <row r="1075" spans="1:38" ht="14.45">
      <c r="A1075" s="156">
        <v>1074</v>
      </c>
      <c r="B1075" s="59">
        <v>45959</v>
      </c>
      <c r="C1075" s="34" t="s">
        <v>2266</v>
      </c>
      <c r="D1075" s="23" t="s">
        <v>2260</v>
      </c>
      <c r="E1075" s="23">
        <v>26501.96</v>
      </c>
      <c r="F1075" s="23" t="s">
        <v>2267</v>
      </c>
      <c r="G1075" s="14" t="s">
        <v>120</v>
      </c>
      <c r="H1075" s="23" t="s">
        <v>40</v>
      </c>
      <c r="I1075" s="23" t="s">
        <v>93</v>
      </c>
      <c r="J1075" s="97">
        <f t="shared" si="321"/>
        <v>45859</v>
      </c>
      <c r="K1075" s="4">
        <v>45849</v>
      </c>
      <c r="L1075" s="19">
        <f t="shared" si="365"/>
        <v>10</v>
      </c>
      <c r="M1075" s="5">
        <f t="shared" si="322"/>
        <v>45870</v>
      </c>
      <c r="N1075" s="4">
        <v>45872</v>
      </c>
      <c r="O1075" s="19">
        <f t="shared" si="344"/>
        <v>-2</v>
      </c>
      <c r="P1075" s="5">
        <f t="shared" si="320"/>
        <v>45885</v>
      </c>
      <c r="R1075" s="19" t="str">
        <f t="shared" si="345"/>
        <v/>
      </c>
      <c r="S1075" s="5">
        <f t="shared" si="327"/>
        <v>45890</v>
      </c>
      <c r="T1075" s="4">
        <v>45888</v>
      </c>
      <c r="U1075" s="19">
        <f t="shared" si="346"/>
        <v>2</v>
      </c>
      <c r="V1075" s="5">
        <f t="shared" si="323"/>
        <v>45929</v>
      </c>
      <c r="W1075" s="6">
        <v>45929</v>
      </c>
      <c r="X1075" s="19">
        <f t="shared" si="347"/>
        <v>0</v>
      </c>
      <c r="Y1075" s="51">
        <f t="shared" si="318"/>
        <v>45957</v>
      </c>
      <c r="Z1075" s="4">
        <v>45957</v>
      </c>
      <c r="AA1075" s="49">
        <f t="shared" si="348"/>
        <v>0</v>
      </c>
      <c r="AB1075" s="51">
        <f t="shared" si="324"/>
        <v>45959</v>
      </c>
      <c r="AC1075" s="49">
        <f t="shared" si="325"/>
        <v>2</v>
      </c>
      <c r="AD1075" s="43">
        <f t="shared" si="326"/>
        <v>45959</v>
      </c>
      <c r="AE1075" s="4">
        <v>45957</v>
      </c>
      <c r="AF1075" s="19">
        <f t="shared" si="319"/>
        <v>2</v>
      </c>
      <c r="AG1075" s="10"/>
      <c r="AH1075" s="1"/>
      <c r="AI1075" s="1"/>
      <c r="AJ1075" s="1"/>
      <c r="AK1075" s="1"/>
      <c r="AL1075" s="1"/>
    </row>
    <row r="1076" spans="1:38" ht="14.45">
      <c r="A1076" s="156">
        <v>1075</v>
      </c>
      <c r="B1076" s="59">
        <v>45959</v>
      </c>
      <c r="C1076" s="34" t="s">
        <v>2268</v>
      </c>
      <c r="D1076" s="23" t="s">
        <v>2260</v>
      </c>
      <c r="E1076" s="23">
        <v>24159.39</v>
      </c>
      <c r="F1076" s="23" t="s">
        <v>2269</v>
      </c>
      <c r="G1076" s="14" t="s">
        <v>120</v>
      </c>
      <c r="H1076" s="23" t="s">
        <v>40</v>
      </c>
      <c r="I1076" s="23" t="s">
        <v>93</v>
      </c>
      <c r="J1076" s="97">
        <f t="shared" si="321"/>
        <v>45859</v>
      </c>
      <c r="K1076" s="4">
        <v>45849</v>
      </c>
      <c r="L1076" s="19">
        <f t="shared" si="365"/>
        <v>10</v>
      </c>
      <c r="M1076" s="5">
        <f t="shared" si="322"/>
        <v>45870</v>
      </c>
      <c r="N1076" s="4">
        <v>45872</v>
      </c>
      <c r="O1076" s="19">
        <f t="shared" si="344"/>
        <v>-2</v>
      </c>
      <c r="P1076" s="5">
        <f t="shared" si="320"/>
        <v>45885</v>
      </c>
      <c r="R1076" s="19" t="str">
        <f t="shared" si="345"/>
        <v/>
      </c>
      <c r="S1076" s="5">
        <f t="shared" si="327"/>
        <v>45890</v>
      </c>
      <c r="T1076" s="4">
        <v>45888</v>
      </c>
      <c r="U1076" s="19">
        <f t="shared" si="346"/>
        <v>2</v>
      </c>
      <c r="V1076" s="5">
        <f t="shared" si="323"/>
        <v>45929</v>
      </c>
      <c r="W1076" s="6">
        <v>45929</v>
      </c>
      <c r="X1076" s="19">
        <f t="shared" si="347"/>
        <v>0</v>
      </c>
      <c r="Y1076" s="51">
        <f t="shared" si="318"/>
        <v>45957</v>
      </c>
      <c r="Z1076" s="4">
        <v>45957</v>
      </c>
      <c r="AA1076" s="49">
        <f t="shared" si="348"/>
        <v>0</v>
      </c>
      <c r="AB1076" s="51">
        <f t="shared" si="324"/>
        <v>45959</v>
      </c>
      <c r="AC1076" s="49">
        <f t="shared" si="325"/>
        <v>2</v>
      </c>
      <c r="AD1076" s="43">
        <f t="shared" si="326"/>
        <v>45959</v>
      </c>
      <c r="AE1076" s="4">
        <v>45957</v>
      </c>
      <c r="AF1076" s="19">
        <f t="shared" si="319"/>
        <v>2</v>
      </c>
      <c r="AG1076" s="10"/>
      <c r="AH1076" s="1"/>
      <c r="AI1076" s="1"/>
      <c r="AJ1076" s="1"/>
      <c r="AK1076" s="1"/>
      <c r="AL1076" s="1"/>
    </row>
    <row r="1077" spans="1:38" ht="14.45">
      <c r="A1077" s="156">
        <v>1076</v>
      </c>
      <c r="B1077" s="59">
        <v>45960</v>
      </c>
      <c r="C1077" s="34">
        <v>111808226</v>
      </c>
      <c r="D1077" s="23" t="s">
        <v>2270</v>
      </c>
      <c r="E1077" s="23">
        <v>31800</v>
      </c>
      <c r="F1077" s="23" t="s">
        <v>2271</v>
      </c>
      <c r="G1077" s="14" t="s">
        <v>35</v>
      </c>
      <c r="H1077" s="23" t="s">
        <v>36</v>
      </c>
      <c r="I1077" s="23" t="s">
        <v>252</v>
      </c>
      <c r="J1077" s="97">
        <f t="shared" si="321"/>
        <v>45860</v>
      </c>
      <c r="L1077" s="19" t="str">
        <f t="shared" si="365"/>
        <v/>
      </c>
      <c r="M1077" s="5">
        <f t="shared" si="322"/>
        <v>45871</v>
      </c>
      <c r="N1077" s="4">
        <v>45887</v>
      </c>
      <c r="O1077" s="19">
        <f t="shared" si="344"/>
        <v>-16</v>
      </c>
      <c r="P1077" s="5">
        <f t="shared" si="320"/>
        <v>45886</v>
      </c>
      <c r="R1077" s="19" t="str">
        <f t="shared" si="345"/>
        <v/>
      </c>
      <c r="S1077" s="5">
        <f t="shared" si="327"/>
        <v>45891</v>
      </c>
      <c r="T1077" s="4">
        <v>45948</v>
      </c>
      <c r="U1077" s="19">
        <f t="shared" si="346"/>
        <v>-57</v>
      </c>
      <c r="V1077" s="5">
        <f t="shared" si="323"/>
        <v>45930</v>
      </c>
      <c r="W1077" s="6">
        <v>45933</v>
      </c>
      <c r="X1077" s="19">
        <f t="shared" si="347"/>
        <v>-3</v>
      </c>
      <c r="Y1077" s="51">
        <f t="shared" si="318"/>
        <v>45958</v>
      </c>
      <c r="Z1077" s="51">
        <v>45950</v>
      </c>
      <c r="AA1077" s="49">
        <f t="shared" si="348"/>
        <v>8</v>
      </c>
      <c r="AB1077" s="51">
        <f t="shared" si="324"/>
        <v>45960</v>
      </c>
      <c r="AC1077" s="49">
        <f t="shared" si="325"/>
        <v>10</v>
      </c>
      <c r="AD1077" s="43">
        <f t="shared" si="326"/>
        <v>45960</v>
      </c>
      <c r="AF1077" s="19" t="str">
        <f t="shared" si="319"/>
        <v/>
      </c>
      <c r="AG1077" s="10"/>
      <c r="AH1077" s="1"/>
      <c r="AI1077" s="1"/>
      <c r="AJ1077" s="1"/>
      <c r="AK1077" s="1"/>
      <c r="AL1077" s="1"/>
    </row>
    <row r="1078" spans="1:38" ht="14.45">
      <c r="A1078" s="156">
        <v>1077</v>
      </c>
      <c r="B1078" s="59">
        <v>45960</v>
      </c>
      <c r="C1078" s="34" t="s">
        <v>2272</v>
      </c>
      <c r="D1078" s="23" t="s">
        <v>38</v>
      </c>
      <c r="E1078" s="23">
        <v>197.1</v>
      </c>
      <c r="F1078" s="23" t="s">
        <v>2273</v>
      </c>
      <c r="G1078" s="14" t="s">
        <v>190</v>
      </c>
      <c r="H1078" s="23" t="s">
        <v>40</v>
      </c>
      <c r="I1078" s="23" t="s">
        <v>41</v>
      </c>
      <c r="J1078" s="97">
        <f t="shared" si="321"/>
        <v>45860</v>
      </c>
      <c r="K1078" s="4">
        <v>45903</v>
      </c>
      <c r="L1078" s="19">
        <f t="shared" si="365"/>
        <v>-43</v>
      </c>
      <c r="M1078" s="5">
        <f t="shared" si="322"/>
        <v>45871</v>
      </c>
      <c r="N1078" s="4">
        <v>45926</v>
      </c>
      <c r="O1078" s="19">
        <f t="shared" si="344"/>
        <v>-55</v>
      </c>
      <c r="P1078" s="5">
        <f t="shared" si="320"/>
        <v>45886</v>
      </c>
      <c r="Q1078" s="4">
        <v>45932</v>
      </c>
      <c r="R1078" s="19">
        <f t="shared" si="345"/>
        <v>-46</v>
      </c>
      <c r="S1078" s="5">
        <f t="shared" si="327"/>
        <v>45891</v>
      </c>
      <c r="T1078" s="4">
        <v>45932</v>
      </c>
      <c r="U1078" s="19">
        <f t="shared" si="346"/>
        <v>-41</v>
      </c>
      <c r="V1078" s="5">
        <f t="shared" si="323"/>
        <v>45930</v>
      </c>
      <c r="W1078" s="6">
        <v>45930</v>
      </c>
      <c r="X1078" s="19">
        <f t="shared" si="347"/>
        <v>0</v>
      </c>
      <c r="Y1078" s="51">
        <f t="shared" si="318"/>
        <v>45958</v>
      </c>
      <c r="Z1078" s="51">
        <v>45932</v>
      </c>
      <c r="AA1078" s="49">
        <f t="shared" si="348"/>
        <v>26</v>
      </c>
      <c r="AB1078" s="51">
        <f t="shared" si="324"/>
        <v>45960</v>
      </c>
      <c r="AC1078" s="49">
        <f t="shared" si="325"/>
        <v>28</v>
      </c>
      <c r="AD1078" s="43">
        <f t="shared" si="326"/>
        <v>45960</v>
      </c>
      <c r="AE1078" s="4">
        <v>45945</v>
      </c>
      <c r="AF1078" s="19">
        <f t="shared" si="319"/>
        <v>15</v>
      </c>
      <c r="AG1078" s="10"/>
      <c r="AH1078" s="1"/>
      <c r="AI1078" s="1"/>
      <c r="AJ1078" s="1"/>
      <c r="AK1078" s="1"/>
      <c r="AL1078" s="1"/>
    </row>
    <row r="1079" spans="1:38" ht="14.45">
      <c r="A1079" s="156">
        <v>1078</v>
      </c>
      <c r="B1079" s="59">
        <v>45960</v>
      </c>
      <c r="C1079" s="34" t="s">
        <v>2274</v>
      </c>
      <c r="D1079" s="23" t="s">
        <v>38</v>
      </c>
      <c r="E1079" s="23">
        <v>2119.17</v>
      </c>
      <c r="F1079" s="23" t="s">
        <v>2275</v>
      </c>
      <c r="G1079" s="14" t="s">
        <v>190</v>
      </c>
      <c r="H1079" s="23" t="s">
        <v>40</v>
      </c>
      <c r="I1079" s="23" t="s">
        <v>41</v>
      </c>
      <c r="J1079" s="97">
        <f t="shared" si="321"/>
        <v>45860</v>
      </c>
      <c r="K1079" s="4">
        <v>45903</v>
      </c>
      <c r="L1079" s="19">
        <f t="shared" si="365"/>
        <v>-43</v>
      </c>
      <c r="M1079" s="5">
        <f t="shared" si="322"/>
        <v>45871</v>
      </c>
      <c r="N1079" s="4">
        <v>45926</v>
      </c>
      <c r="O1079" s="19">
        <f t="shared" si="344"/>
        <v>-55</v>
      </c>
      <c r="P1079" s="5">
        <f t="shared" si="320"/>
        <v>45886</v>
      </c>
      <c r="Q1079" s="4">
        <v>45932</v>
      </c>
      <c r="R1079" s="19">
        <f t="shared" si="345"/>
        <v>-46</v>
      </c>
      <c r="S1079" s="5">
        <f t="shared" si="327"/>
        <v>45891</v>
      </c>
      <c r="T1079" s="4">
        <v>45932</v>
      </c>
      <c r="U1079" s="19">
        <f t="shared" si="346"/>
        <v>-41</v>
      </c>
      <c r="V1079" s="5">
        <f t="shared" si="323"/>
        <v>45930</v>
      </c>
      <c r="W1079" s="6">
        <v>45930</v>
      </c>
      <c r="X1079" s="19">
        <f t="shared" si="347"/>
        <v>0</v>
      </c>
      <c r="Y1079" s="51">
        <f t="shared" si="318"/>
        <v>45958</v>
      </c>
      <c r="Z1079" s="51">
        <v>45932</v>
      </c>
      <c r="AA1079" s="49">
        <f t="shared" si="348"/>
        <v>26</v>
      </c>
      <c r="AB1079" s="51">
        <f t="shared" si="324"/>
        <v>45960</v>
      </c>
      <c r="AC1079" s="49">
        <f t="shared" si="325"/>
        <v>28</v>
      </c>
      <c r="AD1079" s="43">
        <f t="shared" si="326"/>
        <v>45960</v>
      </c>
      <c r="AE1079" s="4">
        <v>45945</v>
      </c>
      <c r="AF1079" s="19">
        <f t="shared" si="319"/>
        <v>15</v>
      </c>
      <c r="AG1079" s="10"/>
      <c r="AH1079" s="1"/>
      <c r="AI1079" s="1"/>
      <c r="AJ1079" s="1"/>
      <c r="AK1079" s="1"/>
      <c r="AL1079" s="1"/>
    </row>
    <row r="1080" spans="1:38" ht="14.45">
      <c r="A1080" s="156">
        <v>1079</v>
      </c>
      <c r="B1080" s="59">
        <v>45960</v>
      </c>
      <c r="C1080" s="34" t="s">
        <v>2276</v>
      </c>
      <c r="D1080" s="23" t="s">
        <v>38</v>
      </c>
      <c r="E1080" s="23">
        <v>108</v>
      </c>
      <c r="F1080" s="23" t="s">
        <v>2277</v>
      </c>
      <c r="G1080" s="14" t="s">
        <v>190</v>
      </c>
      <c r="H1080" s="23" t="s">
        <v>40</v>
      </c>
      <c r="I1080" s="23" t="s">
        <v>41</v>
      </c>
      <c r="J1080" s="97">
        <f t="shared" si="321"/>
        <v>45860</v>
      </c>
      <c r="K1080" s="4">
        <v>45903</v>
      </c>
      <c r="L1080" s="19">
        <f t="shared" si="365"/>
        <v>-43</v>
      </c>
      <c r="M1080" s="5">
        <f t="shared" si="322"/>
        <v>45871</v>
      </c>
      <c r="N1080" s="4">
        <v>45926</v>
      </c>
      <c r="O1080" s="19">
        <f t="shared" si="344"/>
        <v>-55</v>
      </c>
      <c r="P1080" s="5">
        <f t="shared" si="320"/>
        <v>45886</v>
      </c>
      <c r="Q1080" s="4">
        <v>45932</v>
      </c>
      <c r="R1080" s="19">
        <f t="shared" si="345"/>
        <v>-46</v>
      </c>
      <c r="S1080" s="5">
        <f t="shared" si="327"/>
        <v>45891</v>
      </c>
      <c r="T1080" s="4">
        <v>45932</v>
      </c>
      <c r="U1080" s="19">
        <f t="shared" si="346"/>
        <v>-41</v>
      </c>
      <c r="V1080" s="5">
        <f t="shared" si="323"/>
        <v>45930</v>
      </c>
      <c r="W1080" s="6">
        <v>45930</v>
      </c>
      <c r="X1080" s="19">
        <f t="shared" si="347"/>
        <v>0</v>
      </c>
      <c r="Y1080" s="51">
        <f t="shared" si="318"/>
        <v>45958</v>
      </c>
      <c r="Z1080" s="51">
        <v>45932</v>
      </c>
      <c r="AA1080" s="49">
        <f t="shared" si="348"/>
        <v>26</v>
      </c>
      <c r="AB1080" s="51">
        <f t="shared" si="324"/>
        <v>45960</v>
      </c>
      <c r="AC1080" s="49">
        <f t="shared" si="325"/>
        <v>28</v>
      </c>
      <c r="AD1080" s="43">
        <f t="shared" si="326"/>
        <v>45960</v>
      </c>
      <c r="AE1080" s="4">
        <v>45945</v>
      </c>
      <c r="AF1080" s="19">
        <f t="shared" si="319"/>
        <v>15</v>
      </c>
      <c r="AG1080" s="10"/>
      <c r="AH1080" s="1"/>
      <c r="AI1080" s="1"/>
      <c r="AJ1080" s="1"/>
      <c r="AK1080" s="1"/>
      <c r="AL1080" s="1"/>
    </row>
    <row r="1081" spans="1:38" ht="14.45">
      <c r="A1081" s="156">
        <v>1080</v>
      </c>
      <c r="B1081" s="59">
        <v>45960</v>
      </c>
      <c r="C1081" s="34" t="s">
        <v>2278</v>
      </c>
      <c r="D1081" s="23" t="s">
        <v>38</v>
      </c>
      <c r="E1081" s="23">
        <v>2597.29</v>
      </c>
      <c r="F1081" s="23" t="s">
        <v>2279</v>
      </c>
      <c r="G1081" s="14" t="s">
        <v>190</v>
      </c>
      <c r="H1081" s="23" t="s">
        <v>40</v>
      </c>
      <c r="I1081" s="23" t="s">
        <v>41</v>
      </c>
      <c r="J1081" s="97">
        <f t="shared" si="321"/>
        <v>45860</v>
      </c>
      <c r="K1081" s="4">
        <v>45903</v>
      </c>
      <c r="L1081" s="19">
        <f t="shared" si="365"/>
        <v>-43</v>
      </c>
      <c r="M1081" s="5">
        <f t="shared" si="322"/>
        <v>45871</v>
      </c>
      <c r="N1081" s="4">
        <v>45926</v>
      </c>
      <c r="O1081" s="19">
        <f t="shared" si="344"/>
        <v>-55</v>
      </c>
      <c r="P1081" s="5">
        <f t="shared" si="320"/>
        <v>45886</v>
      </c>
      <c r="Q1081" s="4">
        <v>45932</v>
      </c>
      <c r="R1081" s="19">
        <f t="shared" si="345"/>
        <v>-46</v>
      </c>
      <c r="S1081" s="5">
        <f t="shared" si="327"/>
        <v>45891</v>
      </c>
      <c r="T1081" s="4">
        <v>45932</v>
      </c>
      <c r="U1081" s="19">
        <f t="shared" si="346"/>
        <v>-41</v>
      </c>
      <c r="V1081" s="5">
        <f t="shared" si="323"/>
        <v>45930</v>
      </c>
      <c r="W1081" s="6">
        <v>45930</v>
      </c>
      <c r="X1081" s="19">
        <f t="shared" si="347"/>
        <v>0</v>
      </c>
      <c r="Y1081" s="51">
        <f t="shared" si="318"/>
        <v>45958</v>
      </c>
      <c r="Z1081" s="51">
        <v>45932</v>
      </c>
      <c r="AA1081" s="49">
        <f t="shared" si="348"/>
        <v>26</v>
      </c>
      <c r="AB1081" s="51">
        <f t="shared" si="324"/>
        <v>45960</v>
      </c>
      <c r="AC1081" s="49">
        <f t="shared" si="325"/>
        <v>28</v>
      </c>
      <c r="AD1081" s="43">
        <f t="shared" si="326"/>
        <v>45960</v>
      </c>
      <c r="AE1081" s="4">
        <v>45945</v>
      </c>
      <c r="AF1081" s="19">
        <f t="shared" si="319"/>
        <v>15</v>
      </c>
      <c r="AG1081" s="10"/>
      <c r="AH1081" s="1"/>
      <c r="AI1081" s="1"/>
      <c r="AJ1081" s="1"/>
      <c r="AK1081" s="1"/>
      <c r="AL1081" s="1"/>
    </row>
    <row r="1082" spans="1:38" s="9" customFormat="1" ht="14.45">
      <c r="A1082" s="156">
        <v>1081</v>
      </c>
      <c r="B1082" s="60">
        <v>45960</v>
      </c>
      <c r="C1082" s="41" t="s">
        <v>2280</v>
      </c>
      <c r="D1082" s="24" t="s">
        <v>2281</v>
      </c>
      <c r="E1082" s="24">
        <v>866.78</v>
      </c>
      <c r="F1082" s="24" t="s">
        <v>2282</v>
      </c>
      <c r="G1082" s="14" t="s">
        <v>46</v>
      </c>
      <c r="H1082" s="24" t="s">
        <v>40</v>
      </c>
      <c r="I1082" s="24" t="s">
        <v>229</v>
      </c>
      <c r="J1082" s="98">
        <f t="shared" si="321"/>
        <v>45860</v>
      </c>
      <c r="K1082" s="7">
        <v>45846</v>
      </c>
      <c r="L1082" s="99">
        <f t="shared" si="365"/>
        <v>14</v>
      </c>
      <c r="M1082" s="20">
        <f t="shared" si="322"/>
        <v>45871</v>
      </c>
      <c r="N1082" s="7"/>
      <c r="O1082" s="99" t="str">
        <f t="shared" si="344"/>
        <v/>
      </c>
      <c r="P1082" s="20">
        <f t="shared" si="320"/>
        <v>45886</v>
      </c>
      <c r="Q1082" s="7"/>
      <c r="R1082" s="99" t="str">
        <f t="shared" si="345"/>
        <v/>
      </c>
      <c r="S1082" s="20">
        <f t="shared" si="327"/>
        <v>45891</v>
      </c>
      <c r="T1082" s="7"/>
      <c r="U1082" s="99" t="str">
        <f t="shared" si="346"/>
        <v/>
      </c>
      <c r="V1082" s="20">
        <f t="shared" si="323"/>
        <v>45930</v>
      </c>
      <c r="W1082" s="47"/>
      <c r="X1082" s="99" t="str">
        <f t="shared" si="347"/>
        <v/>
      </c>
      <c r="Y1082" s="66">
        <f t="shared" si="318"/>
        <v>45958</v>
      </c>
      <c r="Z1082" s="126"/>
      <c r="AA1082" s="50" t="str">
        <f t="shared" si="348"/>
        <v/>
      </c>
      <c r="AB1082" s="51">
        <f t="shared" si="324"/>
        <v>45960</v>
      </c>
      <c r="AC1082" s="49" t="str">
        <f t="shared" si="325"/>
        <v/>
      </c>
      <c r="AD1082" s="100">
        <f t="shared" si="326"/>
        <v>45960</v>
      </c>
      <c r="AE1082" s="7"/>
      <c r="AF1082" s="99" t="str">
        <f t="shared" si="319"/>
        <v/>
      </c>
      <c r="AG1082" s="36" t="s">
        <v>2185</v>
      </c>
      <c r="AH1082" s="48"/>
      <c r="AI1082" s="48"/>
      <c r="AJ1082" s="48"/>
      <c r="AK1082" s="48"/>
      <c r="AL1082" s="48"/>
    </row>
    <row r="1083" spans="1:38" ht="14.45">
      <c r="A1083" s="156">
        <v>1082</v>
      </c>
      <c r="B1083" s="59">
        <v>45961</v>
      </c>
      <c r="C1083" s="34" t="s">
        <v>2283</v>
      </c>
      <c r="D1083" s="23" t="s">
        <v>930</v>
      </c>
      <c r="E1083" s="23">
        <v>57657.599999999999</v>
      </c>
      <c r="F1083" s="23" t="s">
        <v>2284</v>
      </c>
      <c r="G1083" s="14" t="s">
        <v>35</v>
      </c>
      <c r="H1083" s="23" t="s">
        <v>36</v>
      </c>
      <c r="I1083" s="23" t="s">
        <v>62</v>
      </c>
      <c r="J1083" s="97">
        <f t="shared" si="321"/>
        <v>45861</v>
      </c>
      <c r="L1083" s="19" t="str">
        <f t="shared" si="365"/>
        <v/>
      </c>
      <c r="M1083" s="5">
        <f t="shared" si="322"/>
        <v>45872</v>
      </c>
      <c r="O1083" s="19" t="str">
        <f t="shared" si="344"/>
        <v/>
      </c>
      <c r="P1083" s="5">
        <f t="shared" si="320"/>
        <v>45887</v>
      </c>
      <c r="R1083" s="19" t="str">
        <f t="shared" si="345"/>
        <v/>
      </c>
      <c r="S1083" s="5">
        <f t="shared" si="327"/>
        <v>45892</v>
      </c>
      <c r="T1083" s="4">
        <v>45929</v>
      </c>
      <c r="U1083" s="19">
        <f t="shared" si="346"/>
        <v>-37</v>
      </c>
      <c r="V1083" s="5">
        <f t="shared" si="323"/>
        <v>45931</v>
      </c>
      <c r="W1083" s="6">
        <v>45946</v>
      </c>
      <c r="X1083" s="19">
        <f t="shared" si="347"/>
        <v>-15</v>
      </c>
      <c r="Y1083" s="51">
        <f t="shared" ref="Y1083:Y1148" si="382">B1083-2</f>
        <v>45959</v>
      </c>
      <c r="Z1083" s="51">
        <v>45954</v>
      </c>
      <c r="AA1083" s="49">
        <f t="shared" si="348"/>
        <v>5</v>
      </c>
      <c r="AB1083" s="51">
        <f t="shared" si="324"/>
        <v>45961</v>
      </c>
      <c r="AC1083" s="49">
        <f t="shared" si="325"/>
        <v>7</v>
      </c>
      <c r="AD1083" s="43">
        <f t="shared" si="326"/>
        <v>45961</v>
      </c>
      <c r="AF1083" s="19" t="str">
        <f t="shared" ref="AF1083:AF1148" si="383">IF(OR(AD1083="", AE1083=""), "", AD1083-AE1083)</f>
        <v/>
      </c>
      <c r="AG1083" s="10"/>
      <c r="AH1083" s="1"/>
      <c r="AI1083" s="1"/>
      <c r="AJ1083" s="1"/>
      <c r="AK1083" s="1"/>
      <c r="AL1083" s="1"/>
    </row>
    <row r="1084" spans="1:38" ht="14.45">
      <c r="A1084" s="156">
        <v>1083</v>
      </c>
      <c r="B1084" s="59">
        <v>45961</v>
      </c>
      <c r="C1084" s="34" t="s">
        <v>2285</v>
      </c>
      <c r="D1084" s="23" t="s">
        <v>2194</v>
      </c>
      <c r="E1084" s="23">
        <v>13930.42</v>
      </c>
      <c r="F1084" s="23" t="s">
        <v>2286</v>
      </c>
      <c r="G1084" s="14" t="s">
        <v>46</v>
      </c>
      <c r="H1084" s="23" t="s">
        <v>36</v>
      </c>
      <c r="I1084" s="23" t="s">
        <v>93</v>
      </c>
      <c r="J1084" s="97">
        <f t="shared" si="321"/>
        <v>45861</v>
      </c>
      <c r="K1084" s="4">
        <v>45846</v>
      </c>
      <c r="L1084" s="19">
        <f t="shared" si="365"/>
        <v>15</v>
      </c>
      <c r="M1084" s="5">
        <f t="shared" si="322"/>
        <v>45872</v>
      </c>
      <c r="N1084" s="4">
        <v>45891</v>
      </c>
      <c r="O1084" s="19">
        <f t="shared" si="344"/>
        <v>-19</v>
      </c>
      <c r="P1084" s="5">
        <f t="shared" si="320"/>
        <v>45887</v>
      </c>
      <c r="R1084" s="19" t="str">
        <f t="shared" si="345"/>
        <v/>
      </c>
      <c r="S1084" s="5">
        <f t="shared" si="327"/>
        <v>45892</v>
      </c>
      <c r="T1084" s="4">
        <v>45905</v>
      </c>
      <c r="U1084" s="19">
        <f t="shared" si="346"/>
        <v>-13</v>
      </c>
      <c r="V1084" s="5">
        <f t="shared" si="323"/>
        <v>45931</v>
      </c>
      <c r="W1084" s="6">
        <v>45919</v>
      </c>
      <c r="X1084" s="19">
        <f t="shared" si="347"/>
        <v>12</v>
      </c>
      <c r="Y1084" s="51">
        <f t="shared" si="382"/>
        <v>45959</v>
      </c>
      <c r="Z1084" s="4">
        <v>45939</v>
      </c>
      <c r="AA1084" s="49">
        <f t="shared" si="348"/>
        <v>20</v>
      </c>
      <c r="AB1084" s="51">
        <f t="shared" si="324"/>
        <v>45961</v>
      </c>
      <c r="AC1084" s="49">
        <f t="shared" si="325"/>
        <v>22</v>
      </c>
      <c r="AD1084" s="43">
        <f t="shared" si="326"/>
        <v>45961</v>
      </c>
      <c r="AE1084" s="4">
        <v>45939</v>
      </c>
      <c r="AF1084" s="19">
        <f t="shared" si="383"/>
        <v>22</v>
      </c>
      <c r="AG1084" s="10"/>
      <c r="AH1084" s="1"/>
      <c r="AI1084" s="1"/>
      <c r="AJ1084" s="1"/>
      <c r="AK1084" s="1"/>
      <c r="AL1084" s="1"/>
    </row>
    <row r="1085" spans="1:38" ht="14.45">
      <c r="A1085" s="156">
        <v>1084</v>
      </c>
      <c r="B1085" s="59">
        <v>45961</v>
      </c>
      <c r="C1085" s="34" t="s">
        <v>2287</v>
      </c>
      <c r="D1085" s="23" t="s">
        <v>2288</v>
      </c>
      <c r="E1085" s="23">
        <v>28888.46</v>
      </c>
      <c r="F1085" s="23" t="s">
        <v>2289</v>
      </c>
      <c r="G1085" s="14" t="s">
        <v>120</v>
      </c>
      <c r="H1085" s="23" t="s">
        <v>40</v>
      </c>
      <c r="I1085" s="23" t="s">
        <v>93</v>
      </c>
      <c r="J1085" s="97">
        <f t="shared" si="321"/>
        <v>45861</v>
      </c>
      <c r="L1085" s="19" t="str">
        <f t="shared" si="365"/>
        <v/>
      </c>
      <c r="M1085" s="5">
        <f t="shared" si="322"/>
        <v>45872</v>
      </c>
      <c r="O1085" s="19" t="str">
        <f t="shared" si="344"/>
        <v/>
      </c>
      <c r="P1085" s="5">
        <f t="shared" si="320"/>
        <v>45887</v>
      </c>
      <c r="R1085" s="19" t="str">
        <f t="shared" si="345"/>
        <v/>
      </c>
      <c r="S1085" s="5">
        <f t="shared" si="327"/>
        <v>45892</v>
      </c>
      <c r="T1085" s="4">
        <v>45930</v>
      </c>
      <c r="U1085" s="19">
        <f t="shared" si="346"/>
        <v>-38</v>
      </c>
      <c r="V1085" s="5">
        <f t="shared" si="323"/>
        <v>45931</v>
      </c>
      <c r="W1085" s="6">
        <v>45931</v>
      </c>
      <c r="X1085" s="19">
        <f t="shared" si="347"/>
        <v>0</v>
      </c>
      <c r="Y1085" s="51">
        <f t="shared" si="382"/>
        <v>45959</v>
      </c>
      <c r="Z1085" s="4">
        <v>45950</v>
      </c>
      <c r="AA1085" s="49">
        <f t="shared" si="348"/>
        <v>9</v>
      </c>
      <c r="AB1085" s="51">
        <f t="shared" si="324"/>
        <v>45961</v>
      </c>
      <c r="AC1085" s="49">
        <f t="shared" si="325"/>
        <v>11</v>
      </c>
      <c r="AD1085" s="43">
        <f t="shared" si="326"/>
        <v>45961</v>
      </c>
      <c r="AE1085" s="4">
        <v>45950</v>
      </c>
      <c r="AF1085" s="19">
        <f t="shared" si="383"/>
        <v>11</v>
      </c>
      <c r="AG1085" s="10"/>
      <c r="AH1085" s="1"/>
      <c r="AI1085" s="1"/>
      <c r="AJ1085" s="1"/>
      <c r="AK1085" s="1"/>
      <c r="AL1085" s="1"/>
    </row>
    <row r="1086" spans="1:38" ht="14.45">
      <c r="A1086" s="156">
        <v>1085</v>
      </c>
      <c r="B1086" s="59">
        <v>45961</v>
      </c>
      <c r="C1086" s="34" t="s">
        <v>2290</v>
      </c>
      <c r="D1086" s="23" t="s">
        <v>2291</v>
      </c>
      <c r="E1086" s="23">
        <v>46364.46</v>
      </c>
      <c r="F1086" s="23" t="s">
        <v>1266</v>
      </c>
      <c r="G1086" s="14" t="s">
        <v>46</v>
      </c>
      <c r="H1086" s="23" t="s">
        <v>36</v>
      </c>
      <c r="I1086" s="23" t="s">
        <v>62</v>
      </c>
      <c r="J1086" s="97">
        <f t="shared" si="321"/>
        <v>45861</v>
      </c>
      <c r="K1086" s="4">
        <v>45846</v>
      </c>
      <c r="L1086" s="19">
        <f t="shared" si="365"/>
        <v>15</v>
      </c>
      <c r="M1086" s="5">
        <f t="shared" si="322"/>
        <v>45872</v>
      </c>
      <c r="N1086" s="4">
        <v>45891</v>
      </c>
      <c r="O1086" s="19">
        <f t="shared" si="344"/>
        <v>-19</v>
      </c>
      <c r="P1086" s="5">
        <f t="shared" si="320"/>
        <v>45887</v>
      </c>
      <c r="R1086" s="19" t="str">
        <f t="shared" si="345"/>
        <v/>
      </c>
      <c r="S1086" s="5">
        <f t="shared" si="327"/>
        <v>45892</v>
      </c>
      <c r="T1086" s="4">
        <v>45894</v>
      </c>
      <c r="U1086" s="19">
        <f t="shared" si="346"/>
        <v>-2</v>
      </c>
      <c r="V1086" s="5">
        <f t="shared" si="323"/>
        <v>45931</v>
      </c>
      <c r="W1086" s="6">
        <v>45932</v>
      </c>
      <c r="X1086" s="19">
        <f t="shared" si="347"/>
        <v>-1</v>
      </c>
      <c r="Y1086" s="51">
        <f t="shared" si="382"/>
        <v>45959</v>
      </c>
      <c r="Z1086" s="6">
        <v>45939</v>
      </c>
      <c r="AA1086" s="49">
        <f t="shared" si="348"/>
        <v>20</v>
      </c>
      <c r="AB1086" s="51">
        <f t="shared" si="324"/>
        <v>45961</v>
      </c>
      <c r="AC1086" s="49">
        <f t="shared" si="325"/>
        <v>22</v>
      </c>
      <c r="AD1086" s="43">
        <f t="shared" si="326"/>
        <v>45961</v>
      </c>
      <c r="AE1086" s="4">
        <v>45959</v>
      </c>
      <c r="AF1086" s="19">
        <f t="shared" si="383"/>
        <v>2</v>
      </c>
      <c r="AG1086" s="10"/>
      <c r="AH1086" s="1"/>
      <c r="AI1086" s="1"/>
      <c r="AJ1086" s="1"/>
      <c r="AK1086" s="1"/>
      <c r="AL1086" s="1"/>
    </row>
    <row r="1087" spans="1:38" ht="14.45">
      <c r="A1087" s="156">
        <v>1086</v>
      </c>
      <c r="B1087" s="59">
        <v>45962</v>
      </c>
      <c r="C1087" s="34" t="s">
        <v>2292</v>
      </c>
      <c r="D1087" s="23" t="s">
        <v>1686</v>
      </c>
      <c r="E1087" s="23">
        <v>254530</v>
      </c>
      <c r="F1087" s="23" t="s">
        <v>1266</v>
      </c>
      <c r="G1087" s="14" t="s">
        <v>35</v>
      </c>
      <c r="H1087" s="23" t="s">
        <v>36</v>
      </c>
      <c r="I1087" s="23" t="s">
        <v>62</v>
      </c>
      <c r="J1087" s="97">
        <f t="shared" si="321"/>
        <v>45862</v>
      </c>
      <c r="L1087" s="19" t="str">
        <f t="shared" si="365"/>
        <v/>
      </c>
      <c r="M1087" s="5">
        <f t="shared" si="322"/>
        <v>45873</v>
      </c>
      <c r="O1087" s="19" t="str">
        <f t="shared" si="344"/>
        <v/>
      </c>
      <c r="P1087" s="5">
        <f t="shared" si="320"/>
        <v>45888</v>
      </c>
      <c r="R1087" s="19" t="str">
        <f t="shared" si="345"/>
        <v/>
      </c>
      <c r="S1087" s="5">
        <f t="shared" si="327"/>
        <v>45893</v>
      </c>
      <c r="T1087" s="4">
        <v>45926</v>
      </c>
      <c r="U1087" s="19">
        <f t="shared" si="346"/>
        <v>-33</v>
      </c>
      <c r="V1087" s="5">
        <f t="shared" si="323"/>
        <v>45932</v>
      </c>
      <c r="W1087" s="6">
        <v>45953</v>
      </c>
      <c r="X1087" s="19">
        <f t="shared" si="347"/>
        <v>-21</v>
      </c>
      <c r="Y1087" s="51">
        <f t="shared" si="382"/>
        <v>45960</v>
      </c>
      <c r="Z1087" s="51">
        <v>45960</v>
      </c>
      <c r="AA1087" s="49">
        <f t="shared" si="348"/>
        <v>0</v>
      </c>
      <c r="AB1087" s="51">
        <f t="shared" si="324"/>
        <v>45962</v>
      </c>
      <c r="AC1087" s="49">
        <f t="shared" si="325"/>
        <v>2</v>
      </c>
      <c r="AD1087" s="43">
        <f t="shared" si="326"/>
        <v>45962</v>
      </c>
      <c r="AF1087" s="19" t="str">
        <f t="shared" si="383"/>
        <v/>
      </c>
      <c r="AG1087" s="10"/>
      <c r="AH1087" s="1"/>
      <c r="AI1087" s="1"/>
      <c r="AJ1087" s="1"/>
      <c r="AK1087" s="1"/>
      <c r="AL1087" s="1"/>
    </row>
    <row r="1088" spans="1:38" ht="14.45">
      <c r="A1088" s="156">
        <v>1087</v>
      </c>
      <c r="B1088" s="59">
        <v>45962</v>
      </c>
      <c r="C1088" s="34" t="s">
        <v>2293</v>
      </c>
      <c r="D1088" s="23" t="s">
        <v>471</v>
      </c>
      <c r="E1088" s="23">
        <v>3150</v>
      </c>
      <c r="F1088" s="23" t="s">
        <v>2294</v>
      </c>
      <c r="G1088" s="14" t="s">
        <v>35</v>
      </c>
      <c r="H1088" s="23" t="s">
        <v>40</v>
      </c>
      <c r="I1088" s="23" t="s">
        <v>62</v>
      </c>
      <c r="J1088" s="97">
        <f t="shared" si="321"/>
        <v>45862</v>
      </c>
      <c r="L1088" s="19" t="str">
        <f t="shared" si="365"/>
        <v/>
      </c>
      <c r="M1088" s="5">
        <f t="shared" si="322"/>
        <v>45873</v>
      </c>
      <c r="N1088" s="4">
        <v>45926</v>
      </c>
      <c r="O1088" s="19" t="str">
        <f>IF(OR(M1088="", N1089=""), "", M1088-N1089)</f>
        <v/>
      </c>
      <c r="P1088" s="5">
        <f t="shared" si="320"/>
        <v>45888</v>
      </c>
      <c r="R1088" s="19" t="str">
        <f t="shared" si="345"/>
        <v/>
      </c>
      <c r="S1088" s="5">
        <f t="shared" si="327"/>
        <v>45893</v>
      </c>
      <c r="T1088" s="4">
        <v>45926</v>
      </c>
      <c r="U1088" s="19">
        <f t="shared" si="346"/>
        <v>-33</v>
      </c>
      <c r="V1088" s="5">
        <f t="shared" si="323"/>
        <v>45932</v>
      </c>
      <c r="W1088" s="6">
        <v>45940</v>
      </c>
      <c r="X1088" s="19">
        <f t="shared" si="347"/>
        <v>-8</v>
      </c>
      <c r="Y1088" s="51">
        <f t="shared" si="382"/>
        <v>45960</v>
      </c>
      <c r="Z1088" s="51">
        <v>45953</v>
      </c>
      <c r="AA1088" s="49">
        <f t="shared" si="348"/>
        <v>7</v>
      </c>
      <c r="AB1088" s="51">
        <f t="shared" si="324"/>
        <v>45962</v>
      </c>
      <c r="AC1088" s="49">
        <f t="shared" si="325"/>
        <v>9</v>
      </c>
      <c r="AD1088" s="43">
        <f t="shared" si="326"/>
        <v>45962</v>
      </c>
      <c r="AF1088" s="19" t="str">
        <f t="shared" si="383"/>
        <v/>
      </c>
      <c r="AG1088" s="10"/>
      <c r="AH1088" s="1"/>
      <c r="AI1088" s="1"/>
      <c r="AJ1088" s="1"/>
      <c r="AK1088" s="1"/>
      <c r="AL1088" s="1"/>
    </row>
    <row r="1089" spans="1:38" ht="14.45">
      <c r="A1089" s="156">
        <v>1088</v>
      </c>
      <c r="B1089" s="59">
        <v>45962</v>
      </c>
      <c r="C1089" s="34" t="s">
        <v>2295</v>
      </c>
      <c r="D1089" s="23" t="s">
        <v>2296</v>
      </c>
      <c r="E1089" s="23">
        <v>20800</v>
      </c>
      <c r="F1089" s="23" t="s">
        <v>2297</v>
      </c>
      <c r="G1089" s="14" t="s">
        <v>35</v>
      </c>
      <c r="H1089" s="23" t="s">
        <v>36</v>
      </c>
      <c r="I1089" s="23" t="s">
        <v>443</v>
      </c>
      <c r="J1089" s="97">
        <f t="shared" si="321"/>
        <v>45862</v>
      </c>
      <c r="L1089" s="19" t="str">
        <f t="shared" si="365"/>
        <v/>
      </c>
      <c r="M1089" s="5">
        <f t="shared" si="322"/>
        <v>45873</v>
      </c>
      <c r="O1089" s="19">
        <f>IF(OR(M1089="", N1090=""), "", M1089-N1090)</f>
        <v>-80</v>
      </c>
      <c r="P1089" s="5">
        <f t="shared" si="320"/>
        <v>45888</v>
      </c>
      <c r="R1089" s="19" t="str">
        <f t="shared" si="345"/>
        <v/>
      </c>
      <c r="S1089" s="5">
        <f t="shared" si="327"/>
        <v>45893</v>
      </c>
      <c r="T1089" s="4">
        <v>45929</v>
      </c>
      <c r="U1089" s="19">
        <f t="shared" si="346"/>
        <v>-36</v>
      </c>
      <c r="V1089" s="5">
        <f t="shared" si="323"/>
        <v>45932</v>
      </c>
      <c r="W1089" s="6">
        <v>45936</v>
      </c>
      <c r="X1089" s="19">
        <f t="shared" si="347"/>
        <v>-4</v>
      </c>
      <c r="Y1089" s="51">
        <f t="shared" si="382"/>
        <v>45960</v>
      </c>
      <c r="Z1089" s="51">
        <v>45952</v>
      </c>
      <c r="AA1089" s="49">
        <f t="shared" si="348"/>
        <v>8</v>
      </c>
      <c r="AB1089" s="51">
        <f t="shared" si="324"/>
        <v>45962</v>
      </c>
      <c r="AC1089" s="49">
        <f t="shared" si="325"/>
        <v>10</v>
      </c>
      <c r="AD1089" s="43">
        <f t="shared" si="326"/>
        <v>45962</v>
      </c>
      <c r="AE1089" s="4">
        <v>45957</v>
      </c>
      <c r="AF1089" s="19">
        <f t="shared" si="383"/>
        <v>5</v>
      </c>
      <c r="AG1089" s="10"/>
      <c r="AH1089" s="1"/>
      <c r="AI1089" s="1"/>
      <c r="AJ1089" s="1"/>
      <c r="AK1089" s="1"/>
      <c r="AL1089" s="1"/>
    </row>
    <row r="1090" spans="1:38" ht="14.45">
      <c r="A1090" s="156">
        <v>1089</v>
      </c>
      <c r="B1090" s="59">
        <v>45962</v>
      </c>
      <c r="C1090" s="34" t="s">
        <v>2298</v>
      </c>
      <c r="D1090" s="23" t="s">
        <v>38</v>
      </c>
      <c r="E1090" s="23">
        <v>292.77</v>
      </c>
      <c r="F1090" s="23" t="s">
        <v>2299</v>
      </c>
      <c r="G1090" s="14" t="s">
        <v>190</v>
      </c>
      <c r="H1090" s="23" t="s">
        <v>40</v>
      </c>
      <c r="I1090" s="23" t="s">
        <v>41</v>
      </c>
      <c r="J1090" s="97">
        <f t="shared" si="321"/>
        <v>45862</v>
      </c>
      <c r="K1090" s="4">
        <v>45931</v>
      </c>
      <c r="L1090" s="19">
        <f t="shared" si="365"/>
        <v>-69</v>
      </c>
      <c r="M1090" s="5">
        <f t="shared" si="322"/>
        <v>45873</v>
      </c>
      <c r="N1090" s="4">
        <v>45953</v>
      </c>
      <c r="O1090" s="19">
        <f t="shared" si="344"/>
        <v>-80</v>
      </c>
      <c r="P1090" s="5">
        <f t="shared" si="320"/>
        <v>45888</v>
      </c>
      <c r="Q1090" s="4">
        <v>45954</v>
      </c>
      <c r="R1090" s="19">
        <f t="shared" si="345"/>
        <v>-66</v>
      </c>
      <c r="S1090" s="5">
        <f t="shared" si="327"/>
        <v>45893</v>
      </c>
      <c r="T1090" s="4">
        <v>45954</v>
      </c>
      <c r="U1090" s="19">
        <f t="shared" si="346"/>
        <v>-61</v>
      </c>
      <c r="V1090" s="5">
        <f t="shared" si="323"/>
        <v>45932</v>
      </c>
      <c r="W1090" s="4">
        <v>45932</v>
      </c>
      <c r="X1090" s="19">
        <f t="shared" si="347"/>
        <v>0</v>
      </c>
      <c r="Y1090" s="51">
        <f t="shared" si="382"/>
        <v>45960</v>
      </c>
      <c r="Z1090" s="4">
        <v>45954</v>
      </c>
      <c r="AA1090" s="49">
        <f t="shared" si="348"/>
        <v>6</v>
      </c>
      <c r="AB1090" s="51">
        <f t="shared" si="324"/>
        <v>45962</v>
      </c>
      <c r="AC1090" s="49">
        <f t="shared" si="325"/>
        <v>8</v>
      </c>
      <c r="AD1090" s="43">
        <f t="shared" si="326"/>
        <v>45962</v>
      </c>
      <c r="AF1090" s="19" t="str">
        <f t="shared" si="383"/>
        <v/>
      </c>
      <c r="AG1090" s="10"/>
      <c r="AH1090" s="1"/>
      <c r="AI1090" s="1"/>
      <c r="AJ1090" s="1"/>
      <c r="AK1090" s="1"/>
      <c r="AL1090" s="1"/>
    </row>
    <row r="1091" spans="1:38" s="9" customFormat="1" ht="14.45">
      <c r="A1091" s="156">
        <v>1090</v>
      </c>
      <c r="B1091" s="60">
        <v>45962</v>
      </c>
      <c r="C1091" s="41" t="s">
        <v>2300</v>
      </c>
      <c r="D1091" s="24" t="s">
        <v>2301</v>
      </c>
      <c r="E1091" s="24">
        <v>944.84</v>
      </c>
      <c r="F1091" s="24" t="s">
        <v>2302</v>
      </c>
      <c r="G1091" s="16" t="s">
        <v>46</v>
      </c>
      <c r="H1091" s="24" t="s">
        <v>40</v>
      </c>
      <c r="I1091" s="24" t="s">
        <v>229</v>
      </c>
      <c r="J1091" s="98">
        <f t="shared" si="321"/>
        <v>45862</v>
      </c>
      <c r="K1091" s="7">
        <v>45846</v>
      </c>
      <c r="L1091" s="99">
        <f t="shared" si="365"/>
        <v>16</v>
      </c>
      <c r="M1091" s="20">
        <f t="shared" si="322"/>
        <v>45873</v>
      </c>
      <c r="N1091" s="7">
        <v>45901</v>
      </c>
      <c r="O1091" s="99">
        <f t="shared" si="344"/>
        <v>-28</v>
      </c>
      <c r="P1091" s="20">
        <f t="shared" si="320"/>
        <v>45888</v>
      </c>
      <c r="Q1091" s="7"/>
      <c r="R1091" s="99" t="str">
        <f t="shared" si="345"/>
        <v/>
      </c>
      <c r="S1091" s="20">
        <f t="shared" si="327"/>
        <v>45893</v>
      </c>
      <c r="T1091" s="7">
        <v>45905</v>
      </c>
      <c r="U1091" s="99">
        <f t="shared" si="346"/>
        <v>-12</v>
      </c>
      <c r="V1091" s="20">
        <f t="shared" si="323"/>
        <v>45932</v>
      </c>
      <c r="W1091" s="47">
        <v>45947</v>
      </c>
      <c r="X1091" s="99">
        <f t="shared" si="347"/>
        <v>-15</v>
      </c>
      <c r="Y1091" s="66">
        <f t="shared" si="382"/>
        <v>45960</v>
      </c>
      <c r="Z1091" s="4">
        <v>45961</v>
      </c>
      <c r="AA1091" s="50">
        <f t="shared" si="348"/>
        <v>-1</v>
      </c>
      <c r="AB1091" s="51">
        <f t="shared" si="324"/>
        <v>45962</v>
      </c>
      <c r="AC1091" s="49">
        <f t="shared" si="325"/>
        <v>1</v>
      </c>
      <c r="AD1091" s="100">
        <f>IF(B1091&lt;&gt;"", B1091, "")</f>
        <v>45962</v>
      </c>
      <c r="AE1091" s="7"/>
      <c r="AF1091" s="99" t="str">
        <f t="shared" si="383"/>
        <v/>
      </c>
      <c r="AG1091" s="36"/>
      <c r="AH1091" s="48"/>
      <c r="AI1091" s="48"/>
      <c r="AJ1091" s="48"/>
      <c r="AK1091" s="48"/>
      <c r="AL1091" s="48"/>
    </row>
    <row r="1092" spans="1:38" ht="14.45">
      <c r="A1092" s="156">
        <v>1091</v>
      </c>
      <c r="B1092" s="59">
        <v>45962</v>
      </c>
      <c r="C1092" s="34" t="s">
        <v>2303</v>
      </c>
      <c r="D1092" s="23" t="s">
        <v>2304</v>
      </c>
      <c r="E1092" s="23">
        <v>1645.9</v>
      </c>
      <c r="F1092" s="23" t="s">
        <v>2305</v>
      </c>
      <c r="G1092" s="14" t="s">
        <v>46</v>
      </c>
      <c r="H1092" s="23" t="s">
        <v>40</v>
      </c>
      <c r="I1092" s="23" t="s">
        <v>229</v>
      </c>
      <c r="J1092" s="97">
        <f t="shared" si="321"/>
        <v>45862</v>
      </c>
      <c r="K1092" s="4">
        <v>45846</v>
      </c>
      <c r="L1092" s="19">
        <f t="shared" si="365"/>
        <v>16</v>
      </c>
      <c r="M1092" s="5">
        <f t="shared" si="322"/>
        <v>45873</v>
      </c>
      <c r="N1092" s="4">
        <v>45917</v>
      </c>
      <c r="O1092" s="19">
        <f t="shared" si="344"/>
        <v>-44</v>
      </c>
      <c r="P1092" s="5">
        <f t="shared" si="320"/>
        <v>45888</v>
      </c>
      <c r="R1092" s="19" t="str">
        <f t="shared" si="345"/>
        <v/>
      </c>
      <c r="S1092" s="5">
        <f t="shared" si="327"/>
        <v>45893</v>
      </c>
      <c r="T1092" s="4">
        <v>45917</v>
      </c>
      <c r="U1092" s="19">
        <f t="shared" si="346"/>
        <v>-24</v>
      </c>
      <c r="V1092" s="5">
        <f t="shared" si="323"/>
        <v>45932</v>
      </c>
      <c r="W1092" s="6">
        <v>45933</v>
      </c>
      <c r="X1092" s="19">
        <f t="shared" si="347"/>
        <v>-1</v>
      </c>
      <c r="Y1092" s="51">
        <f t="shared" si="382"/>
        <v>45960</v>
      </c>
      <c r="Z1092" s="4">
        <v>45943</v>
      </c>
      <c r="AA1092" s="49">
        <f t="shared" si="348"/>
        <v>17</v>
      </c>
      <c r="AB1092" s="51">
        <f t="shared" si="324"/>
        <v>45962</v>
      </c>
      <c r="AC1092" s="49">
        <f t="shared" si="325"/>
        <v>19</v>
      </c>
      <c r="AD1092" s="43">
        <f t="shared" si="326"/>
        <v>45962</v>
      </c>
      <c r="AE1092" s="4">
        <v>45943</v>
      </c>
      <c r="AF1092" s="19">
        <f t="shared" si="383"/>
        <v>19</v>
      </c>
      <c r="AG1092" s="10"/>
      <c r="AH1092" s="1"/>
      <c r="AI1092" s="1"/>
      <c r="AJ1092" s="1"/>
      <c r="AK1092" s="1"/>
      <c r="AL1092" s="1"/>
    </row>
    <row r="1093" spans="1:38" ht="14.45">
      <c r="A1093" s="156">
        <v>1092</v>
      </c>
      <c r="B1093" s="59">
        <v>45962</v>
      </c>
      <c r="C1093" s="34" t="s">
        <v>2306</v>
      </c>
      <c r="D1093" s="23" t="s">
        <v>2307</v>
      </c>
      <c r="E1093" s="23">
        <v>167966.34</v>
      </c>
      <c r="F1093" s="23" t="s">
        <v>2308</v>
      </c>
      <c r="G1093" s="14" t="s">
        <v>35</v>
      </c>
      <c r="H1093" s="23" t="s">
        <v>36</v>
      </c>
      <c r="I1093" s="23" t="s">
        <v>37</v>
      </c>
      <c r="J1093" s="97">
        <f t="shared" si="321"/>
        <v>45862</v>
      </c>
      <c r="K1093" s="4">
        <v>45873</v>
      </c>
      <c r="L1093" s="19">
        <f t="shared" si="365"/>
        <v>-11</v>
      </c>
      <c r="M1093" s="5">
        <f t="shared" si="322"/>
        <v>45873</v>
      </c>
      <c r="N1093" s="4">
        <v>45898</v>
      </c>
      <c r="O1093" s="19">
        <f t="shared" si="344"/>
        <v>-25</v>
      </c>
      <c r="P1093" s="5">
        <f t="shared" ref="P1093:P1159" si="384">B1093-74</f>
        <v>45888</v>
      </c>
      <c r="Q1093" s="4">
        <v>45898</v>
      </c>
      <c r="R1093" s="19">
        <f t="shared" si="345"/>
        <v>-10</v>
      </c>
      <c r="S1093" s="5">
        <f t="shared" si="327"/>
        <v>45893</v>
      </c>
      <c r="T1093" s="4">
        <v>45898</v>
      </c>
      <c r="U1093" s="19">
        <f t="shared" si="346"/>
        <v>-5</v>
      </c>
      <c r="V1093" s="5">
        <f t="shared" si="323"/>
        <v>45932</v>
      </c>
      <c r="W1093" s="6">
        <v>45939</v>
      </c>
      <c r="X1093" s="19">
        <f t="shared" si="347"/>
        <v>-7</v>
      </c>
      <c r="Y1093" s="51">
        <f t="shared" si="382"/>
        <v>45960</v>
      </c>
      <c r="Z1093" s="4">
        <v>45957</v>
      </c>
      <c r="AA1093" s="49">
        <f t="shared" si="348"/>
        <v>3</v>
      </c>
      <c r="AB1093" s="51">
        <f t="shared" si="324"/>
        <v>45962</v>
      </c>
      <c r="AC1093" s="49">
        <f t="shared" si="325"/>
        <v>5</v>
      </c>
      <c r="AD1093" s="43">
        <f t="shared" si="326"/>
        <v>45962</v>
      </c>
      <c r="AE1093" s="4">
        <v>45959</v>
      </c>
      <c r="AF1093" s="19">
        <f t="shared" si="383"/>
        <v>3</v>
      </c>
      <c r="AG1093" s="10"/>
      <c r="AH1093" s="1"/>
      <c r="AI1093" s="1"/>
      <c r="AJ1093" s="1"/>
      <c r="AK1093" s="1"/>
      <c r="AL1093" s="1"/>
    </row>
    <row r="1094" spans="1:38" ht="14.45">
      <c r="A1094" s="156">
        <v>1093</v>
      </c>
      <c r="B1094" s="59">
        <v>45962</v>
      </c>
      <c r="C1094" s="34">
        <v>641190376</v>
      </c>
      <c r="D1094" s="23" t="s">
        <v>2309</v>
      </c>
      <c r="E1094" s="23">
        <v>52201.120000000003</v>
      </c>
      <c r="F1094" s="23" t="s">
        <v>2310</v>
      </c>
      <c r="G1094" s="14" t="s">
        <v>46</v>
      </c>
      <c r="H1094" s="23" t="s">
        <v>36</v>
      </c>
      <c r="I1094" s="23" t="s">
        <v>272</v>
      </c>
      <c r="J1094" s="97">
        <f t="shared" si="321"/>
        <v>45862</v>
      </c>
      <c r="K1094" s="4">
        <v>45846</v>
      </c>
      <c r="L1094" s="19">
        <f t="shared" si="365"/>
        <v>16</v>
      </c>
      <c r="M1094" s="5">
        <f t="shared" si="322"/>
        <v>45873</v>
      </c>
      <c r="N1094" s="4">
        <v>45917</v>
      </c>
      <c r="O1094" s="19">
        <f t="shared" si="344"/>
        <v>-44</v>
      </c>
      <c r="P1094" s="5">
        <f t="shared" si="384"/>
        <v>45888</v>
      </c>
      <c r="R1094" s="19" t="str">
        <f t="shared" si="345"/>
        <v/>
      </c>
      <c r="S1094" s="5">
        <f t="shared" si="327"/>
        <v>45893</v>
      </c>
      <c r="T1094" s="4">
        <v>45917</v>
      </c>
      <c r="U1094" s="19">
        <f t="shared" si="346"/>
        <v>-24</v>
      </c>
      <c r="V1094" s="5">
        <f t="shared" si="323"/>
        <v>45932</v>
      </c>
      <c r="W1094" s="6">
        <v>45936</v>
      </c>
      <c r="X1094" s="19">
        <f t="shared" si="347"/>
        <v>-4</v>
      </c>
      <c r="Y1094" s="51">
        <f t="shared" si="382"/>
        <v>45960</v>
      </c>
      <c r="Z1094" s="4">
        <v>45960</v>
      </c>
      <c r="AA1094" s="49">
        <f t="shared" si="348"/>
        <v>0</v>
      </c>
      <c r="AB1094" s="51">
        <f t="shared" si="324"/>
        <v>45962</v>
      </c>
      <c r="AC1094" s="49">
        <f t="shared" si="325"/>
        <v>2</v>
      </c>
      <c r="AD1094" s="43">
        <f t="shared" si="326"/>
        <v>45962</v>
      </c>
      <c r="AF1094" s="19" t="str">
        <f t="shared" si="383"/>
        <v/>
      </c>
      <c r="AG1094" s="10"/>
      <c r="AH1094" s="1"/>
      <c r="AI1094" s="1"/>
      <c r="AJ1094" s="1"/>
      <c r="AK1094" s="1"/>
      <c r="AL1094" s="1"/>
    </row>
    <row r="1095" spans="1:38" s="9" customFormat="1" ht="14.45">
      <c r="A1095" s="157">
        <v>1094</v>
      </c>
      <c r="B1095" s="60">
        <v>45963</v>
      </c>
      <c r="C1095" s="41" t="s">
        <v>2311</v>
      </c>
      <c r="D1095" s="24" t="s">
        <v>2312</v>
      </c>
      <c r="E1095" s="24">
        <v>34512</v>
      </c>
      <c r="F1095" s="24" t="s">
        <v>2313</v>
      </c>
      <c r="G1095" s="16" t="s">
        <v>46</v>
      </c>
      <c r="H1095" s="24" t="s">
        <v>40</v>
      </c>
      <c r="I1095" s="24" t="s">
        <v>323</v>
      </c>
      <c r="J1095" s="98">
        <f t="shared" si="321"/>
        <v>45863</v>
      </c>
      <c r="K1095" s="7">
        <v>45846</v>
      </c>
      <c r="L1095" s="99">
        <f t="shared" si="365"/>
        <v>17</v>
      </c>
      <c r="M1095" s="20">
        <f t="shared" si="322"/>
        <v>45874</v>
      </c>
      <c r="N1095" s="7">
        <v>45919</v>
      </c>
      <c r="O1095" s="99">
        <f t="shared" si="344"/>
        <v>-45</v>
      </c>
      <c r="P1095" s="20">
        <f t="shared" si="384"/>
        <v>45889</v>
      </c>
      <c r="Q1095" s="7"/>
      <c r="R1095" s="99" t="str">
        <f t="shared" si="345"/>
        <v/>
      </c>
      <c r="S1095" s="20">
        <f t="shared" si="327"/>
        <v>45894</v>
      </c>
      <c r="T1095" s="7">
        <v>45919</v>
      </c>
      <c r="U1095" s="99">
        <f t="shared" si="346"/>
        <v>-25</v>
      </c>
      <c r="V1095" s="20">
        <f t="shared" si="323"/>
        <v>45933</v>
      </c>
      <c r="W1095" s="47">
        <v>45939</v>
      </c>
      <c r="X1095" s="99">
        <f t="shared" si="347"/>
        <v>-6</v>
      </c>
      <c r="Y1095" s="66">
        <f t="shared" si="382"/>
        <v>45961</v>
      </c>
      <c r="Z1095" s="126"/>
      <c r="AA1095" s="50" t="str">
        <f t="shared" si="348"/>
        <v/>
      </c>
      <c r="AB1095" s="51">
        <f t="shared" si="324"/>
        <v>45963</v>
      </c>
      <c r="AC1095" s="49" t="str">
        <f t="shared" si="325"/>
        <v/>
      </c>
      <c r="AD1095" s="100">
        <f t="shared" si="326"/>
        <v>45963</v>
      </c>
      <c r="AE1095" s="7"/>
      <c r="AF1095" s="99" t="str">
        <f t="shared" si="383"/>
        <v/>
      </c>
      <c r="AG1095" s="36" t="s">
        <v>367</v>
      </c>
      <c r="AH1095" s="1"/>
      <c r="AI1095" s="48"/>
      <c r="AJ1095" s="48"/>
      <c r="AK1095" s="48"/>
      <c r="AL1095" s="48"/>
    </row>
    <row r="1096" spans="1:38" s="9" customFormat="1" ht="14.45">
      <c r="A1096" s="157">
        <v>1095</v>
      </c>
      <c r="B1096" s="60">
        <v>45963</v>
      </c>
      <c r="C1096" s="41">
        <v>3602400000132</v>
      </c>
      <c r="D1096" s="24" t="s">
        <v>2314</v>
      </c>
      <c r="E1096" s="24">
        <v>33367.879999999997</v>
      </c>
      <c r="F1096" s="24" t="s">
        <v>2315</v>
      </c>
      <c r="G1096" s="16" t="s">
        <v>46</v>
      </c>
      <c r="H1096" s="24" t="s">
        <v>40</v>
      </c>
      <c r="I1096" s="24" t="s">
        <v>2316</v>
      </c>
      <c r="J1096" s="98">
        <f t="shared" si="321"/>
        <v>45863</v>
      </c>
      <c r="K1096" s="7">
        <v>45846</v>
      </c>
      <c r="L1096" s="99">
        <f t="shared" si="365"/>
        <v>17</v>
      </c>
      <c r="M1096" s="20">
        <f t="shared" si="322"/>
        <v>45874</v>
      </c>
      <c r="N1096" s="7">
        <v>45930</v>
      </c>
      <c r="O1096" s="99">
        <f t="shared" si="344"/>
        <v>-56</v>
      </c>
      <c r="P1096" s="20">
        <f t="shared" si="384"/>
        <v>45889</v>
      </c>
      <c r="Q1096" s="7"/>
      <c r="R1096" s="99" t="str">
        <f t="shared" si="345"/>
        <v/>
      </c>
      <c r="S1096" s="20">
        <f t="shared" si="327"/>
        <v>45894</v>
      </c>
      <c r="T1096" s="7">
        <v>45931</v>
      </c>
      <c r="U1096" s="99">
        <f t="shared" si="346"/>
        <v>-37</v>
      </c>
      <c r="V1096" s="20">
        <f t="shared" si="323"/>
        <v>45933</v>
      </c>
      <c r="W1096" s="47">
        <v>45945</v>
      </c>
      <c r="X1096" s="99">
        <f t="shared" si="347"/>
        <v>-12</v>
      </c>
      <c r="Y1096" s="66">
        <f t="shared" si="382"/>
        <v>45961</v>
      </c>
      <c r="Z1096" s="126"/>
      <c r="AA1096" s="50" t="str">
        <f t="shared" si="348"/>
        <v/>
      </c>
      <c r="AB1096" s="51">
        <f t="shared" si="324"/>
        <v>45963</v>
      </c>
      <c r="AC1096" s="49" t="str">
        <f t="shared" si="325"/>
        <v/>
      </c>
      <c r="AD1096" s="100">
        <f t="shared" si="326"/>
        <v>45963</v>
      </c>
      <c r="AE1096" s="7"/>
      <c r="AF1096" s="99" t="str">
        <f t="shared" si="383"/>
        <v/>
      </c>
      <c r="AG1096" s="36" t="s">
        <v>367</v>
      </c>
      <c r="AH1096" s="1"/>
      <c r="AI1096" s="48"/>
      <c r="AJ1096" s="48"/>
      <c r="AK1096" s="48"/>
      <c r="AL1096" s="48"/>
    </row>
    <row r="1097" spans="1:38">
      <c r="A1097" s="156">
        <v>1096</v>
      </c>
      <c r="B1097" s="59">
        <v>45964</v>
      </c>
      <c r="C1097" s="34" t="s">
        <v>2317</v>
      </c>
      <c r="D1097" s="23" t="s">
        <v>2318</v>
      </c>
      <c r="E1097" s="23">
        <v>1684.81</v>
      </c>
      <c r="F1097" s="23" t="s">
        <v>2319</v>
      </c>
      <c r="G1097" s="14" t="s">
        <v>190</v>
      </c>
      <c r="H1097" s="23" t="s">
        <v>40</v>
      </c>
      <c r="I1097" s="23" t="s">
        <v>93</v>
      </c>
      <c r="J1097" s="97">
        <f t="shared" si="321"/>
        <v>45864</v>
      </c>
      <c r="K1097" s="4">
        <v>45845</v>
      </c>
      <c r="L1097" s="19">
        <f t="shared" si="365"/>
        <v>19</v>
      </c>
      <c r="M1097" s="5">
        <f t="shared" si="322"/>
        <v>45875</v>
      </c>
      <c r="N1097" s="4">
        <v>45875</v>
      </c>
      <c r="O1097" s="19">
        <f t="shared" si="344"/>
        <v>0</v>
      </c>
      <c r="P1097" s="5">
        <f t="shared" si="384"/>
        <v>45890</v>
      </c>
      <c r="R1097" s="19" t="str">
        <f t="shared" si="345"/>
        <v/>
      </c>
      <c r="S1097" s="5">
        <f t="shared" si="327"/>
        <v>45895</v>
      </c>
      <c r="T1097" s="4">
        <v>45905</v>
      </c>
      <c r="U1097" s="19">
        <f t="shared" si="346"/>
        <v>-10</v>
      </c>
      <c r="V1097" s="5">
        <f t="shared" si="323"/>
        <v>45934</v>
      </c>
      <c r="W1097" s="6">
        <v>45939</v>
      </c>
      <c r="X1097" s="19">
        <f t="shared" si="347"/>
        <v>-5</v>
      </c>
      <c r="Y1097" s="51">
        <f t="shared" si="382"/>
        <v>45962</v>
      </c>
      <c r="Z1097" s="51"/>
      <c r="AA1097" s="49" t="str">
        <f t="shared" si="348"/>
        <v/>
      </c>
      <c r="AB1097" s="51">
        <f t="shared" si="324"/>
        <v>45964</v>
      </c>
      <c r="AC1097" s="49" t="str">
        <f t="shared" si="325"/>
        <v/>
      </c>
      <c r="AD1097" s="43">
        <f t="shared" si="326"/>
        <v>45964</v>
      </c>
      <c r="AF1097" s="19" t="str">
        <f t="shared" si="383"/>
        <v/>
      </c>
      <c r="AG1097" s="10"/>
      <c r="AH1097" s="1"/>
      <c r="AI1097" s="1"/>
      <c r="AJ1097" s="1"/>
      <c r="AK1097" s="1"/>
      <c r="AL1097" s="1"/>
    </row>
    <row r="1098" spans="1:38" ht="14.45">
      <c r="A1098" s="156">
        <v>1097</v>
      </c>
      <c r="B1098" s="59">
        <v>45965</v>
      </c>
      <c r="C1098" s="34" t="s">
        <v>2320</v>
      </c>
      <c r="D1098" s="23" t="s">
        <v>2321</v>
      </c>
      <c r="E1098" s="23">
        <v>54449.78</v>
      </c>
      <c r="F1098" s="23" t="s">
        <v>2322</v>
      </c>
      <c r="G1098" s="14" t="s">
        <v>46</v>
      </c>
      <c r="H1098" s="23" t="s">
        <v>40</v>
      </c>
      <c r="I1098" s="23" t="s">
        <v>93</v>
      </c>
      <c r="J1098" s="97">
        <f t="shared" ref="J1098:J1167" si="385">B1098-100</f>
        <v>45865</v>
      </c>
      <c r="K1098" s="4">
        <v>45846</v>
      </c>
      <c r="L1098" s="19">
        <f t="shared" si="365"/>
        <v>19</v>
      </c>
      <c r="M1098" s="5">
        <f t="shared" ref="M1098:M1167" si="386">B1098-89</f>
        <v>45876</v>
      </c>
      <c r="N1098" s="4">
        <v>45918</v>
      </c>
      <c r="O1098" s="19">
        <f t="shared" si="344"/>
        <v>-42</v>
      </c>
      <c r="P1098" s="5">
        <f t="shared" si="384"/>
        <v>45891</v>
      </c>
      <c r="R1098" s="19" t="str">
        <f t="shared" si="345"/>
        <v/>
      </c>
      <c r="S1098" s="5">
        <f t="shared" si="327"/>
        <v>45896</v>
      </c>
      <c r="T1098" s="4">
        <v>45919</v>
      </c>
      <c r="U1098" s="19">
        <f t="shared" si="346"/>
        <v>-23</v>
      </c>
      <c r="V1098" s="5">
        <f t="shared" ref="V1098:V1167" si="387">B1098-30</f>
        <v>45935</v>
      </c>
      <c r="W1098" s="6">
        <v>45940</v>
      </c>
      <c r="X1098" s="19">
        <f t="shared" si="347"/>
        <v>-5</v>
      </c>
      <c r="Y1098" s="51">
        <f t="shared" si="382"/>
        <v>45963</v>
      </c>
      <c r="Z1098" s="4">
        <v>45951</v>
      </c>
      <c r="AA1098" s="49">
        <f t="shared" si="348"/>
        <v>12</v>
      </c>
      <c r="AB1098" s="51">
        <f t="shared" ref="AB1098:AB1167" si="388">IF(B1098&lt;&gt;"", B1098, "")</f>
        <v>45965</v>
      </c>
      <c r="AC1098" s="49">
        <f t="shared" ref="AC1098:AC1154" si="389">IF(OR(AB1098="", Z1098=""), "", AB1098-Z1098)</f>
        <v>14</v>
      </c>
      <c r="AD1098" s="43">
        <f t="shared" ref="AD1098:AD1167" si="390">IF(B1098&lt;&gt;"", B1098, "")</f>
        <v>45965</v>
      </c>
      <c r="AE1098" s="4">
        <v>45951</v>
      </c>
      <c r="AF1098" s="19">
        <f t="shared" si="383"/>
        <v>14</v>
      </c>
      <c r="AG1098" s="10"/>
      <c r="AH1098" s="1"/>
      <c r="AI1098" s="1"/>
      <c r="AJ1098" s="1"/>
      <c r="AK1098" s="1"/>
      <c r="AL1098" s="1"/>
    </row>
    <row r="1099" spans="1:38" ht="14.45">
      <c r="A1099" s="156">
        <v>1098</v>
      </c>
      <c r="B1099" s="59">
        <v>45966</v>
      </c>
      <c r="C1099" s="34" t="s">
        <v>2323</v>
      </c>
      <c r="D1099" s="23" t="s">
        <v>2324</v>
      </c>
      <c r="E1099" s="23">
        <v>4193.55</v>
      </c>
      <c r="F1099" s="23" t="s">
        <v>2325</v>
      </c>
      <c r="G1099" s="14" t="s">
        <v>35</v>
      </c>
      <c r="H1099" s="23" t="s">
        <v>36</v>
      </c>
      <c r="I1099" s="23" t="s">
        <v>62</v>
      </c>
      <c r="J1099" s="97">
        <f t="shared" si="385"/>
        <v>45866</v>
      </c>
      <c r="L1099" s="19" t="str">
        <f t="shared" si="365"/>
        <v/>
      </c>
      <c r="M1099" s="5">
        <f t="shared" si="386"/>
        <v>45877</v>
      </c>
      <c r="O1099" s="19" t="str">
        <f t="shared" si="344"/>
        <v/>
      </c>
      <c r="P1099" s="5">
        <f t="shared" si="384"/>
        <v>45892</v>
      </c>
      <c r="R1099" s="19" t="str">
        <f t="shared" si="345"/>
        <v/>
      </c>
      <c r="S1099" s="5">
        <f t="shared" si="327"/>
        <v>45897</v>
      </c>
      <c r="T1099" s="4">
        <v>45929</v>
      </c>
      <c r="U1099" s="19">
        <f t="shared" si="346"/>
        <v>-32</v>
      </c>
      <c r="V1099" s="5">
        <f t="shared" si="387"/>
        <v>45936</v>
      </c>
      <c r="W1099" s="6">
        <v>45936</v>
      </c>
      <c r="X1099" s="19">
        <f t="shared" si="347"/>
        <v>0</v>
      </c>
      <c r="Y1099" s="51">
        <f t="shared" si="382"/>
        <v>45964</v>
      </c>
      <c r="Z1099" s="51"/>
      <c r="AA1099" s="49" t="str">
        <f t="shared" si="348"/>
        <v/>
      </c>
      <c r="AB1099" s="51">
        <f t="shared" si="388"/>
        <v>45966</v>
      </c>
      <c r="AC1099" s="49" t="str">
        <f t="shared" si="389"/>
        <v/>
      </c>
      <c r="AD1099" s="43">
        <f t="shared" si="390"/>
        <v>45966</v>
      </c>
      <c r="AF1099" s="19" t="str">
        <f t="shared" si="383"/>
        <v/>
      </c>
      <c r="AG1099" s="10"/>
      <c r="AH1099" s="1"/>
      <c r="AI1099" s="1"/>
      <c r="AJ1099" s="1"/>
      <c r="AK1099" s="1"/>
      <c r="AL1099" s="1"/>
    </row>
    <row r="1100" spans="1:38" ht="14.45">
      <c r="A1100" s="156">
        <v>1099</v>
      </c>
      <c r="B1100" s="59">
        <v>45967</v>
      </c>
      <c r="C1100" s="34" t="s">
        <v>2326</v>
      </c>
      <c r="D1100" s="23" t="s">
        <v>2327</v>
      </c>
      <c r="E1100" s="23">
        <v>515</v>
      </c>
      <c r="F1100" s="23" t="s">
        <v>2328</v>
      </c>
      <c r="G1100" s="14" t="s">
        <v>46</v>
      </c>
      <c r="H1100" s="23" t="s">
        <v>40</v>
      </c>
      <c r="I1100" s="23" t="s">
        <v>229</v>
      </c>
      <c r="J1100" s="97">
        <f t="shared" si="385"/>
        <v>45867</v>
      </c>
      <c r="K1100" s="4">
        <v>45846</v>
      </c>
      <c r="L1100" s="19">
        <f t="shared" si="365"/>
        <v>21</v>
      </c>
      <c r="M1100" s="5">
        <f t="shared" si="386"/>
        <v>45878</v>
      </c>
      <c r="N1100" s="4">
        <v>45919</v>
      </c>
      <c r="O1100" s="19">
        <f t="shared" si="344"/>
        <v>-41</v>
      </c>
      <c r="P1100" s="5">
        <f t="shared" si="384"/>
        <v>45893</v>
      </c>
      <c r="R1100" s="19" t="str">
        <f t="shared" si="345"/>
        <v/>
      </c>
      <c r="S1100" s="5">
        <f t="shared" si="327"/>
        <v>45898</v>
      </c>
      <c r="T1100" s="4">
        <v>45930</v>
      </c>
      <c r="U1100" s="19">
        <f t="shared" si="346"/>
        <v>-32</v>
      </c>
      <c r="V1100" s="5">
        <f t="shared" si="387"/>
        <v>45937</v>
      </c>
      <c r="W1100" s="6">
        <v>45933</v>
      </c>
      <c r="X1100" s="19">
        <f t="shared" si="347"/>
        <v>4</v>
      </c>
      <c r="Y1100" s="51">
        <f t="shared" si="382"/>
        <v>45965</v>
      </c>
      <c r="Z1100" s="4">
        <v>45951</v>
      </c>
      <c r="AA1100" s="49">
        <f t="shared" si="348"/>
        <v>14</v>
      </c>
      <c r="AB1100" s="51">
        <f t="shared" si="388"/>
        <v>45967</v>
      </c>
      <c r="AC1100" s="49">
        <f t="shared" si="389"/>
        <v>16</v>
      </c>
      <c r="AD1100" s="43">
        <f t="shared" si="390"/>
        <v>45967</v>
      </c>
      <c r="AE1100" s="4">
        <v>45951</v>
      </c>
      <c r="AF1100" s="19">
        <f t="shared" si="383"/>
        <v>16</v>
      </c>
      <c r="AG1100" s="10"/>
      <c r="AH1100" s="1"/>
      <c r="AI1100" s="1"/>
      <c r="AJ1100" s="1"/>
      <c r="AK1100" s="1"/>
      <c r="AL1100" s="1"/>
    </row>
    <row r="1101" spans="1:38" ht="14.45">
      <c r="A1101" s="156">
        <v>1100</v>
      </c>
      <c r="B1101" s="59">
        <v>45967</v>
      </c>
      <c r="C1101" s="34">
        <v>638825414</v>
      </c>
      <c r="D1101" s="23" t="s">
        <v>350</v>
      </c>
      <c r="E1101" s="23">
        <v>5699</v>
      </c>
      <c r="F1101" s="23" t="s">
        <v>1266</v>
      </c>
      <c r="G1101" s="14" t="s">
        <v>46</v>
      </c>
      <c r="H1101" s="23" t="s">
        <v>36</v>
      </c>
      <c r="I1101" s="23" t="s">
        <v>62</v>
      </c>
      <c r="J1101" s="97">
        <f t="shared" si="385"/>
        <v>45867</v>
      </c>
      <c r="K1101" s="4">
        <v>45846</v>
      </c>
      <c r="L1101" s="19">
        <f t="shared" si="365"/>
        <v>21</v>
      </c>
      <c r="M1101" s="5">
        <f t="shared" si="386"/>
        <v>45878</v>
      </c>
      <c r="N1101" s="4">
        <v>45919</v>
      </c>
      <c r="O1101" s="19">
        <f t="shared" si="344"/>
        <v>-41</v>
      </c>
      <c r="P1101" s="5">
        <f t="shared" si="384"/>
        <v>45893</v>
      </c>
      <c r="R1101" s="19" t="str">
        <f t="shared" si="345"/>
        <v/>
      </c>
      <c r="S1101" s="5">
        <f t="shared" ref="S1101:S1170" si="391">B1101-69</f>
        <v>45898</v>
      </c>
      <c r="T1101" s="4">
        <v>45919</v>
      </c>
      <c r="U1101" s="19">
        <f t="shared" si="346"/>
        <v>-21</v>
      </c>
      <c r="V1101" s="5">
        <f t="shared" si="387"/>
        <v>45937</v>
      </c>
      <c r="W1101" s="6">
        <v>45938</v>
      </c>
      <c r="X1101" s="19">
        <f t="shared" si="347"/>
        <v>-1</v>
      </c>
      <c r="Y1101" s="51">
        <f t="shared" si="382"/>
        <v>45965</v>
      </c>
      <c r="Z1101" s="125"/>
      <c r="AA1101" s="49" t="str">
        <f t="shared" si="348"/>
        <v/>
      </c>
      <c r="AB1101" s="51">
        <f t="shared" si="388"/>
        <v>45967</v>
      </c>
      <c r="AC1101" s="49" t="str">
        <f t="shared" si="389"/>
        <v/>
      </c>
      <c r="AD1101" s="43">
        <f t="shared" si="390"/>
        <v>45967</v>
      </c>
      <c r="AF1101" s="19" t="str">
        <f t="shared" si="383"/>
        <v/>
      </c>
      <c r="AG1101" s="10"/>
      <c r="AH1101" s="1"/>
      <c r="AI1101" s="1"/>
      <c r="AJ1101" s="1"/>
      <c r="AK1101" s="1"/>
      <c r="AL1101" s="1"/>
    </row>
    <row r="1102" spans="1:38" ht="14.45">
      <c r="A1102" s="156">
        <v>1101</v>
      </c>
      <c r="B1102" s="59">
        <v>45967</v>
      </c>
      <c r="C1102" s="34" t="s">
        <v>2329</v>
      </c>
      <c r="D1102" s="23" t="s">
        <v>2330</v>
      </c>
      <c r="E1102" s="23">
        <v>13535</v>
      </c>
      <c r="F1102" s="23" t="s">
        <v>2331</v>
      </c>
      <c r="G1102" s="14" t="s">
        <v>46</v>
      </c>
      <c r="H1102" s="23" t="s">
        <v>40</v>
      </c>
      <c r="I1102" s="23" t="s">
        <v>229</v>
      </c>
      <c r="J1102" s="97">
        <f t="shared" si="385"/>
        <v>45867</v>
      </c>
      <c r="K1102" s="4">
        <v>45846</v>
      </c>
      <c r="L1102" s="19">
        <f t="shared" si="365"/>
        <v>21</v>
      </c>
      <c r="M1102" s="5">
        <f t="shared" si="386"/>
        <v>45878</v>
      </c>
      <c r="N1102" s="4">
        <v>45919</v>
      </c>
      <c r="O1102" s="19">
        <f t="shared" si="344"/>
        <v>-41</v>
      </c>
      <c r="P1102" s="5">
        <f t="shared" si="384"/>
        <v>45893</v>
      </c>
      <c r="R1102" s="19" t="str">
        <f t="shared" si="345"/>
        <v/>
      </c>
      <c r="S1102" s="5">
        <f t="shared" si="391"/>
        <v>45898</v>
      </c>
      <c r="T1102" s="4">
        <v>45919</v>
      </c>
      <c r="U1102" s="19">
        <f t="shared" si="346"/>
        <v>-21</v>
      </c>
      <c r="V1102" s="5">
        <f t="shared" si="387"/>
        <v>45937</v>
      </c>
      <c r="W1102" s="6">
        <v>45947</v>
      </c>
      <c r="X1102" s="19">
        <f t="shared" si="347"/>
        <v>-10</v>
      </c>
      <c r="Y1102" s="51">
        <f t="shared" si="382"/>
        <v>45965</v>
      </c>
      <c r="Z1102" s="125"/>
      <c r="AA1102" s="49" t="str">
        <f t="shared" si="348"/>
        <v/>
      </c>
      <c r="AB1102" s="51">
        <f t="shared" si="388"/>
        <v>45967</v>
      </c>
      <c r="AC1102" s="49" t="str">
        <f t="shared" si="389"/>
        <v/>
      </c>
      <c r="AD1102" s="43">
        <f t="shared" si="390"/>
        <v>45967</v>
      </c>
      <c r="AF1102" s="19" t="str">
        <f t="shared" si="383"/>
        <v/>
      </c>
      <c r="AG1102" s="10"/>
      <c r="AH1102" s="1"/>
      <c r="AI1102" s="1"/>
      <c r="AJ1102" s="1"/>
      <c r="AK1102" s="1"/>
      <c r="AL1102" s="1"/>
    </row>
    <row r="1103" spans="1:38" ht="14.45">
      <c r="A1103" s="156">
        <v>1102</v>
      </c>
      <c r="B1103" s="59">
        <v>45967</v>
      </c>
      <c r="C1103" s="34" t="s">
        <v>2332</v>
      </c>
      <c r="D1103" s="23" t="s">
        <v>2333</v>
      </c>
      <c r="E1103" s="23">
        <v>1005.67</v>
      </c>
      <c r="F1103" s="23" t="s">
        <v>2334</v>
      </c>
      <c r="G1103" s="14" t="s">
        <v>35</v>
      </c>
      <c r="H1103" s="23" t="s">
        <v>36</v>
      </c>
      <c r="I1103" s="23" t="s">
        <v>93</v>
      </c>
      <c r="J1103" s="97">
        <f t="shared" si="385"/>
        <v>45867</v>
      </c>
      <c r="L1103" s="19" t="str">
        <f t="shared" si="365"/>
        <v/>
      </c>
      <c r="M1103" s="5">
        <f t="shared" si="386"/>
        <v>45878</v>
      </c>
      <c r="O1103" s="19" t="str">
        <f t="shared" si="344"/>
        <v/>
      </c>
      <c r="P1103" s="5">
        <f t="shared" si="384"/>
        <v>45893</v>
      </c>
      <c r="R1103" s="19" t="str">
        <f t="shared" si="345"/>
        <v/>
      </c>
      <c r="S1103" s="5">
        <f t="shared" si="391"/>
        <v>45898</v>
      </c>
      <c r="T1103" s="4">
        <v>45931</v>
      </c>
      <c r="U1103" s="19">
        <f t="shared" si="346"/>
        <v>-33</v>
      </c>
      <c r="V1103" s="5">
        <f t="shared" si="387"/>
        <v>45937</v>
      </c>
      <c r="W1103" s="6">
        <v>45937</v>
      </c>
      <c r="X1103" s="19">
        <f t="shared" si="347"/>
        <v>0</v>
      </c>
      <c r="Y1103" s="51">
        <f t="shared" si="382"/>
        <v>45965</v>
      </c>
      <c r="Z1103" s="51"/>
      <c r="AA1103" s="49" t="str">
        <f t="shared" si="348"/>
        <v/>
      </c>
      <c r="AB1103" s="51">
        <f t="shared" si="388"/>
        <v>45967</v>
      </c>
      <c r="AC1103" s="49" t="str">
        <f t="shared" si="389"/>
        <v/>
      </c>
      <c r="AD1103" s="43">
        <f t="shared" si="390"/>
        <v>45967</v>
      </c>
      <c r="AF1103" s="19" t="str">
        <f t="shared" si="383"/>
        <v/>
      </c>
      <c r="AG1103" s="10"/>
      <c r="AH1103" s="1"/>
      <c r="AI1103" s="1"/>
      <c r="AJ1103" s="1"/>
      <c r="AK1103" s="1"/>
      <c r="AL1103" s="1"/>
    </row>
    <row r="1104" spans="1:38" s="9" customFormat="1" ht="14.45">
      <c r="A1104" s="157">
        <v>1103</v>
      </c>
      <c r="B1104" s="60">
        <v>45968</v>
      </c>
      <c r="C1104" s="41" t="s">
        <v>2335</v>
      </c>
      <c r="D1104" s="24" t="s">
        <v>38</v>
      </c>
      <c r="E1104" s="24">
        <v>956.69</v>
      </c>
      <c r="F1104" s="24" t="s">
        <v>57</v>
      </c>
      <c r="G1104" s="16" t="s">
        <v>190</v>
      </c>
      <c r="H1104" s="24" t="s">
        <v>40</v>
      </c>
      <c r="I1104" s="24" t="s">
        <v>41</v>
      </c>
      <c r="J1104" s="98">
        <f t="shared" si="385"/>
        <v>45868</v>
      </c>
      <c r="K1104" s="7">
        <v>45931</v>
      </c>
      <c r="L1104" s="99">
        <f t="shared" si="365"/>
        <v>-63</v>
      </c>
      <c r="M1104" s="20">
        <f t="shared" si="386"/>
        <v>45879</v>
      </c>
      <c r="N1104" s="7">
        <v>45953</v>
      </c>
      <c r="O1104" s="99">
        <f t="shared" si="344"/>
        <v>-74</v>
      </c>
      <c r="P1104" s="20">
        <f t="shared" si="384"/>
        <v>45894</v>
      </c>
      <c r="Q1104" s="7">
        <v>45954</v>
      </c>
      <c r="R1104" s="99">
        <f t="shared" si="345"/>
        <v>-60</v>
      </c>
      <c r="S1104" s="20">
        <f t="shared" si="391"/>
        <v>45899</v>
      </c>
      <c r="T1104" s="7">
        <v>45954</v>
      </c>
      <c r="U1104" s="99">
        <f t="shared" si="346"/>
        <v>-55</v>
      </c>
      <c r="V1104" s="20">
        <f t="shared" si="387"/>
        <v>45938</v>
      </c>
      <c r="W1104" s="7">
        <v>45938</v>
      </c>
      <c r="X1104" s="99">
        <f t="shared" si="347"/>
        <v>0</v>
      </c>
      <c r="Y1104" s="66">
        <f t="shared" si="382"/>
        <v>45966</v>
      </c>
      <c r="Z1104" s="7">
        <v>45954</v>
      </c>
      <c r="AA1104" s="50">
        <f t="shared" si="348"/>
        <v>12</v>
      </c>
      <c r="AB1104" s="51">
        <f t="shared" si="388"/>
        <v>45968</v>
      </c>
      <c r="AC1104" s="49">
        <f t="shared" si="389"/>
        <v>14</v>
      </c>
      <c r="AD1104" s="100">
        <f t="shared" si="390"/>
        <v>45968</v>
      </c>
      <c r="AE1104" s="7">
        <v>45954</v>
      </c>
      <c r="AF1104" s="99">
        <f t="shared" si="383"/>
        <v>14</v>
      </c>
      <c r="AG1104" s="36" t="s">
        <v>1479</v>
      </c>
      <c r="AH1104" s="1"/>
      <c r="AI1104" s="48"/>
      <c r="AJ1104" s="48"/>
      <c r="AK1104" s="48"/>
      <c r="AL1104" s="48"/>
    </row>
    <row r="1105" spans="1:38" ht="14.45">
      <c r="A1105" s="156">
        <v>1104</v>
      </c>
      <c r="B1105" s="59">
        <v>45969</v>
      </c>
      <c r="C1105" s="34">
        <v>645103367</v>
      </c>
      <c r="D1105" s="23" t="s">
        <v>2336</v>
      </c>
      <c r="E1105" s="23">
        <v>18698.759999999998</v>
      </c>
      <c r="F1105" s="23" t="s">
        <v>2337</v>
      </c>
      <c r="G1105" s="14" t="s">
        <v>128</v>
      </c>
      <c r="H1105" s="23" t="s">
        <v>40</v>
      </c>
      <c r="I1105" s="23" t="s">
        <v>93</v>
      </c>
      <c r="J1105" s="97">
        <f t="shared" si="385"/>
        <v>45869</v>
      </c>
      <c r="K1105" s="4">
        <v>45897</v>
      </c>
      <c r="L1105" s="19">
        <f t="shared" si="365"/>
        <v>-28</v>
      </c>
      <c r="M1105" s="5">
        <f t="shared" si="386"/>
        <v>45880</v>
      </c>
      <c r="N1105" s="4">
        <v>45915</v>
      </c>
      <c r="O1105" s="19">
        <f t="shared" si="344"/>
        <v>-35</v>
      </c>
      <c r="P1105" s="5">
        <f t="shared" si="384"/>
        <v>45895</v>
      </c>
      <c r="R1105" s="19" t="str">
        <f t="shared" si="345"/>
        <v/>
      </c>
      <c r="S1105" s="5">
        <f t="shared" si="391"/>
        <v>45900</v>
      </c>
      <c r="T1105" s="4">
        <v>45915</v>
      </c>
      <c r="U1105" s="19">
        <f t="shared" si="346"/>
        <v>-15</v>
      </c>
      <c r="V1105" s="5">
        <f t="shared" si="387"/>
        <v>45939</v>
      </c>
      <c r="W1105" s="6">
        <v>45925</v>
      </c>
      <c r="X1105" s="19">
        <f t="shared" si="347"/>
        <v>14</v>
      </c>
      <c r="Y1105" s="51">
        <f t="shared" si="382"/>
        <v>45967</v>
      </c>
      <c r="Z1105" s="4">
        <v>45939</v>
      </c>
      <c r="AA1105" s="49">
        <f t="shared" si="348"/>
        <v>28</v>
      </c>
      <c r="AB1105" s="51">
        <f t="shared" si="388"/>
        <v>45969</v>
      </c>
      <c r="AC1105" s="49">
        <f t="shared" si="389"/>
        <v>30</v>
      </c>
      <c r="AD1105" s="43">
        <f t="shared" si="390"/>
        <v>45969</v>
      </c>
      <c r="AE1105" s="4">
        <v>45939</v>
      </c>
      <c r="AF1105" s="19">
        <f t="shared" si="383"/>
        <v>30</v>
      </c>
      <c r="AG1105" s="10"/>
      <c r="AH1105" s="1"/>
      <c r="AI1105" s="1"/>
      <c r="AJ1105" s="1"/>
      <c r="AK1105" s="1"/>
      <c r="AL1105" s="1"/>
    </row>
    <row r="1106" spans="1:38" ht="14.45">
      <c r="A1106" s="156">
        <v>1105</v>
      </c>
      <c r="B1106" s="59">
        <v>45970</v>
      </c>
      <c r="C1106" s="34" t="s">
        <v>2338</v>
      </c>
      <c r="D1106" s="23" t="s">
        <v>38</v>
      </c>
      <c r="E1106" s="23">
        <v>1572.84</v>
      </c>
      <c r="F1106" s="23" t="s">
        <v>68</v>
      </c>
      <c r="G1106" s="14" t="s">
        <v>190</v>
      </c>
      <c r="H1106" s="23" t="s">
        <v>40</v>
      </c>
      <c r="I1106" s="23" t="s">
        <v>41</v>
      </c>
      <c r="J1106" s="97">
        <f t="shared" si="385"/>
        <v>45870</v>
      </c>
      <c r="K1106" s="4">
        <v>45931</v>
      </c>
      <c r="L1106" s="19">
        <f t="shared" si="365"/>
        <v>-61</v>
      </c>
      <c r="M1106" s="5">
        <f t="shared" si="386"/>
        <v>45881</v>
      </c>
      <c r="N1106" s="4">
        <v>45953</v>
      </c>
      <c r="O1106" s="19">
        <f t="shared" si="344"/>
        <v>-72</v>
      </c>
      <c r="P1106" s="5">
        <f t="shared" si="384"/>
        <v>45896</v>
      </c>
      <c r="Q1106" s="4">
        <v>45954</v>
      </c>
      <c r="R1106" s="19">
        <f t="shared" si="345"/>
        <v>-58</v>
      </c>
      <c r="S1106" s="5">
        <f t="shared" si="391"/>
        <v>45901</v>
      </c>
      <c r="T1106" s="4">
        <v>45954</v>
      </c>
      <c r="U1106" s="19">
        <f t="shared" si="346"/>
        <v>-53</v>
      </c>
      <c r="V1106" s="5">
        <f t="shared" si="387"/>
        <v>45940</v>
      </c>
      <c r="W1106" s="4">
        <v>45940</v>
      </c>
      <c r="X1106" s="19">
        <f t="shared" si="347"/>
        <v>0</v>
      </c>
      <c r="Y1106" s="51">
        <f t="shared" si="382"/>
        <v>45968</v>
      </c>
      <c r="Z1106" s="4">
        <v>45954</v>
      </c>
      <c r="AA1106" s="49">
        <f t="shared" si="348"/>
        <v>14</v>
      </c>
      <c r="AB1106" s="51">
        <f t="shared" si="388"/>
        <v>45970</v>
      </c>
      <c r="AC1106" s="49">
        <f t="shared" si="389"/>
        <v>16</v>
      </c>
      <c r="AD1106" s="43">
        <f t="shared" si="390"/>
        <v>45970</v>
      </c>
      <c r="AF1106" s="19" t="str">
        <f t="shared" si="383"/>
        <v/>
      </c>
      <c r="AG1106" s="10"/>
      <c r="AH1106" s="1"/>
      <c r="AI1106" s="1"/>
      <c r="AJ1106" s="1"/>
      <c r="AK1106" s="1"/>
      <c r="AL1106" s="1"/>
    </row>
    <row r="1107" spans="1:38" s="9" customFormat="1" ht="14.45">
      <c r="A1107" s="157">
        <v>1106</v>
      </c>
      <c r="B1107" s="60">
        <v>45970</v>
      </c>
      <c r="C1107" s="41" t="s">
        <v>2339</v>
      </c>
      <c r="D1107" s="24" t="s">
        <v>38</v>
      </c>
      <c r="E1107" s="24">
        <v>293.7</v>
      </c>
      <c r="F1107" s="24" t="s">
        <v>71</v>
      </c>
      <c r="G1107" s="16" t="s">
        <v>190</v>
      </c>
      <c r="H1107" s="24" t="s">
        <v>40</v>
      </c>
      <c r="I1107" s="24" t="s">
        <v>41</v>
      </c>
      <c r="J1107" s="98">
        <f t="shared" si="385"/>
        <v>45870</v>
      </c>
      <c r="K1107" s="7">
        <v>45931</v>
      </c>
      <c r="L1107" s="99">
        <f t="shared" si="365"/>
        <v>-61</v>
      </c>
      <c r="M1107" s="20">
        <f t="shared" si="386"/>
        <v>45881</v>
      </c>
      <c r="N1107" s="7">
        <v>45953</v>
      </c>
      <c r="O1107" s="99">
        <f t="shared" si="344"/>
        <v>-72</v>
      </c>
      <c r="P1107" s="20">
        <f t="shared" si="384"/>
        <v>45896</v>
      </c>
      <c r="Q1107" s="7">
        <v>45954</v>
      </c>
      <c r="R1107" s="99">
        <f t="shared" si="345"/>
        <v>-58</v>
      </c>
      <c r="S1107" s="20">
        <f t="shared" si="391"/>
        <v>45901</v>
      </c>
      <c r="T1107" s="7">
        <v>45954</v>
      </c>
      <c r="U1107" s="99">
        <f t="shared" si="346"/>
        <v>-53</v>
      </c>
      <c r="V1107" s="20">
        <f t="shared" si="387"/>
        <v>45940</v>
      </c>
      <c r="W1107" s="7">
        <v>45940</v>
      </c>
      <c r="X1107" s="99">
        <f t="shared" si="347"/>
        <v>0</v>
      </c>
      <c r="Y1107" s="66">
        <f t="shared" si="382"/>
        <v>45968</v>
      </c>
      <c r="Z1107" s="7">
        <v>45954</v>
      </c>
      <c r="AA1107" s="50">
        <f t="shared" si="348"/>
        <v>14</v>
      </c>
      <c r="AB1107" s="51">
        <f t="shared" si="388"/>
        <v>45970</v>
      </c>
      <c r="AC1107" s="49">
        <f t="shared" si="389"/>
        <v>16</v>
      </c>
      <c r="AD1107" s="100">
        <f t="shared" si="390"/>
        <v>45970</v>
      </c>
      <c r="AE1107" s="7">
        <v>45954</v>
      </c>
      <c r="AF1107" s="99">
        <f t="shared" ref="AF1107" si="392">IF(OR(AD1107="", AE1107=""), "", AD1107-AE1107)</f>
        <v>16</v>
      </c>
      <c r="AG1107" s="36" t="s">
        <v>1479</v>
      </c>
      <c r="AH1107" s="1"/>
      <c r="AI1107" s="48"/>
      <c r="AJ1107" s="48"/>
      <c r="AK1107" s="48"/>
      <c r="AL1107" s="48"/>
    </row>
    <row r="1108" spans="1:38" ht="14.45">
      <c r="A1108" s="156">
        <v>1107</v>
      </c>
      <c r="B1108" s="59">
        <v>45970</v>
      </c>
      <c r="C1108" s="34" t="s">
        <v>2340</v>
      </c>
      <c r="D1108" s="23" t="s">
        <v>2341</v>
      </c>
      <c r="E1108" s="23">
        <v>20696.599999999999</v>
      </c>
      <c r="F1108" s="23" t="s">
        <v>2342</v>
      </c>
      <c r="G1108" s="14" t="s">
        <v>35</v>
      </c>
      <c r="H1108" s="23" t="s">
        <v>40</v>
      </c>
      <c r="I1108" s="23" t="s">
        <v>93</v>
      </c>
      <c r="J1108" s="97">
        <f t="shared" si="385"/>
        <v>45870</v>
      </c>
      <c r="L1108" s="19" t="str">
        <f t="shared" si="365"/>
        <v/>
      </c>
      <c r="M1108" s="5">
        <f t="shared" si="386"/>
        <v>45881</v>
      </c>
      <c r="O1108" s="19" t="str">
        <f t="shared" ref="O1108:O1178" si="393">IF(OR(M1108="", N1108=""), "", M1108-N1108)</f>
        <v/>
      </c>
      <c r="P1108" s="5">
        <f t="shared" si="384"/>
        <v>45896</v>
      </c>
      <c r="R1108" s="19" t="str">
        <f t="shared" ref="R1108:R1178" si="394">IF(OR(P1108="", Q1108=""), "", P1108-Q1108)</f>
        <v/>
      </c>
      <c r="S1108" s="5">
        <f t="shared" si="391"/>
        <v>45901</v>
      </c>
      <c r="T1108" s="4">
        <v>45938</v>
      </c>
      <c r="U1108" s="19">
        <f t="shared" ref="U1108:U1178" si="395">IF(OR(S1108="", T1108=""), "", S1108-T1108)</f>
        <v>-37</v>
      </c>
      <c r="V1108" s="5">
        <f t="shared" si="387"/>
        <v>45940</v>
      </c>
      <c r="W1108" s="6">
        <v>45947</v>
      </c>
      <c r="X1108" s="19">
        <f t="shared" ref="X1108:X1178" si="396">IF(OR(V1108="", W1108=""), "", V1108-W1108)</f>
        <v>-7</v>
      </c>
      <c r="Y1108" s="51">
        <f t="shared" si="382"/>
        <v>45968</v>
      </c>
      <c r="Z1108" s="51"/>
      <c r="AA1108" s="49" t="str">
        <f t="shared" ref="AA1108:AA1178" si="397">IF(OR(Y1108="", Z1108=""), "", Y1108-Z1108)</f>
        <v/>
      </c>
      <c r="AB1108" s="51">
        <f t="shared" si="388"/>
        <v>45970</v>
      </c>
      <c r="AC1108" s="49" t="str">
        <f t="shared" si="389"/>
        <v/>
      </c>
      <c r="AD1108" s="43">
        <f t="shared" si="390"/>
        <v>45970</v>
      </c>
      <c r="AF1108" s="19" t="str">
        <f t="shared" si="383"/>
        <v/>
      </c>
      <c r="AG1108" s="10"/>
      <c r="AH1108" s="1"/>
      <c r="AI1108" s="1"/>
      <c r="AJ1108" s="1"/>
      <c r="AK1108" s="1"/>
      <c r="AL1108" s="1"/>
    </row>
    <row r="1109" spans="1:38" ht="14.45">
      <c r="A1109" s="156">
        <v>1108</v>
      </c>
      <c r="B1109" s="59">
        <v>45971</v>
      </c>
      <c r="C1109" s="34" t="s">
        <v>2343</v>
      </c>
      <c r="D1109" s="23" t="s">
        <v>1276</v>
      </c>
      <c r="E1109" s="23">
        <v>230000</v>
      </c>
      <c r="F1109" s="23" t="s">
        <v>2344</v>
      </c>
      <c r="G1109" s="14" t="s">
        <v>190</v>
      </c>
      <c r="H1109" s="23" t="s">
        <v>36</v>
      </c>
      <c r="I1109" s="23" t="s">
        <v>62</v>
      </c>
      <c r="J1109" s="97">
        <f t="shared" si="385"/>
        <v>45871</v>
      </c>
      <c r="K1109" s="4">
        <v>45873</v>
      </c>
      <c r="L1109" s="19">
        <f t="shared" si="365"/>
        <v>-2</v>
      </c>
      <c r="M1109" s="5">
        <f t="shared" si="386"/>
        <v>45882</v>
      </c>
      <c r="N1109" s="4">
        <v>45887</v>
      </c>
      <c r="O1109" s="19">
        <f t="shared" si="393"/>
        <v>-5</v>
      </c>
      <c r="P1109" s="5">
        <f t="shared" si="384"/>
        <v>45897</v>
      </c>
      <c r="Q1109" s="4">
        <v>45887</v>
      </c>
      <c r="R1109" s="19">
        <f t="shared" si="394"/>
        <v>10</v>
      </c>
      <c r="S1109" s="5">
        <f t="shared" si="391"/>
        <v>45902</v>
      </c>
      <c r="T1109" s="4">
        <v>45905</v>
      </c>
      <c r="U1109" s="19">
        <f t="shared" si="395"/>
        <v>-3</v>
      </c>
      <c r="V1109" s="5">
        <f t="shared" si="387"/>
        <v>45941</v>
      </c>
      <c r="W1109" s="6">
        <v>45938</v>
      </c>
      <c r="X1109" s="19">
        <f t="shared" si="396"/>
        <v>3</v>
      </c>
      <c r="Y1109" s="51">
        <f t="shared" si="382"/>
        <v>45969</v>
      </c>
      <c r="Z1109" s="49"/>
      <c r="AA1109" s="49" t="str">
        <f t="shared" si="397"/>
        <v/>
      </c>
      <c r="AB1109" s="51">
        <f t="shared" si="388"/>
        <v>45971</v>
      </c>
      <c r="AC1109" s="49" t="str">
        <f t="shared" si="389"/>
        <v/>
      </c>
      <c r="AD1109" s="43">
        <f t="shared" si="390"/>
        <v>45971</v>
      </c>
      <c r="AF1109" s="19" t="str">
        <f t="shared" si="383"/>
        <v/>
      </c>
      <c r="AG1109" s="10"/>
      <c r="AH1109" s="1"/>
      <c r="AI1109" s="1"/>
      <c r="AJ1109" s="1"/>
      <c r="AK1109" s="1"/>
      <c r="AL1109" s="1"/>
    </row>
    <row r="1110" spans="1:38" ht="14.45">
      <c r="A1110" s="156">
        <v>1109</v>
      </c>
      <c r="B1110" s="59">
        <v>45972</v>
      </c>
      <c r="C1110" s="34" t="s">
        <v>2345</v>
      </c>
      <c r="D1110" s="23" t="s">
        <v>38</v>
      </c>
      <c r="E1110" s="23">
        <v>1140.8900000000001</v>
      </c>
      <c r="F1110" s="23" t="s">
        <v>2346</v>
      </c>
      <c r="G1110" s="14" t="s">
        <v>190</v>
      </c>
      <c r="H1110" s="23" t="s">
        <v>40</v>
      </c>
      <c r="I1110" s="23" t="s">
        <v>41</v>
      </c>
      <c r="J1110" s="97">
        <f t="shared" si="385"/>
        <v>45872</v>
      </c>
      <c r="K1110" s="4">
        <v>45931</v>
      </c>
      <c r="L1110" s="19">
        <f t="shared" si="365"/>
        <v>-59</v>
      </c>
      <c r="M1110" s="5">
        <f t="shared" si="386"/>
        <v>45883</v>
      </c>
      <c r="N1110" s="4">
        <v>45953</v>
      </c>
      <c r="O1110" s="19">
        <f t="shared" si="393"/>
        <v>-70</v>
      </c>
      <c r="P1110" s="5">
        <f t="shared" si="384"/>
        <v>45898</v>
      </c>
      <c r="Q1110" s="4">
        <v>45954</v>
      </c>
      <c r="R1110" s="19">
        <f t="shared" si="394"/>
        <v>-56</v>
      </c>
      <c r="S1110" s="5">
        <f t="shared" si="391"/>
        <v>45903</v>
      </c>
      <c r="T1110" s="4">
        <v>45954</v>
      </c>
      <c r="U1110" s="19">
        <f t="shared" si="395"/>
        <v>-51</v>
      </c>
      <c r="V1110" s="5">
        <f t="shared" si="387"/>
        <v>45942</v>
      </c>
      <c r="W1110" s="4">
        <v>45942</v>
      </c>
      <c r="X1110" s="19">
        <f t="shared" si="396"/>
        <v>0</v>
      </c>
      <c r="Y1110" s="51">
        <f t="shared" si="382"/>
        <v>45970</v>
      </c>
      <c r="Z1110" s="4">
        <v>45954</v>
      </c>
      <c r="AA1110" s="49">
        <f t="shared" si="397"/>
        <v>16</v>
      </c>
      <c r="AB1110" s="51">
        <f t="shared" si="388"/>
        <v>45972</v>
      </c>
      <c r="AC1110" s="49">
        <f t="shared" si="389"/>
        <v>18</v>
      </c>
      <c r="AD1110" s="43">
        <f t="shared" si="390"/>
        <v>45972</v>
      </c>
      <c r="AF1110" s="19" t="str">
        <f t="shared" si="383"/>
        <v/>
      </c>
      <c r="AG1110" s="10"/>
      <c r="AH1110" s="1"/>
      <c r="AI1110" s="1"/>
      <c r="AJ1110" s="1"/>
      <c r="AK1110" s="1"/>
      <c r="AL1110" s="1"/>
    </row>
    <row r="1111" spans="1:38" ht="14.45">
      <c r="A1111" s="156">
        <v>1110</v>
      </c>
      <c r="B1111" s="59">
        <v>45972</v>
      </c>
      <c r="C1111" s="34" t="s">
        <v>2347</v>
      </c>
      <c r="D1111" s="23" t="s">
        <v>74</v>
      </c>
      <c r="E1111" s="23">
        <v>903.1</v>
      </c>
      <c r="F1111" s="23" t="s">
        <v>2348</v>
      </c>
      <c r="G1111" s="14" t="s">
        <v>35</v>
      </c>
      <c r="H1111" s="23" t="s">
        <v>40</v>
      </c>
      <c r="I1111" s="23" t="s">
        <v>41</v>
      </c>
      <c r="J1111" s="97">
        <f t="shared" si="385"/>
        <v>45872</v>
      </c>
      <c r="L1111" s="19" t="str">
        <f t="shared" si="365"/>
        <v/>
      </c>
      <c r="M1111" s="5">
        <f t="shared" si="386"/>
        <v>45883</v>
      </c>
      <c r="O1111" s="19" t="str">
        <f t="shared" si="393"/>
        <v/>
      </c>
      <c r="P1111" s="5">
        <f t="shared" si="384"/>
        <v>45898</v>
      </c>
      <c r="R1111" s="19" t="str">
        <f t="shared" si="394"/>
        <v/>
      </c>
      <c r="S1111" s="5">
        <f t="shared" si="391"/>
        <v>45903</v>
      </c>
      <c r="T1111" s="4">
        <v>45939</v>
      </c>
      <c r="U1111" s="19">
        <f t="shared" si="395"/>
        <v>-36</v>
      </c>
      <c r="V1111" s="5">
        <f t="shared" si="387"/>
        <v>45942</v>
      </c>
      <c r="W1111" s="6">
        <v>45944</v>
      </c>
      <c r="X1111" s="19">
        <f t="shared" si="396"/>
        <v>-2</v>
      </c>
      <c r="Y1111" s="51">
        <f t="shared" si="382"/>
        <v>45970</v>
      </c>
      <c r="Z1111" s="51"/>
      <c r="AA1111" s="49" t="str">
        <f t="shared" si="397"/>
        <v/>
      </c>
      <c r="AB1111" s="51">
        <f t="shared" si="388"/>
        <v>45972</v>
      </c>
      <c r="AC1111" s="49" t="str">
        <f t="shared" si="389"/>
        <v/>
      </c>
      <c r="AD1111" s="43">
        <f t="shared" si="390"/>
        <v>45972</v>
      </c>
      <c r="AF1111" s="19" t="str">
        <f t="shared" si="383"/>
        <v/>
      </c>
      <c r="AG1111" s="10"/>
      <c r="AH1111" s="1"/>
      <c r="AI1111" s="1"/>
      <c r="AJ1111" s="1"/>
      <c r="AK1111" s="1"/>
      <c r="AL1111" s="1"/>
    </row>
    <row r="1112" spans="1:38" ht="14.45">
      <c r="A1112" s="156">
        <v>1111</v>
      </c>
      <c r="B1112" s="59">
        <v>45972</v>
      </c>
      <c r="C1112" s="34" t="s">
        <v>2349</v>
      </c>
      <c r="D1112" s="23" t="s">
        <v>2173</v>
      </c>
      <c r="E1112" s="23">
        <v>710.88</v>
      </c>
      <c r="F1112" s="23" t="s">
        <v>2350</v>
      </c>
      <c r="G1112" s="14" t="s">
        <v>128</v>
      </c>
      <c r="H1112" s="23" t="s">
        <v>40</v>
      </c>
      <c r="I1112" s="23" t="s">
        <v>41</v>
      </c>
      <c r="J1112" s="97">
        <f t="shared" si="385"/>
        <v>45872</v>
      </c>
      <c r="K1112" s="4">
        <v>45897</v>
      </c>
      <c r="L1112" s="19">
        <f t="shared" si="365"/>
        <v>-25</v>
      </c>
      <c r="M1112" s="5">
        <f t="shared" si="386"/>
        <v>45883</v>
      </c>
      <c r="N1112" s="4">
        <v>45915</v>
      </c>
      <c r="O1112" s="19">
        <f t="shared" si="393"/>
        <v>-32</v>
      </c>
      <c r="P1112" s="5">
        <f t="shared" si="384"/>
        <v>45898</v>
      </c>
      <c r="R1112" s="19" t="str">
        <f t="shared" si="394"/>
        <v/>
      </c>
      <c r="S1112" s="5">
        <f t="shared" si="391"/>
        <v>45903</v>
      </c>
      <c r="T1112" s="4">
        <v>45915</v>
      </c>
      <c r="U1112" s="19">
        <f t="shared" si="395"/>
        <v>-12</v>
      </c>
      <c r="V1112" s="5">
        <f t="shared" si="387"/>
        <v>45942</v>
      </c>
      <c r="W1112" s="6">
        <v>45922</v>
      </c>
      <c r="X1112" s="19">
        <f t="shared" si="396"/>
        <v>20</v>
      </c>
      <c r="Y1112" s="51">
        <f t="shared" si="382"/>
        <v>45970</v>
      </c>
      <c r="Z1112" s="49"/>
      <c r="AA1112" s="49" t="str">
        <f t="shared" si="397"/>
        <v/>
      </c>
      <c r="AB1112" s="51">
        <f t="shared" si="388"/>
        <v>45972</v>
      </c>
      <c r="AC1112" s="49" t="str">
        <f t="shared" si="389"/>
        <v/>
      </c>
      <c r="AD1112" s="43">
        <f t="shared" si="390"/>
        <v>45972</v>
      </c>
      <c r="AF1112" s="19" t="str">
        <f t="shared" si="383"/>
        <v/>
      </c>
      <c r="AG1112" s="10"/>
      <c r="AH1112" s="1"/>
      <c r="AI1112" s="1"/>
      <c r="AJ1112" s="1"/>
      <c r="AK1112" s="1"/>
      <c r="AL1112" s="1"/>
    </row>
    <row r="1113" spans="1:38" ht="14.45">
      <c r="A1113" s="156">
        <v>1112</v>
      </c>
      <c r="B1113" s="59">
        <v>45974</v>
      </c>
      <c r="C1113" s="34" t="s">
        <v>2351</v>
      </c>
      <c r="D1113" s="23" t="s">
        <v>38</v>
      </c>
      <c r="E1113" s="23">
        <v>329.03</v>
      </c>
      <c r="F1113" s="23" t="s">
        <v>82</v>
      </c>
      <c r="G1113" s="14" t="s">
        <v>190</v>
      </c>
      <c r="H1113" s="23" t="s">
        <v>40</v>
      </c>
      <c r="I1113" s="23" t="s">
        <v>41</v>
      </c>
      <c r="J1113" s="97">
        <f t="shared" si="385"/>
        <v>45874</v>
      </c>
      <c r="K1113" s="4">
        <v>45931</v>
      </c>
      <c r="L1113" s="19">
        <f t="shared" si="365"/>
        <v>-57</v>
      </c>
      <c r="M1113" s="5">
        <f t="shared" si="386"/>
        <v>45885</v>
      </c>
      <c r="N1113" s="4">
        <v>45953</v>
      </c>
      <c r="O1113" s="19">
        <f t="shared" si="393"/>
        <v>-68</v>
      </c>
      <c r="P1113" s="5">
        <f t="shared" si="384"/>
        <v>45900</v>
      </c>
      <c r="Q1113" s="4">
        <v>45954</v>
      </c>
      <c r="R1113" s="19">
        <f t="shared" si="394"/>
        <v>-54</v>
      </c>
      <c r="S1113" s="5">
        <f t="shared" si="391"/>
        <v>45905</v>
      </c>
      <c r="T1113" s="4">
        <v>45954</v>
      </c>
      <c r="U1113" s="19">
        <f t="shared" si="395"/>
        <v>-49</v>
      </c>
      <c r="V1113" s="5">
        <f t="shared" si="387"/>
        <v>45944</v>
      </c>
      <c r="W1113" s="4">
        <v>45944</v>
      </c>
      <c r="X1113" s="19">
        <f t="shared" si="396"/>
        <v>0</v>
      </c>
      <c r="Y1113" s="51">
        <f t="shared" si="382"/>
        <v>45972</v>
      </c>
      <c r="Z1113" s="4">
        <v>45954</v>
      </c>
      <c r="AA1113" s="49">
        <f t="shared" si="397"/>
        <v>18</v>
      </c>
      <c r="AB1113" s="51">
        <f t="shared" si="388"/>
        <v>45974</v>
      </c>
      <c r="AC1113" s="49">
        <f t="shared" si="389"/>
        <v>20</v>
      </c>
      <c r="AD1113" s="43">
        <f t="shared" si="390"/>
        <v>45974</v>
      </c>
      <c r="AF1113" s="19" t="str">
        <f t="shared" si="383"/>
        <v/>
      </c>
      <c r="AG1113" s="10"/>
      <c r="AH1113" s="1"/>
      <c r="AI1113" s="1"/>
      <c r="AJ1113" s="1"/>
      <c r="AK1113" s="1"/>
      <c r="AL1113" s="1"/>
    </row>
    <row r="1114" spans="1:38" ht="14.45">
      <c r="A1114" s="156">
        <v>1113</v>
      </c>
      <c r="B1114" s="59">
        <v>45974</v>
      </c>
      <c r="C1114" s="35" t="s">
        <v>2352</v>
      </c>
      <c r="D1114" s="23" t="s">
        <v>38</v>
      </c>
      <c r="E1114" s="23">
        <v>61.12</v>
      </c>
      <c r="F1114" s="35" t="s">
        <v>2353</v>
      </c>
      <c r="G1114" s="14" t="s">
        <v>190</v>
      </c>
      <c r="H1114" s="23" t="s">
        <v>40</v>
      </c>
      <c r="I1114" s="23" t="s">
        <v>41</v>
      </c>
      <c r="J1114" s="97">
        <f t="shared" ref="J1114" si="398">B1114-100</f>
        <v>45874</v>
      </c>
      <c r="K1114" s="4">
        <v>45931</v>
      </c>
      <c r="L1114" s="19">
        <f t="shared" ref="L1114" si="399">IF(OR(J1114="", K1114=""), "", J1114-K1114)</f>
        <v>-57</v>
      </c>
      <c r="M1114" s="5">
        <f t="shared" ref="M1114" si="400">B1114-89</f>
        <v>45885</v>
      </c>
      <c r="N1114" s="4">
        <v>45953</v>
      </c>
      <c r="O1114" s="19">
        <f t="shared" ref="O1114" si="401">IF(OR(M1114="", N1114=""), "", M1114-N1114)</f>
        <v>-68</v>
      </c>
      <c r="P1114" s="5">
        <f t="shared" ref="P1114" si="402">B1114-74</f>
        <v>45900</v>
      </c>
      <c r="Q1114" s="4">
        <v>45954</v>
      </c>
      <c r="R1114" s="19">
        <f t="shared" ref="R1114" si="403">IF(OR(P1114="", Q1114=""), "", P1114-Q1114)</f>
        <v>-54</v>
      </c>
      <c r="S1114" s="5">
        <f t="shared" ref="S1114" si="404">B1114-69</f>
        <v>45905</v>
      </c>
      <c r="T1114" s="4">
        <v>45954</v>
      </c>
      <c r="U1114" s="19">
        <f t="shared" ref="U1114" si="405">IF(OR(S1114="", T1114=""), "", S1114-T1114)</f>
        <v>-49</v>
      </c>
      <c r="V1114" s="5">
        <f t="shared" ref="V1114" si="406">B1114-30</f>
        <v>45944</v>
      </c>
      <c r="W1114" s="4">
        <v>45944</v>
      </c>
      <c r="X1114" s="19">
        <f t="shared" ref="X1114" si="407">IF(OR(V1114="", W1114=""), "", V1114-W1114)</f>
        <v>0</v>
      </c>
      <c r="Y1114" s="51">
        <f t="shared" ref="Y1114" si="408">B1114-2</f>
        <v>45972</v>
      </c>
      <c r="Z1114" s="4">
        <v>45954</v>
      </c>
      <c r="AA1114" s="49">
        <f t="shared" ref="AA1114" si="409">IF(OR(Y1114="", Z1114=""), "", Y1114-Z1114)</f>
        <v>18</v>
      </c>
      <c r="AB1114" s="43" t="e">
        <f t="shared" ref="AB1114" si="410">IF(#REF!&lt;&gt;"",#REF!, "")</f>
        <v>#REF!</v>
      </c>
      <c r="AC1114" s="49"/>
      <c r="AD1114" s="43">
        <f t="shared" si="390"/>
        <v>45974</v>
      </c>
      <c r="AG1114" s="10"/>
      <c r="AH1114" s="1"/>
      <c r="AI1114" s="1"/>
      <c r="AJ1114" s="1"/>
      <c r="AK1114" s="1"/>
      <c r="AL1114" s="1"/>
    </row>
    <row r="1115" spans="1:38" ht="14.45">
      <c r="A1115" s="156">
        <v>1114</v>
      </c>
      <c r="B1115" s="59">
        <v>45974</v>
      </c>
      <c r="C1115" s="34" t="s">
        <v>2354</v>
      </c>
      <c r="D1115" s="23" t="s">
        <v>38</v>
      </c>
      <c r="E1115" s="23">
        <v>473.27</v>
      </c>
      <c r="F1115" s="23" t="s">
        <v>81</v>
      </c>
      <c r="G1115" s="14" t="s">
        <v>190</v>
      </c>
      <c r="H1115" s="23" t="s">
        <v>40</v>
      </c>
      <c r="I1115" s="23" t="s">
        <v>41</v>
      </c>
      <c r="J1115" s="97">
        <f t="shared" si="385"/>
        <v>45874</v>
      </c>
      <c r="K1115" s="4">
        <v>45931</v>
      </c>
      <c r="L1115" s="19">
        <f t="shared" si="365"/>
        <v>-57</v>
      </c>
      <c r="M1115" s="5">
        <f t="shared" si="386"/>
        <v>45885</v>
      </c>
      <c r="N1115" s="4">
        <v>45953</v>
      </c>
      <c r="O1115" s="19">
        <f t="shared" si="393"/>
        <v>-68</v>
      </c>
      <c r="P1115" s="5">
        <f t="shared" si="384"/>
        <v>45900</v>
      </c>
      <c r="Q1115" s="4">
        <v>45954</v>
      </c>
      <c r="R1115" s="19">
        <f t="shared" si="394"/>
        <v>-54</v>
      </c>
      <c r="S1115" s="5">
        <f t="shared" si="391"/>
        <v>45905</v>
      </c>
      <c r="T1115" s="4">
        <v>45954</v>
      </c>
      <c r="U1115" s="19">
        <f t="shared" si="395"/>
        <v>-49</v>
      </c>
      <c r="V1115" s="5">
        <f t="shared" si="387"/>
        <v>45944</v>
      </c>
      <c r="W1115" s="4">
        <v>45944</v>
      </c>
      <c r="X1115" s="19">
        <f t="shared" si="396"/>
        <v>0</v>
      </c>
      <c r="Y1115" s="51">
        <f t="shared" si="382"/>
        <v>45972</v>
      </c>
      <c r="Z1115" s="4">
        <v>45954</v>
      </c>
      <c r="AA1115" s="49">
        <f t="shared" si="397"/>
        <v>18</v>
      </c>
      <c r="AB1115" s="51">
        <f t="shared" si="388"/>
        <v>45974</v>
      </c>
      <c r="AC1115" s="49">
        <f t="shared" si="389"/>
        <v>20</v>
      </c>
      <c r="AD1115" s="43">
        <f t="shared" si="390"/>
        <v>45974</v>
      </c>
      <c r="AF1115" s="19" t="str">
        <f t="shared" si="383"/>
        <v/>
      </c>
      <c r="AG1115" s="10"/>
      <c r="AH1115" s="1"/>
      <c r="AI1115" s="1"/>
      <c r="AJ1115" s="1"/>
      <c r="AK1115" s="1"/>
      <c r="AL1115" s="1"/>
    </row>
    <row r="1116" spans="1:38" ht="14.45">
      <c r="A1116" s="156">
        <v>1115</v>
      </c>
      <c r="B1116" s="59">
        <v>45975</v>
      </c>
      <c r="C1116" s="34" t="s">
        <v>2355</v>
      </c>
      <c r="D1116" s="23" t="s">
        <v>38</v>
      </c>
      <c r="E1116" s="23">
        <v>914.03</v>
      </c>
      <c r="F1116" s="23" t="s">
        <v>83</v>
      </c>
      <c r="G1116" s="14" t="s">
        <v>190</v>
      </c>
      <c r="H1116" s="23" t="s">
        <v>40</v>
      </c>
      <c r="I1116" s="23" t="s">
        <v>41</v>
      </c>
      <c r="J1116" s="97">
        <f t="shared" si="385"/>
        <v>45875</v>
      </c>
      <c r="K1116" s="4">
        <v>45931</v>
      </c>
      <c r="L1116" s="19">
        <f t="shared" si="365"/>
        <v>-56</v>
      </c>
      <c r="M1116" s="5">
        <f t="shared" si="386"/>
        <v>45886</v>
      </c>
      <c r="N1116" s="4">
        <v>45953</v>
      </c>
      <c r="O1116" s="19">
        <f t="shared" si="393"/>
        <v>-67</v>
      </c>
      <c r="P1116" s="5">
        <f t="shared" si="384"/>
        <v>45901</v>
      </c>
      <c r="Q1116" s="4">
        <v>45954</v>
      </c>
      <c r="R1116" s="19">
        <f t="shared" si="394"/>
        <v>-53</v>
      </c>
      <c r="S1116" s="5">
        <f t="shared" si="391"/>
        <v>45906</v>
      </c>
      <c r="T1116" s="4">
        <v>45954</v>
      </c>
      <c r="U1116" s="19">
        <f t="shared" si="395"/>
        <v>-48</v>
      </c>
      <c r="V1116" s="5">
        <f t="shared" si="387"/>
        <v>45945</v>
      </c>
      <c r="W1116" s="4">
        <v>45945</v>
      </c>
      <c r="X1116" s="19">
        <f t="shared" si="396"/>
        <v>0</v>
      </c>
      <c r="Y1116" s="51">
        <f t="shared" si="382"/>
        <v>45973</v>
      </c>
      <c r="Z1116" s="4">
        <v>45954</v>
      </c>
      <c r="AA1116" s="49">
        <f t="shared" si="397"/>
        <v>19</v>
      </c>
      <c r="AB1116" s="51">
        <f t="shared" si="388"/>
        <v>45975</v>
      </c>
      <c r="AC1116" s="49">
        <f t="shared" si="389"/>
        <v>21</v>
      </c>
      <c r="AD1116" s="43">
        <f t="shared" si="390"/>
        <v>45975</v>
      </c>
      <c r="AF1116" s="19" t="str">
        <f t="shared" si="383"/>
        <v/>
      </c>
      <c r="AG1116" s="10"/>
      <c r="AH1116" s="1"/>
      <c r="AI1116" s="1"/>
      <c r="AJ1116" s="1"/>
      <c r="AK1116" s="1"/>
      <c r="AL1116" s="1"/>
    </row>
    <row r="1117" spans="1:38" ht="14.45">
      <c r="A1117" s="156">
        <v>1116</v>
      </c>
      <c r="B1117" s="59">
        <v>45975</v>
      </c>
      <c r="C1117" s="34" t="s">
        <v>2356</v>
      </c>
      <c r="D1117" s="23" t="s">
        <v>38</v>
      </c>
      <c r="E1117" s="23">
        <v>9954.15</v>
      </c>
      <c r="F1117" s="23" t="s">
        <v>84</v>
      </c>
      <c r="G1117" s="14" t="s">
        <v>190</v>
      </c>
      <c r="H1117" s="23" t="s">
        <v>40</v>
      </c>
      <c r="I1117" s="23" t="s">
        <v>41</v>
      </c>
      <c r="J1117" s="97">
        <f t="shared" si="385"/>
        <v>45875</v>
      </c>
      <c r="K1117" s="4">
        <v>45931</v>
      </c>
      <c r="L1117" s="19">
        <f t="shared" si="365"/>
        <v>-56</v>
      </c>
      <c r="M1117" s="5">
        <f t="shared" si="386"/>
        <v>45886</v>
      </c>
      <c r="N1117" s="4">
        <v>45953</v>
      </c>
      <c r="O1117" s="19">
        <f t="shared" si="393"/>
        <v>-67</v>
      </c>
      <c r="P1117" s="5">
        <f t="shared" si="384"/>
        <v>45901</v>
      </c>
      <c r="Q1117" s="4">
        <v>45954</v>
      </c>
      <c r="R1117" s="19">
        <f t="shared" si="394"/>
        <v>-53</v>
      </c>
      <c r="S1117" s="5">
        <f t="shared" si="391"/>
        <v>45906</v>
      </c>
      <c r="T1117" s="4">
        <v>45954</v>
      </c>
      <c r="U1117" s="19">
        <f t="shared" si="395"/>
        <v>-48</v>
      </c>
      <c r="V1117" s="5">
        <f t="shared" si="387"/>
        <v>45945</v>
      </c>
      <c r="W1117" s="4">
        <v>45945</v>
      </c>
      <c r="X1117" s="19">
        <f t="shared" si="396"/>
        <v>0</v>
      </c>
      <c r="Y1117" s="51">
        <f t="shared" si="382"/>
        <v>45973</v>
      </c>
      <c r="Z1117" s="4">
        <v>45954</v>
      </c>
      <c r="AA1117" s="49">
        <f t="shared" si="397"/>
        <v>19</v>
      </c>
      <c r="AB1117" s="51">
        <f t="shared" si="388"/>
        <v>45975</v>
      </c>
      <c r="AC1117" s="49">
        <f t="shared" si="389"/>
        <v>21</v>
      </c>
      <c r="AD1117" s="43">
        <f t="shared" si="390"/>
        <v>45975</v>
      </c>
      <c r="AF1117" s="19" t="str">
        <f t="shared" si="383"/>
        <v/>
      </c>
      <c r="AG1117" s="10"/>
      <c r="AH1117" s="1"/>
      <c r="AI1117" s="1"/>
      <c r="AJ1117" s="1"/>
      <c r="AK1117" s="1"/>
      <c r="AL1117" s="1"/>
    </row>
    <row r="1118" spans="1:38" ht="14.45">
      <c r="A1118" s="156">
        <v>1117</v>
      </c>
      <c r="B1118" s="59">
        <v>45976</v>
      </c>
      <c r="C1118" s="34" t="s">
        <v>2357</v>
      </c>
      <c r="D1118" s="23" t="s">
        <v>90</v>
      </c>
      <c r="E1118" s="23">
        <v>16158.65</v>
      </c>
      <c r="F1118" s="23" t="s">
        <v>91</v>
      </c>
      <c r="G1118" s="14" t="s">
        <v>120</v>
      </c>
      <c r="H1118" s="23" t="s">
        <v>40</v>
      </c>
      <c r="I1118" s="23" t="s">
        <v>93</v>
      </c>
      <c r="J1118" s="97">
        <f t="shared" si="385"/>
        <v>45876</v>
      </c>
      <c r="K1118" s="4">
        <v>45849</v>
      </c>
      <c r="L1118" s="19">
        <f t="shared" si="365"/>
        <v>27</v>
      </c>
      <c r="M1118" s="5">
        <f t="shared" si="386"/>
        <v>45887</v>
      </c>
      <c r="O1118" s="19" t="str">
        <f t="shared" si="393"/>
        <v/>
      </c>
      <c r="P1118" s="5">
        <f t="shared" si="384"/>
        <v>45902</v>
      </c>
      <c r="R1118" s="19" t="str">
        <f t="shared" si="394"/>
        <v/>
      </c>
      <c r="S1118" s="5">
        <f t="shared" si="391"/>
        <v>45907</v>
      </c>
      <c r="T1118" s="4">
        <v>45910</v>
      </c>
      <c r="U1118" s="19">
        <f t="shared" si="395"/>
        <v>-3</v>
      </c>
      <c r="V1118" s="5">
        <f t="shared" si="387"/>
        <v>45946</v>
      </c>
      <c r="W1118" s="6">
        <v>45944</v>
      </c>
      <c r="X1118" s="19">
        <f t="shared" si="396"/>
        <v>2</v>
      </c>
      <c r="Y1118" s="51">
        <f t="shared" si="382"/>
        <v>45974</v>
      </c>
      <c r="Z1118" s="49"/>
      <c r="AA1118" s="49" t="str">
        <f t="shared" si="397"/>
        <v/>
      </c>
      <c r="AB1118" s="51">
        <f t="shared" si="388"/>
        <v>45976</v>
      </c>
      <c r="AC1118" s="49" t="str">
        <f t="shared" si="389"/>
        <v/>
      </c>
      <c r="AD1118" s="43">
        <f t="shared" si="390"/>
        <v>45976</v>
      </c>
      <c r="AE1118" s="4">
        <v>45768</v>
      </c>
      <c r="AF1118" s="19">
        <f t="shared" si="383"/>
        <v>208</v>
      </c>
      <c r="AG1118" s="10"/>
      <c r="AH1118" s="1"/>
      <c r="AI1118" s="1"/>
      <c r="AJ1118" s="1"/>
      <c r="AK1118" s="1"/>
      <c r="AL1118" s="1"/>
    </row>
    <row r="1119" spans="1:38" ht="14.45">
      <c r="A1119" s="156">
        <v>1118</v>
      </c>
      <c r="B1119" s="59">
        <v>45976</v>
      </c>
      <c r="C1119" s="34" t="s">
        <v>2358</v>
      </c>
      <c r="D1119" s="23" t="s">
        <v>38</v>
      </c>
      <c r="E1119" s="23">
        <v>405.11</v>
      </c>
      <c r="F1119" s="23" t="s">
        <v>2359</v>
      </c>
      <c r="G1119" s="14" t="s">
        <v>190</v>
      </c>
      <c r="H1119" s="23" t="s">
        <v>40</v>
      </c>
      <c r="I1119" s="23" t="s">
        <v>41</v>
      </c>
      <c r="J1119" s="97">
        <f t="shared" si="385"/>
        <v>45876</v>
      </c>
      <c r="K1119" s="4">
        <v>45931</v>
      </c>
      <c r="L1119" s="19">
        <f t="shared" ref="L1119:L1187" si="411">IF(OR(J1119="", K1119=""), "", J1119-K1119)</f>
        <v>-55</v>
      </c>
      <c r="M1119" s="5">
        <f t="shared" si="386"/>
        <v>45887</v>
      </c>
      <c r="N1119" s="4">
        <v>45953</v>
      </c>
      <c r="O1119" s="19">
        <f t="shared" si="393"/>
        <v>-66</v>
      </c>
      <c r="P1119" s="5">
        <f t="shared" si="384"/>
        <v>45902</v>
      </c>
      <c r="Q1119" s="4">
        <v>45954</v>
      </c>
      <c r="R1119" s="19">
        <f t="shared" si="394"/>
        <v>-52</v>
      </c>
      <c r="S1119" s="5">
        <f t="shared" si="391"/>
        <v>45907</v>
      </c>
      <c r="T1119" s="4">
        <v>45954</v>
      </c>
      <c r="U1119" s="19">
        <f t="shared" si="395"/>
        <v>-47</v>
      </c>
      <c r="V1119" s="5">
        <f t="shared" si="387"/>
        <v>45946</v>
      </c>
      <c r="W1119" s="4">
        <v>45946</v>
      </c>
      <c r="X1119" s="19">
        <f t="shared" si="396"/>
        <v>0</v>
      </c>
      <c r="Y1119" s="51">
        <f t="shared" si="382"/>
        <v>45974</v>
      </c>
      <c r="Z1119" s="4">
        <v>45954</v>
      </c>
      <c r="AA1119" s="49">
        <f t="shared" si="397"/>
        <v>20</v>
      </c>
      <c r="AB1119" s="51">
        <f t="shared" si="388"/>
        <v>45976</v>
      </c>
      <c r="AC1119" s="49">
        <f t="shared" si="389"/>
        <v>22</v>
      </c>
      <c r="AD1119" s="43">
        <f t="shared" si="390"/>
        <v>45976</v>
      </c>
      <c r="AF1119" s="19" t="str">
        <f t="shared" si="383"/>
        <v/>
      </c>
      <c r="AG1119" s="10"/>
      <c r="AH1119" s="1"/>
      <c r="AI1119" s="1"/>
      <c r="AJ1119" s="1"/>
      <c r="AK1119" s="1"/>
      <c r="AL1119" s="1"/>
    </row>
    <row r="1120" spans="1:38" ht="14.45">
      <c r="A1120" s="156">
        <v>1119</v>
      </c>
      <c r="B1120" s="59">
        <v>45976</v>
      </c>
      <c r="C1120" s="34" t="s">
        <v>2360</v>
      </c>
      <c r="D1120" s="23" t="s">
        <v>38</v>
      </c>
      <c r="E1120" s="23">
        <v>6078.33</v>
      </c>
      <c r="F1120" s="23" t="s">
        <v>2361</v>
      </c>
      <c r="G1120" s="14" t="s">
        <v>190</v>
      </c>
      <c r="H1120" s="23" t="s">
        <v>40</v>
      </c>
      <c r="I1120" s="23" t="s">
        <v>41</v>
      </c>
      <c r="J1120" s="97">
        <f t="shared" si="385"/>
        <v>45876</v>
      </c>
      <c r="K1120" s="4">
        <v>45931</v>
      </c>
      <c r="L1120" s="19">
        <f t="shared" si="411"/>
        <v>-55</v>
      </c>
      <c r="M1120" s="5">
        <f t="shared" si="386"/>
        <v>45887</v>
      </c>
      <c r="N1120" s="4">
        <v>45953</v>
      </c>
      <c r="O1120" s="19">
        <f t="shared" si="393"/>
        <v>-66</v>
      </c>
      <c r="P1120" s="5">
        <f t="shared" si="384"/>
        <v>45902</v>
      </c>
      <c r="Q1120" s="4">
        <v>45954</v>
      </c>
      <c r="R1120" s="19">
        <f t="shared" si="394"/>
        <v>-52</v>
      </c>
      <c r="S1120" s="5">
        <f t="shared" si="391"/>
        <v>45907</v>
      </c>
      <c r="T1120" s="4">
        <v>45954</v>
      </c>
      <c r="U1120" s="19">
        <f t="shared" si="395"/>
        <v>-47</v>
      </c>
      <c r="V1120" s="5">
        <f t="shared" si="387"/>
        <v>45946</v>
      </c>
      <c r="W1120" s="4">
        <v>45946</v>
      </c>
      <c r="X1120" s="19">
        <f t="shared" si="396"/>
        <v>0</v>
      </c>
      <c r="Y1120" s="51">
        <f t="shared" si="382"/>
        <v>45974</v>
      </c>
      <c r="Z1120" s="4">
        <v>45954</v>
      </c>
      <c r="AA1120" s="49">
        <f t="shared" si="397"/>
        <v>20</v>
      </c>
      <c r="AB1120" s="51">
        <f t="shared" si="388"/>
        <v>45976</v>
      </c>
      <c r="AC1120" s="49">
        <f t="shared" si="389"/>
        <v>22</v>
      </c>
      <c r="AD1120" s="43">
        <f t="shared" si="390"/>
        <v>45976</v>
      </c>
      <c r="AF1120" s="19" t="str">
        <f t="shared" si="383"/>
        <v/>
      </c>
      <c r="AG1120" s="10"/>
      <c r="AH1120" s="1"/>
      <c r="AI1120" s="1"/>
      <c r="AJ1120" s="1"/>
      <c r="AK1120" s="1"/>
      <c r="AL1120" s="1"/>
    </row>
    <row r="1121" spans="1:38" ht="14.45">
      <c r="A1121" s="156">
        <v>1120</v>
      </c>
      <c r="B1121" s="59">
        <v>45976</v>
      </c>
      <c r="C1121" s="34" t="s">
        <v>2362</v>
      </c>
      <c r="D1121" s="23" t="s">
        <v>38</v>
      </c>
      <c r="E1121" s="23">
        <v>223.79</v>
      </c>
      <c r="F1121" s="23" t="s">
        <v>2363</v>
      </c>
      <c r="G1121" s="14" t="s">
        <v>190</v>
      </c>
      <c r="H1121" s="23" t="s">
        <v>40</v>
      </c>
      <c r="I1121" s="23" t="s">
        <v>41</v>
      </c>
      <c r="J1121" s="97">
        <f t="shared" si="385"/>
        <v>45876</v>
      </c>
      <c r="K1121" s="4">
        <v>45931</v>
      </c>
      <c r="L1121" s="19">
        <f t="shared" si="411"/>
        <v>-55</v>
      </c>
      <c r="M1121" s="5">
        <f t="shared" si="386"/>
        <v>45887</v>
      </c>
      <c r="N1121" s="4">
        <v>45953</v>
      </c>
      <c r="O1121" s="19">
        <f t="shared" si="393"/>
        <v>-66</v>
      </c>
      <c r="P1121" s="5">
        <f t="shared" si="384"/>
        <v>45902</v>
      </c>
      <c r="Q1121" s="4">
        <v>45954</v>
      </c>
      <c r="R1121" s="19">
        <f t="shared" si="394"/>
        <v>-52</v>
      </c>
      <c r="S1121" s="5">
        <f t="shared" si="391"/>
        <v>45907</v>
      </c>
      <c r="T1121" s="4">
        <v>45954</v>
      </c>
      <c r="U1121" s="19">
        <f t="shared" si="395"/>
        <v>-47</v>
      </c>
      <c r="V1121" s="5">
        <f t="shared" si="387"/>
        <v>45946</v>
      </c>
      <c r="W1121" s="4">
        <v>45946</v>
      </c>
      <c r="X1121" s="19">
        <f t="shared" si="396"/>
        <v>0</v>
      </c>
      <c r="Y1121" s="51">
        <f t="shared" si="382"/>
        <v>45974</v>
      </c>
      <c r="Z1121" s="4">
        <v>45954</v>
      </c>
      <c r="AA1121" s="49">
        <f t="shared" si="397"/>
        <v>20</v>
      </c>
      <c r="AB1121" s="51">
        <f t="shared" si="388"/>
        <v>45976</v>
      </c>
      <c r="AC1121" s="49">
        <f t="shared" si="389"/>
        <v>22</v>
      </c>
      <c r="AD1121" s="43">
        <f t="shared" si="390"/>
        <v>45976</v>
      </c>
      <c r="AF1121" s="19" t="str">
        <f t="shared" si="383"/>
        <v/>
      </c>
      <c r="AG1121" s="10"/>
      <c r="AH1121" s="1"/>
      <c r="AI1121" s="1"/>
      <c r="AJ1121" s="1"/>
      <c r="AK1121" s="1"/>
      <c r="AL1121" s="1"/>
    </row>
    <row r="1122" spans="1:38" ht="14.45">
      <c r="A1122" s="156">
        <v>1121</v>
      </c>
      <c r="B1122" s="59">
        <v>45976</v>
      </c>
      <c r="C1122" s="34" t="s">
        <v>2364</v>
      </c>
      <c r="D1122" s="23" t="s">
        <v>38</v>
      </c>
      <c r="E1122" s="23">
        <v>118.94</v>
      </c>
      <c r="F1122" s="23" t="s">
        <v>2365</v>
      </c>
      <c r="G1122" s="14" t="s">
        <v>190</v>
      </c>
      <c r="H1122" s="23" t="s">
        <v>40</v>
      </c>
      <c r="I1122" s="23" t="s">
        <v>41</v>
      </c>
      <c r="J1122" s="97">
        <f t="shared" si="385"/>
        <v>45876</v>
      </c>
      <c r="K1122" s="4">
        <v>45931</v>
      </c>
      <c r="L1122" s="19">
        <f t="shared" si="411"/>
        <v>-55</v>
      </c>
      <c r="M1122" s="5">
        <f t="shared" si="386"/>
        <v>45887</v>
      </c>
      <c r="N1122" s="4">
        <v>45953</v>
      </c>
      <c r="O1122" s="19">
        <f t="shared" si="393"/>
        <v>-66</v>
      </c>
      <c r="P1122" s="5">
        <f t="shared" si="384"/>
        <v>45902</v>
      </c>
      <c r="Q1122" s="4">
        <v>45954</v>
      </c>
      <c r="R1122" s="19">
        <f t="shared" si="394"/>
        <v>-52</v>
      </c>
      <c r="S1122" s="5">
        <f t="shared" si="391"/>
        <v>45907</v>
      </c>
      <c r="T1122" s="4">
        <v>45954</v>
      </c>
      <c r="U1122" s="19">
        <f t="shared" si="395"/>
        <v>-47</v>
      </c>
      <c r="V1122" s="5">
        <f t="shared" si="387"/>
        <v>45946</v>
      </c>
      <c r="W1122" s="4">
        <v>45946</v>
      </c>
      <c r="X1122" s="19">
        <f t="shared" si="396"/>
        <v>0</v>
      </c>
      <c r="Y1122" s="51">
        <f t="shared" si="382"/>
        <v>45974</v>
      </c>
      <c r="Z1122" s="4">
        <v>45954</v>
      </c>
      <c r="AA1122" s="49">
        <f t="shared" si="397"/>
        <v>20</v>
      </c>
      <c r="AB1122" s="51">
        <f t="shared" si="388"/>
        <v>45976</v>
      </c>
      <c r="AC1122" s="49">
        <f t="shared" si="389"/>
        <v>22</v>
      </c>
      <c r="AD1122" s="43">
        <f t="shared" si="390"/>
        <v>45976</v>
      </c>
      <c r="AF1122" s="19" t="str">
        <f t="shared" si="383"/>
        <v/>
      </c>
      <c r="AG1122" s="10"/>
      <c r="AH1122" s="1"/>
      <c r="AI1122" s="1"/>
      <c r="AJ1122" s="1"/>
      <c r="AK1122" s="1"/>
      <c r="AL1122" s="1"/>
    </row>
    <row r="1123" spans="1:38" ht="14.45">
      <c r="A1123" s="156">
        <v>1122</v>
      </c>
      <c r="B1123" s="59">
        <v>45976</v>
      </c>
      <c r="C1123" s="34" t="s">
        <v>2366</v>
      </c>
      <c r="D1123" s="23" t="s">
        <v>38</v>
      </c>
      <c r="E1123" s="23">
        <v>248.58</v>
      </c>
      <c r="F1123" s="23" t="s">
        <v>2367</v>
      </c>
      <c r="G1123" s="14" t="s">
        <v>190</v>
      </c>
      <c r="H1123" s="23" t="s">
        <v>40</v>
      </c>
      <c r="I1123" s="23" t="s">
        <v>41</v>
      </c>
      <c r="J1123" s="97">
        <f t="shared" si="385"/>
        <v>45876</v>
      </c>
      <c r="K1123" s="4">
        <v>45931</v>
      </c>
      <c r="L1123" s="19">
        <f t="shared" si="411"/>
        <v>-55</v>
      </c>
      <c r="M1123" s="5">
        <f t="shared" si="386"/>
        <v>45887</v>
      </c>
      <c r="N1123" s="4">
        <v>45953</v>
      </c>
      <c r="O1123" s="19">
        <f t="shared" si="393"/>
        <v>-66</v>
      </c>
      <c r="P1123" s="5">
        <f t="shared" si="384"/>
        <v>45902</v>
      </c>
      <c r="Q1123" s="4">
        <v>45954</v>
      </c>
      <c r="R1123" s="19">
        <f t="shared" si="394"/>
        <v>-52</v>
      </c>
      <c r="S1123" s="5">
        <f t="shared" si="391"/>
        <v>45907</v>
      </c>
      <c r="T1123" s="4">
        <v>45954</v>
      </c>
      <c r="U1123" s="19">
        <f t="shared" si="395"/>
        <v>-47</v>
      </c>
      <c r="V1123" s="5">
        <f t="shared" si="387"/>
        <v>45946</v>
      </c>
      <c r="W1123" s="4">
        <v>45946</v>
      </c>
      <c r="X1123" s="19">
        <f t="shared" si="396"/>
        <v>0</v>
      </c>
      <c r="Y1123" s="51">
        <f t="shared" si="382"/>
        <v>45974</v>
      </c>
      <c r="Z1123" s="4">
        <v>45954</v>
      </c>
      <c r="AA1123" s="49">
        <f t="shared" si="397"/>
        <v>20</v>
      </c>
      <c r="AB1123" s="51">
        <f t="shared" si="388"/>
        <v>45976</v>
      </c>
      <c r="AC1123" s="49">
        <f t="shared" si="389"/>
        <v>22</v>
      </c>
      <c r="AD1123" s="43">
        <f t="shared" si="390"/>
        <v>45976</v>
      </c>
      <c r="AF1123" s="19" t="str">
        <f t="shared" si="383"/>
        <v/>
      </c>
      <c r="AG1123" s="10"/>
      <c r="AH1123" s="1"/>
      <c r="AI1123" s="1"/>
      <c r="AJ1123" s="1"/>
      <c r="AK1123" s="1"/>
      <c r="AL1123" s="1"/>
    </row>
    <row r="1124" spans="1:38" ht="14.45">
      <c r="A1124" s="156">
        <v>1123</v>
      </c>
      <c r="B1124" s="59">
        <v>45976</v>
      </c>
      <c r="C1124" s="34" t="s">
        <v>2368</v>
      </c>
      <c r="D1124" s="23" t="s">
        <v>38</v>
      </c>
      <c r="E1124" s="23">
        <v>155.78</v>
      </c>
      <c r="F1124" s="23" t="s">
        <v>2369</v>
      </c>
      <c r="G1124" s="14" t="s">
        <v>190</v>
      </c>
      <c r="H1124" s="23" t="s">
        <v>40</v>
      </c>
      <c r="I1124" s="23" t="s">
        <v>41</v>
      </c>
      <c r="J1124" s="97">
        <f t="shared" si="385"/>
        <v>45876</v>
      </c>
      <c r="K1124" s="4">
        <v>45931</v>
      </c>
      <c r="L1124" s="19">
        <f t="shared" si="411"/>
        <v>-55</v>
      </c>
      <c r="M1124" s="5">
        <f t="shared" si="386"/>
        <v>45887</v>
      </c>
      <c r="N1124" s="4">
        <v>45953</v>
      </c>
      <c r="O1124" s="19">
        <f t="shared" si="393"/>
        <v>-66</v>
      </c>
      <c r="P1124" s="5">
        <f t="shared" si="384"/>
        <v>45902</v>
      </c>
      <c r="Q1124" s="4">
        <v>45954</v>
      </c>
      <c r="R1124" s="19">
        <f t="shared" si="394"/>
        <v>-52</v>
      </c>
      <c r="S1124" s="5">
        <f t="shared" si="391"/>
        <v>45907</v>
      </c>
      <c r="T1124" s="4">
        <v>45954</v>
      </c>
      <c r="U1124" s="19">
        <f t="shared" si="395"/>
        <v>-47</v>
      </c>
      <c r="V1124" s="5">
        <f t="shared" si="387"/>
        <v>45946</v>
      </c>
      <c r="W1124" s="4">
        <v>45946</v>
      </c>
      <c r="X1124" s="19">
        <f t="shared" si="396"/>
        <v>0</v>
      </c>
      <c r="Y1124" s="51">
        <f t="shared" si="382"/>
        <v>45974</v>
      </c>
      <c r="Z1124" s="4">
        <v>45954</v>
      </c>
      <c r="AA1124" s="49">
        <f t="shared" si="397"/>
        <v>20</v>
      </c>
      <c r="AB1124" s="51">
        <f t="shared" si="388"/>
        <v>45976</v>
      </c>
      <c r="AC1124" s="49">
        <f t="shared" si="389"/>
        <v>22</v>
      </c>
      <c r="AD1124" s="43">
        <f t="shared" si="390"/>
        <v>45976</v>
      </c>
      <c r="AF1124" s="19" t="str">
        <f t="shared" si="383"/>
        <v/>
      </c>
      <c r="AG1124" s="10"/>
      <c r="AH1124" s="1"/>
      <c r="AI1124" s="1"/>
      <c r="AJ1124" s="1"/>
      <c r="AK1124" s="1"/>
      <c r="AL1124" s="1"/>
    </row>
    <row r="1125" spans="1:38" ht="14.45">
      <c r="A1125" s="156">
        <v>1124</v>
      </c>
      <c r="B1125" s="59">
        <v>45976</v>
      </c>
      <c r="C1125" s="34" t="s">
        <v>2370</v>
      </c>
      <c r="D1125" s="23" t="s">
        <v>38</v>
      </c>
      <c r="E1125" s="23">
        <v>239.57</v>
      </c>
      <c r="F1125" s="23" t="s">
        <v>2371</v>
      </c>
      <c r="G1125" s="14" t="s">
        <v>190</v>
      </c>
      <c r="H1125" s="23" t="s">
        <v>40</v>
      </c>
      <c r="I1125" s="23" t="s">
        <v>41</v>
      </c>
      <c r="J1125" s="97">
        <f t="shared" si="385"/>
        <v>45876</v>
      </c>
      <c r="K1125" s="4">
        <v>45931</v>
      </c>
      <c r="L1125" s="19">
        <f t="shared" si="411"/>
        <v>-55</v>
      </c>
      <c r="M1125" s="5">
        <f t="shared" si="386"/>
        <v>45887</v>
      </c>
      <c r="N1125" s="4">
        <v>45953</v>
      </c>
      <c r="O1125" s="19">
        <f t="shared" si="393"/>
        <v>-66</v>
      </c>
      <c r="P1125" s="5">
        <f t="shared" si="384"/>
        <v>45902</v>
      </c>
      <c r="Q1125" s="4">
        <v>45954</v>
      </c>
      <c r="R1125" s="19">
        <f t="shared" si="394"/>
        <v>-52</v>
      </c>
      <c r="S1125" s="5">
        <f t="shared" si="391"/>
        <v>45907</v>
      </c>
      <c r="T1125" s="4">
        <v>45954</v>
      </c>
      <c r="U1125" s="19">
        <f t="shared" si="395"/>
        <v>-47</v>
      </c>
      <c r="V1125" s="5">
        <f t="shared" si="387"/>
        <v>45946</v>
      </c>
      <c r="W1125" s="4">
        <v>45946</v>
      </c>
      <c r="X1125" s="19">
        <f t="shared" si="396"/>
        <v>0</v>
      </c>
      <c r="Y1125" s="51">
        <f t="shared" si="382"/>
        <v>45974</v>
      </c>
      <c r="Z1125" s="4">
        <v>45954</v>
      </c>
      <c r="AA1125" s="49">
        <f t="shared" si="397"/>
        <v>20</v>
      </c>
      <c r="AB1125" s="51">
        <f t="shared" si="388"/>
        <v>45976</v>
      </c>
      <c r="AC1125" s="49">
        <f t="shared" si="389"/>
        <v>22</v>
      </c>
      <c r="AD1125" s="43">
        <f t="shared" si="390"/>
        <v>45976</v>
      </c>
      <c r="AF1125" s="19" t="str">
        <f t="shared" si="383"/>
        <v/>
      </c>
      <c r="AG1125" s="10"/>
      <c r="AH1125" s="1"/>
      <c r="AI1125" s="1"/>
      <c r="AJ1125" s="1"/>
      <c r="AK1125" s="1"/>
      <c r="AL1125" s="1"/>
    </row>
    <row r="1126" spans="1:38" ht="14.45">
      <c r="A1126" s="156">
        <v>1125</v>
      </c>
      <c r="B1126" s="59">
        <v>45976</v>
      </c>
      <c r="C1126" s="34" t="s">
        <v>2372</v>
      </c>
      <c r="D1126" s="23" t="s">
        <v>38</v>
      </c>
      <c r="E1126" s="23">
        <v>232.19</v>
      </c>
      <c r="F1126" s="23" t="s">
        <v>2373</v>
      </c>
      <c r="G1126" s="14" t="s">
        <v>190</v>
      </c>
      <c r="H1126" s="23" t="s">
        <v>40</v>
      </c>
      <c r="I1126" s="23" t="s">
        <v>41</v>
      </c>
      <c r="J1126" s="97">
        <f t="shared" si="385"/>
        <v>45876</v>
      </c>
      <c r="K1126" s="4">
        <v>45931</v>
      </c>
      <c r="L1126" s="19">
        <f t="shared" si="411"/>
        <v>-55</v>
      </c>
      <c r="M1126" s="5">
        <f t="shared" si="386"/>
        <v>45887</v>
      </c>
      <c r="N1126" s="4">
        <v>45953</v>
      </c>
      <c r="O1126" s="19">
        <f t="shared" si="393"/>
        <v>-66</v>
      </c>
      <c r="P1126" s="5">
        <f t="shared" si="384"/>
        <v>45902</v>
      </c>
      <c r="Q1126" s="4">
        <v>45954</v>
      </c>
      <c r="R1126" s="19">
        <f t="shared" si="394"/>
        <v>-52</v>
      </c>
      <c r="S1126" s="5">
        <f t="shared" si="391"/>
        <v>45907</v>
      </c>
      <c r="T1126" s="4">
        <v>45954</v>
      </c>
      <c r="U1126" s="19">
        <f t="shared" si="395"/>
        <v>-47</v>
      </c>
      <c r="V1126" s="5">
        <f t="shared" si="387"/>
        <v>45946</v>
      </c>
      <c r="W1126" s="4">
        <v>45946</v>
      </c>
      <c r="X1126" s="19">
        <f t="shared" si="396"/>
        <v>0</v>
      </c>
      <c r="Y1126" s="51">
        <f t="shared" si="382"/>
        <v>45974</v>
      </c>
      <c r="Z1126" s="4">
        <v>45954</v>
      </c>
      <c r="AA1126" s="49">
        <f t="shared" si="397"/>
        <v>20</v>
      </c>
      <c r="AB1126" s="51">
        <f t="shared" si="388"/>
        <v>45976</v>
      </c>
      <c r="AC1126" s="49">
        <f t="shared" si="389"/>
        <v>22</v>
      </c>
      <c r="AD1126" s="43">
        <f t="shared" si="390"/>
        <v>45976</v>
      </c>
      <c r="AF1126" s="19" t="str">
        <f t="shared" si="383"/>
        <v/>
      </c>
      <c r="AG1126" s="10"/>
      <c r="AH1126" s="1"/>
      <c r="AI1126" s="1"/>
      <c r="AJ1126" s="1"/>
      <c r="AK1126" s="1"/>
      <c r="AL1126" s="1"/>
    </row>
    <row r="1127" spans="1:38" ht="14.45">
      <c r="A1127" s="156">
        <v>1126</v>
      </c>
      <c r="B1127" s="59">
        <v>45976</v>
      </c>
      <c r="C1127" s="34" t="s">
        <v>2374</v>
      </c>
      <c r="D1127" s="23" t="s">
        <v>38</v>
      </c>
      <c r="E1127" s="23">
        <v>2018.42</v>
      </c>
      <c r="F1127" s="23" t="s">
        <v>2375</v>
      </c>
      <c r="G1127" s="14" t="s">
        <v>190</v>
      </c>
      <c r="H1127" s="23" t="s">
        <v>40</v>
      </c>
      <c r="I1127" s="23" t="s">
        <v>41</v>
      </c>
      <c r="J1127" s="97">
        <f t="shared" si="385"/>
        <v>45876</v>
      </c>
      <c r="K1127" s="4">
        <v>45931</v>
      </c>
      <c r="L1127" s="19">
        <f t="shared" si="411"/>
        <v>-55</v>
      </c>
      <c r="M1127" s="5">
        <f t="shared" si="386"/>
        <v>45887</v>
      </c>
      <c r="N1127" s="4">
        <v>45953</v>
      </c>
      <c r="O1127" s="19">
        <f t="shared" si="393"/>
        <v>-66</v>
      </c>
      <c r="P1127" s="5">
        <f t="shared" si="384"/>
        <v>45902</v>
      </c>
      <c r="Q1127" s="4">
        <v>45954</v>
      </c>
      <c r="R1127" s="19">
        <f t="shared" si="394"/>
        <v>-52</v>
      </c>
      <c r="S1127" s="5">
        <f t="shared" si="391"/>
        <v>45907</v>
      </c>
      <c r="T1127" s="4">
        <v>45954</v>
      </c>
      <c r="U1127" s="19">
        <f t="shared" si="395"/>
        <v>-47</v>
      </c>
      <c r="V1127" s="5">
        <f t="shared" si="387"/>
        <v>45946</v>
      </c>
      <c r="W1127" s="4">
        <v>45946</v>
      </c>
      <c r="X1127" s="19">
        <f t="shared" si="396"/>
        <v>0</v>
      </c>
      <c r="Y1127" s="51">
        <f t="shared" si="382"/>
        <v>45974</v>
      </c>
      <c r="Z1127" s="4">
        <v>45954</v>
      </c>
      <c r="AA1127" s="49">
        <f t="shared" si="397"/>
        <v>20</v>
      </c>
      <c r="AB1127" s="51">
        <f t="shared" si="388"/>
        <v>45976</v>
      </c>
      <c r="AC1127" s="49">
        <f t="shared" si="389"/>
        <v>22</v>
      </c>
      <c r="AD1127" s="43">
        <f t="shared" si="390"/>
        <v>45976</v>
      </c>
      <c r="AF1127" s="19" t="str">
        <f t="shared" si="383"/>
        <v/>
      </c>
      <c r="AG1127" s="10"/>
      <c r="AH1127" s="1"/>
      <c r="AI1127" s="1"/>
      <c r="AJ1127" s="1"/>
      <c r="AK1127" s="1"/>
      <c r="AL1127" s="1"/>
    </row>
    <row r="1128" spans="1:38" ht="14.45">
      <c r="A1128" s="156">
        <v>1127</v>
      </c>
      <c r="B1128" s="59">
        <v>45976</v>
      </c>
      <c r="C1128" s="34" t="s">
        <v>2376</v>
      </c>
      <c r="D1128" s="23" t="s">
        <v>38</v>
      </c>
      <c r="E1128" s="23">
        <v>126.87</v>
      </c>
      <c r="F1128" s="23" t="s">
        <v>2377</v>
      </c>
      <c r="G1128" s="14" t="s">
        <v>190</v>
      </c>
      <c r="H1128" s="23" t="s">
        <v>40</v>
      </c>
      <c r="I1128" s="23" t="s">
        <v>41</v>
      </c>
      <c r="J1128" s="97">
        <f t="shared" si="385"/>
        <v>45876</v>
      </c>
      <c r="K1128" s="4">
        <v>45931</v>
      </c>
      <c r="L1128" s="19">
        <f t="shared" si="411"/>
        <v>-55</v>
      </c>
      <c r="M1128" s="5">
        <f t="shared" si="386"/>
        <v>45887</v>
      </c>
      <c r="N1128" s="4">
        <v>45953</v>
      </c>
      <c r="O1128" s="19">
        <f t="shared" si="393"/>
        <v>-66</v>
      </c>
      <c r="P1128" s="5">
        <f t="shared" si="384"/>
        <v>45902</v>
      </c>
      <c r="Q1128" s="4">
        <v>45954</v>
      </c>
      <c r="R1128" s="19">
        <f t="shared" si="394"/>
        <v>-52</v>
      </c>
      <c r="S1128" s="5">
        <f t="shared" si="391"/>
        <v>45907</v>
      </c>
      <c r="T1128" s="4">
        <v>45954</v>
      </c>
      <c r="U1128" s="19">
        <f t="shared" si="395"/>
        <v>-47</v>
      </c>
      <c r="V1128" s="5">
        <f t="shared" si="387"/>
        <v>45946</v>
      </c>
      <c r="W1128" s="4">
        <v>45946</v>
      </c>
      <c r="X1128" s="19">
        <f t="shared" si="396"/>
        <v>0</v>
      </c>
      <c r="Y1128" s="51">
        <f t="shared" si="382"/>
        <v>45974</v>
      </c>
      <c r="Z1128" s="4">
        <v>45954</v>
      </c>
      <c r="AA1128" s="49">
        <f t="shared" si="397"/>
        <v>20</v>
      </c>
      <c r="AB1128" s="51">
        <f t="shared" si="388"/>
        <v>45976</v>
      </c>
      <c r="AC1128" s="49">
        <f t="shared" si="389"/>
        <v>22</v>
      </c>
      <c r="AD1128" s="43">
        <f t="shared" si="390"/>
        <v>45976</v>
      </c>
      <c r="AF1128" s="19" t="str">
        <f t="shared" si="383"/>
        <v/>
      </c>
      <c r="AG1128" s="10"/>
      <c r="AH1128" s="1"/>
      <c r="AI1128" s="1"/>
      <c r="AJ1128" s="1"/>
      <c r="AK1128" s="1"/>
      <c r="AL1128" s="1"/>
    </row>
    <row r="1129" spans="1:38" ht="14.45">
      <c r="A1129" s="156">
        <v>1128</v>
      </c>
      <c r="B1129" s="59">
        <v>45976</v>
      </c>
      <c r="C1129" s="34" t="s">
        <v>2378</v>
      </c>
      <c r="D1129" s="23" t="s">
        <v>2379</v>
      </c>
      <c r="E1129" s="23">
        <v>38933.33</v>
      </c>
      <c r="F1129" s="23" t="s">
        <v>2380</v>
      </c>
      <c r="G1129" s="14" t="s">
        <v>46</v>
      </c>
      <c r="H1129" s="23" t="s">
        <v>40</v>
      </c>
      <c r="I1129" s="23" t="s">
        <v>323</v>
      </c>
      <c r="J1129" s="97">
        <f t="shared" si="385"/>
        <v>45876</v>
      </c>
      <c r="K1129" s="4">
        <v>45868</v>
      </c>
      <c r="L1129" s="19">
        <f t="shared" si="411"/>
        <v>8</v>
      </c>
      <c r="M1129" s="5">
        <f t="shared" si="386"/>
        <v>45887</v>
      </c>
      <c r="N1129" s="4">
        <v>45919</v>
      </c>
      <c r="O1129" s="19">
        <f t="shared" si="393"/>
        <v>-32</v>
      </c>
      <c r="P1129" s="5">
        <f t="shared" si="384"/>
        <v>45902</v>
      </c>
      <c r="R1129" s="19" t="str">
        <f t="shared" si="394"/>
        <v/>
      </c>
      <c r="S1129" s="5">
        <f t="shared" si="391"/>
        <v>45907</v>
      </c>
      <c r="T1129" s="4">
        <v>45931</v>
      </c>
      <c r="U1129" s="19">
        <f t="shared" si="395"/>
        <v>-24</v>
      </c>
      <c r="V1129" s="5">
        <f t="shared" si="387"/>
        <v>45946</v>
      </c>
      <c r="W1129" s="6">
        <v>45947</v>
      </c>
      <c r="X1129" s="19">
        <f t="shared" si="396"/>
        <v>-1</v>
      </c>
      <c r="Y1129" s="51">
        <f t="shared" si="382"/>
        <v>45974</v>
      </c>
      <c r="Z1129" s="4">
        <v>45960</v>
      </c>
      <c r="AA1129" s="49">
        <f t="shared" si="397"/>
        <v>14</v>
      </c>
      <c r="AB1129" s="51">
        <f t="shared" si="388"/>
        <v>45976</v>
      </c>
      <c r="AC1129" s="49">
        <f t="shared" si="389"/>
        <v>16</v>
      </c>
      <c r="AD1129" s="43">
        <f t="shared" si="390"/>
        <v>45976</v>
      </c>
      <c r="AE1129" s="4">
        <v>45964</v>
      </c>
      <c r="AF1129" s="19">
        <f t="shared" si="383"/>
        <v>12</v>
      </c>
      <c r="AG1129" s="10"/>
      <c r="AH1129" s="1"/>
      <c r="AI1129" s="1"/>
      <c r="AJ1129" s="1"/>
      <c r="AK1129" s="1"/>
      <c r="AL1129" s="1"/>
    </row>
    <row r="1130" spans="1:38" ht="14.45">
      <c r="A1130" s="156">
        <v>1129</v>
      </c>
      <c r="B1130" s="59">
        <v>45976</v>
      </c>
      <c r="C1130" s="89">
        <v>111766507</v>
      </c>
      <c r="D1130" s="23" t="s">
        <v>94</v>
      </c>
      <c r="E1130" s="23">
        <v>12495</v>
      </c>
      <c r="F1130" s="23" t="s">
        <v>95</v>
      </c>
      <c r="G1130" s="14" t="s">
        <v>46</v>
      </c>
      <c r="H1130" s="23" t="s">
        <v>36</v>
      </c>
      <c r="I1130" s="23" t="s">
        <v>93</v>
      </c>
      <c r="J1130" s="97">
        <f t="shared" si="385"/>
        <v>45876</v>
      </c>
      <c r="K1130" s="4">
        <v>45868</v>
      </c>
      <c r="L1130" s="19">
        <f t="shared" si="411"/>
        <v>8</v>
      </c>
      <c r="M1130" s="5">
        <f t="shared" si="386"/>
        <v>45887</v>
      </c>
      <c r="N1130" s="4">
        <v>45905</v>
      </c>
      <c r="O1130" s="19">
        <f t="shared" si="393"/>
        <v>-18</v>
      </c>
      <c r="P1130" s="5">
        <f t="shared" si="384"/>
        <v>45902</v>
      </c>
      <c r="Q1130" s="4">
        <v>45908</v>
      </c>
      <c r="R1130" s="19">
        <f t="shared" si="394"/>
        <v>-6</v>
      </c>
      <c r="S1130" s="5">
        <f t="shared" si="391"/>
        <v>45907</v>
      </c>
      <c r="T1130" s="4">
        <v>45918</v>
      </c>
      <c r="U1130" s="19">
        <f t="shared" si="395"/>
        <v>-11</v>
      </c>
      <c r="V1130" s="5">
        <f t="shared" si="387"/>
        <v>45946</v>
      </c>
      <c r="W1130" s="6">
        <v>45938</v>
      </c>
      <c r="X1130" s="19">
        <f t="shared" si="396"/>
        <v>8</v>
      </c>
      <c r="Y1130" s="51">
        <f t="shared" si="382"/>
        <v>45974</v>
      </c>
      <c r="Z1130" s="4">
        <v>45951</v>
      </c>
      <c r="AA1130" s="49">
        <f t="shared" si="397"/>
        <v>23</v>
      </c>
      <c r="AB1130" s="51">
        <f t="shared" si="388"/>
        <v>45976</v>
      </c>
      <c r="AC1130" s="49">
        <f t="shared" si="389"/>
        <v>25</v>
      </c>
      <c r="AD1130" s="43">
        <f t="shared" si="390"/>
        <v>45976</v>
      </c>
      <c r="AE1130" s="4">
        <v>45951</v>
      </c>
      <c r="AF1130" s="19">
        <f t="shared" si="383"/>
        <v>25</v>
      </c>
      <c r="AG1130" s="10"/>
      <c r="AH1130" s="1"/>
      <c r="AI1130" s="1"/>
      <c r="AJ1130" s="1"/>
      <c r="AK1130" s="1"/>
      <c r="AL1130" s="1"/>
    </row>
    <row r="1131" spans="1:38" ht="14.45">
      <c r="A1131" s="156">
        <v>1130</v>
      </c>
      <c r="B1131" s="59">
        <v>45976</v>
      </c>
      <c r="C1131" s="34">
        <v>111764210</v>
      </c>
      <c r="D1131" s="23" t="s">
        <v>96</v>
      </c>
      <c r="E1131" s="23">
        <v>8469.2099999999991</v>
      </c>
      <c r="F1131" s="23" t="s">
        <v>2381</v>
      </c>
      <c r="G1131" s="14" t="s">
        <v>46</v>
      </c>
      <c r="H1131" s="23" t="s">
        <v>36</v>
      </c>
      <c r="I1131" s="23" t="s">
        <v>93</v>
      </c>
      <c r="J1131" s="97">
        <f t="shared" si="385"/>
        <v>45876</v>
      </c>
      <c r="K1131" s="4">
        <v>45868</v>
      </c>
      <c r="L1131" s="19">
        <f t="shared" si="411"/>
        <v>8</v>
      </c>
      <c r="M1131" s="5">
        <f t="shared" si="386"/>
        <v>45887</v>
      </c>
      <c r="N1131" s="4">
        <v>45905</v>
      </c>
      <c r="O1131" s="19">
        <f t="shared" si="393"/>
        <v>-18</v>
      </c>
      <c r="P1131" s="5">
        <f t="shared" si="384"/>
        <v>45902</v>
      </c>
      <c r="Q1131" s="4">
        <v>45908</v>
      </c>
      <c r="R1131" s="19">
        <f t="shared" si="394"/>
        <v>-6</v>
      </c>
      <c r="S1131" s="5">
        <f t="shared" si="391"/>
        <v>45907</v>
      </c>
      <c r="T1131" s="4">
        <v>45918</v>
      </c>
      <c r="U1131" s="19">
        <f t="shared" si="395"/>
        <v>-11</v>
      </c>
      <c r="V1131" s="5">
        <f t="shared" si="387"/>
        <v>45946</v>
      </c>
      <c r="W1131" s="6">
        <v>45938</v>
      </c>
      <c r="X1131" s="19">
        <f t="shared" si="396"/>
        <v>8</v>
      </c>
      <c r="Y1131" s="51">
        <f t="shared" si="382"/>
        <v>45974</v>
      </c>
      <c r="Z1131" s="4">
        <v>45951</v>
      </c>
      <c r="AA1131" s="49">
        <f t="shared" si="397"/>
        <v>23</v>
      </c>
      <c r="AB1131" s="51">
        <f t="shared" si="388"/>
        <v>45976</v>
      </c>
      <c r="AC1131" s="49">
        <f t="shared" si="389"/>
        <v>25</v>
      </c>
      <c r="AD1131" s="43">
        <f t="shared" si="390"/>
        <v>45976</v>
      </c>
      <c r="AE1131" s="4">
        <v>45951</v>
      </c>
      <c r="AF1131" s="19">
        <f t="shared" si="383"/>
        <v>25</v>
      </c>
      <c r="AG1131" s="10"/>
      <c r="AH1131" s="1"/>
      <c r="AI1131" s="1"/>
      <c r="AJ1131" s="1"/>
      <c r="AK1131" s="1"/>
      <c r="AL1131" s="1"/>
    </row>
    <row r="1132" spans="1:38" ht="14.45">
      <c r="A1132" s="156">
        <v>1131</v>
      </c>
      <c r="B1132" s="59">
        <v>45976</v>
      </c>
      <c r="C1132" s="34">
        <v>111764211</v>
      </c>
      <c r="D1132" s="23" t="s">
        <v>96</v>
      </c>
      <c r="E1132" s="23">
        <v>11527.86</v>
      </c>
      <c r="F1132" s="23" t="s">
        <v>2382</v>
      </c>
      <c r="G1132" s="14" t="s">
        <v>46</v>
      </c>
      <c r="H1132" s="23" t="s">
        <v>36</v>
      </c>
      <c r="I1132" s="23" t="s">
        <v>93</v>
      </c>
      <c r="J1132" s="97">
        <f t="shared" si="385"/>
        <v>45876</v>
      </c>
      <c r="K1132" s="4">
        <v>45868</v>
      </c>
      <c r="L1132" s="19">
        <f t="shared" si="411"/>
        <v>8</v>
      </c>
      <c r="M1132" s="5">
        <f t="shared" si="386"/>
        <v>45887</v>
      </c>
      <c r="N1132" s="4">
        <v>45905</v>
      </c>
      <c r="O1132" s="19">
        <f t="shared" si="393"/>
        <v>-18</v>
      </c>
      <c r="P1132" s="5">
        <f t="shared" si="384"/>
        <v>45902</v>
      </c>
      <c r="Q1132" s="4">
        <v>45908</v>
      </c>
      <c r="R1132" s="19">
        <f t="shared" si="394"/>
        <v>-6</v>
      </c>
      <c r="S1132" s="5">
        <f t="shared" si="391"/>
        <v>45907</v>
      </c>
      <c r="T1132" s="4">
        <v>45918</v>
      </c>
      <c r="U1132" s="19">
        <f t="shared" si="395"/>
        <v>-11</v>
      </c>
      <c r="V1132" s="5">
        <f t="shared" si="387"/>
        <v>45946</v>
      </c>
      <c r="W1132" s="6">
        <v>45938</v>
      </c>
      <c r="X1132" s="19">
        <f t="shared" si="396"/>
        <v>8</v>
      </c>
      <c r="Y1132" s="51">
        <f t="shared" si="382"/>
        <v>45974</v>
      </c>
      <c r="Z1132" s="4">
        <v>45951</v>
      </c>
      <c r="AA1132" s="49">
        <f t="shared" si="397"/>
        <v>23</v>
      </c>
      <c r="AB1132" s="51">
        <f t="shared" si="388"/>
        <v>45976</v>
      </c>
      <c r="AC1132" s="49">
        <f t="shared" si="389"/>
        <v>25</v>
      </c>
      <c r="AD1132" s="43">
        <f t="shared" si="390"/>
        <v>45976</v>
      </c>
      <c r="AE1132" s="4">
        <v>45951</v>
      </c>
      <c r="AF1132" s="19">
        <f t="shared" si="383"/>
        <v>25</v>
      </c>
      <c r="AG1132" s="10"/>
      <c r="AH1132" s="1"/>
      <c r="AI1132" s="1"/>
      <c r="AJ1132" s="1"/>
      <c r="AK1132" s="1"/>
      <c r="AL1132" s="1"/>
    </row>
    <row r="1133" spans="1:38" ht="14.45">
      <c r="A1133" s="156">
        <v>1132</v>
      </c>
      <c r="B1133" s="59">
        <v>45976</v>
      </c>
      <c r="C1133" s="34">
        <v>111764212</v>
      </c>
      <c r="D1133" s="23" t="s">
        <v>96</v>
      </c>
      <c r="E1133" s="23">
        <v>12461.27</v>
      </c>
      <c r="F1133" s="23" t="s">
        <v>99</v>
      </c>
      <c r="G1133" s="14" t="s">
        <v>46</v>
      </c>
      <c r="H1133" s="23" t="s">
        <v>36</v>
      </c>
      <c r="I1133" s="23" t="s">
        <v>93</v>
      </c>
      <c r="J1133" s="97">
        <f t="shared" si="385"/>
        <v>45876</v>
      </c>
      <c r="K1133" s="4">
        <v>45868</v>
      </c>
      <c r="L1133" s="19">
        <f t="shared" si="411"/>
        <v>8</v>
      </c>
      <c r="M1133" s="5">
        <f t="shared" si="386"/>
        <v>45887</v>
      </c>
      <c r="N1133" s="4">
        <v>45905</v>
      </c>
      <c r="O1133" s="19">
        <f t="shared" si="393"/>
        <v>-18</v>
      </c>
      <c r="P1133" s="5">
        <f t="shared" si="384"/>
        <v>45902</v>
      </c>
      <c r="Q1133" s="4">
        <v>45908</v>
      </c>
      <c r="R1133" s="19">
        <f t="shared" si="394"/>
        <v>-6</v>
      </c>
      <c r="S1133" s="5">
        <f t="shared" si="391"/>
        <v>45907</v>
      </c>
      <c r="T1133" s="4">
        <v>45918</v>
      </c>
      <c r="U1133" s="19">
        <f t="shared" si="395"/>
        <v>-11</v>
      </c>
      <c r="V1133" s="5">
        <f t="shared" si="387"/>
        <v>45946</v>
      </c>
      <c r="W1133" s="6">
        <v>45938</v>
      </c>
      <c r="X1133" s="19">
        <f t="shared" si="396"/>
        <v>8</v>
      </c>
      <c r="Y1133" s="51">
        <f t="shared" si="382"/>
        <v>45974</v>
      </c>
      <c r="Z1133" s="4">
        <v>45951</v>
      </c>
      <c r="AA1133" s="49">
        <f t="shared" si="397"/>
        <v>23</v>
      </c>
      <c r="AB1133" s="51">
        <f t="shared" si="388"/>
        <v>45976</v>
      </c>
      <c r="AC1133" s="49">
        <f t="shared" si="389"/>
        <v>25</v>
      </c>
      <c r="AD1133" s="43">
        <f t="shared" si="390"/>
        <v>45976</v>
      </c>
      <c r="AE1133" s="4">
        <v>45951</v>
      </c>
      <c r="AF1133" s="19">
        <f t="shared" si="383"/>
        <v>25</v>
      </c>
      <c r="AG1133" s="10"/>
      <c r="AH1133" s="1"/>
      <c r="AI1133" s="1"/>
      <c r="AJ1133" s="1"/>
      <c r="AK1133" s="1"/>
      <c r="AL1133" s="1"/>
    </row>
    <row r="1134" spans="1:38" ht="14.45">
      <c r="A1134" s="156">
        <v>1133</v>
      </c>
      <c r="B1134" s="59">
        <v>45978</v>
      </c>
      <c r="C1134" s="35" t="s">
        <v>2383</v>
      </c>
      <c r="D1134" s="23" t="s">
        <v>38</v>
      </c>
      <c r="E1134" s="23">
        <v>30.56</v>
      </c>
      <c r="F1134" s="35" t="s">
        <v>2384</v>
      </c>
      <c r="G1134" s="14" t="s">
        <v>190</v>
      </c>
      <c r="H1134" s="23" t="s">
        <v>40</v>
      </c>
      <c r="I1134" s="23" t="s">
        <v>41</v>
      </c>
      <c r="J1134" s="97">
        <f t="shared" ref="J1134" si="412">B1134-100</f>
        <v>45878</v>
      </c>
      <c r="K1134" s="4">
        <v>45931</v>
      </c>
      <c r="L1134" s="19">
        <f t="shared" ref="L1134" si="413">IF(OR(J1134="", K1134=""), "", J1134-K1134)</f>
        <v>-53</v>
      </c>
      <c r="M1134" s="5">
        <f t="shared" ref="M1134" si="414">B1134-89</f>
        <v>45889</v>
      </c>
      <c r="N1134" s="4">
        <v>45953</v>
      </c>
      <c r="O1134" s="19">
        <f t="shared" ref="O1134" si="415">IF(OR(M1134="", N1134=""), "", M1134-N1134)</f>
        <v>-64</v>
      </c>
      <c r="P1134" s="5">
        <f t="shared" ref="P1134" si="416">B1134-74</f>
        <v>45904</v>
      </c>
      <c r="Q1134" s="4">
        <v>45954</v>
      </c>
      <c r="R1134" s="19">
        <f t="shared" ref="R1134" si="417">IF(OR(P1134="", Q1134=""), "", P1134-Q1134)</f>
        <v>-50</v>
      </c>
      <c r="S1134" s="5">
        <f t="shared" ref="S1134" si="418">B1134-69</f>
        <v>45909</v>
      </c>
      <c r="T1134" s="4">
        <v>45954</v>
      </c>
      <c r="U1134" s="19">
        <f t="shared" ref="U1134" si="419">IF(OR(S1134="", T1134=""), "", S1134-T1134)</f>
        <v>-45</v>
      </c>
      <c r="V1134" s="5">
        <f t="shared" ref="V1134" si="420">B1134-30</f>
        <v>45948</v>
      </c>
      <c r="W1134" s="4">
        <v>45948</v>
      </c>
      <c r="X1134" s="19">
        <f t="shared" ref="X1134" si="421">IF(OR(V1134="", W1134=""), "", V1134-W1134)</f>
        <v>0</v>
      </c>
      <c r="Y1134" s="51">
        <f t="shared" ref="Y1134" si="422">B1134-2</f>
        <v>45976</v>
      </c>
      <c r="Z1134" s="4">
        <v>45954</v>
      </c>
      <c r="AA1134" s="49">
        <f t="shared" ref="AA1134" si="423">IF(OR(Y1134="", Z1134=""), "", Y1134-Z1134)</f>
        <v>22</v>
      </c>
      <c r="AB1134" s="51">
        <f t="shared" ref="AB1134" si="424">IF(B1134&lt;&gt;"", B1134, "")</f>
        <v>45978</v>
      </c>
      <c r="AC1134" s="49">
        <f t="shared" ref="AC1134" si="425">IF(OR(AB1134="", Z1134=""), "", AB1134-Z1134)</f>
        <v>24</v>
      </c>
      <c r="AD1134" s="43">
        <f t="shared" ref="AD1134" si="426">IF(B1134&lt;&gt;"", B1134, "")</f>
        <v>45978</v>
      </c>
      <c r="AG1134" s="10"/>
      <c r="AH1134" s="1"/>
      <c r="AI1134" s="1"/>
      <c r="AJ1134" s="1"/>
      <c r="AK1134" s="1"/>
      <c r="AL1134" s="1"/>
    </row>
    <row r="1135" spans="1:38" ht="14.45">
      <c r="A1135" s="156">
        <v>1134</v>
      </c>
      <c r="B1135" s="59">
        <v>45979</v>
      </c>
      <c r="C1135" s="34" t="s">
        <v>2385</v>
      </c>
      <c r="D1135" s="23" t="s">
        <v>2386</v>
      </c>
      <c r="E1135" s="23">
        <v>13988.76</v>
      </c>
      <c r="F1135" s="23" t="s">
        <v>2387</v>
      </c>
      <c r="G1135" s="14" t="s">
        <v>35</v>
      </c>
      <c r="H1135" s="23" t="s">
        <v>36</v>
      </c>
      <c r="I1135" s="23" t="s">
        <v>37</v>
      </c>
      <c r="J1135" s="97">
        <f t="shared" si="385"/>
        <v>45879</v>
      </c>
      <c r="L1135" s="19" t="str">
        <f t="shared" si="411"/>
        <v/>
      </c>
      <c r="M1135" s="5">
        <f t="shared" si="386"/>
        <v>45890</v>
      </c>
      <c r="O1135" s="19" t="str">
        <f t="shared" si="393"/>
        <v/>
      </c>
      <c r="P1135" s="5">
        <f t="shared" si="384"/>
        <v>45905</v>
      </c>
      <c r="R1135" s="19" t="str">
        <f t="shared" si="394"/>
        <v/>
      </c>
      <c r="S1135" s="5">
        <f t="shared" si="391"/>
        <v>45910</v>
      </c>
      <c r="T1135" s="4">
        <v>45937</v>
      </c>
      <c r="U1135" s="19">
        <f t="shared" si="395"/>
        <v>-27</v>
      </c>
      <c r="V1135" s="5">
        <f t="shared" si="387"/>
        <v>45949</v>
      </c>
      <c r="W1135" s="6">
        <v>45945</v>
      </c>
      <c r="X1135" s="19">
        <f t="shared" si="396"/>
        <v>4</v>
      </c>
      <c r="Y1135" s="51">
        <f t="shared" si="382"/>
        <v>45977</v>
      </c>
      <c r="Z1135" s="51"/>
      <c r="AA1135" s="49" t="str">
        <f t="shared" si="397"/>
        <v/>
      </c>
      <c r="AB1135" s="51">
        <f t="shared" si="388"/>
        <v>45979</v>
      </c>
      <c r="AC1135" s="49" t="str">
        <f t="shared" si="389"/>
        <v/>
      </c>
      <c r="AD1135" s="43">
        <f t="shared" si="390"/>
        <v>45979</v>
      </c>
      <c r="AF1135" s="19" t="str">
        <f t="shared" si="383"/>
        <v/>
      </c>
      <c r="AG1135" s="10"/>
      <c r="AH1135" s="1"/>
      <c r="AI1135" s="1"/>
      <c r="AJ1135" s="1"/>
      <c r="AK1135" s="1"/>
      <c r="AL1135" s="1"/>
    </row>
    <row r="1136" spans="1:38" ht="14.45">
      <c r="A1136" s="156">
        <v>1135</v>
      </c>
      <c r="B1136" s="59">
        <v>45979</v>
      </c>
      <c r="C1136" s="34">
        <v>111768253</v>
      </c>
      <c r="D1136" s="23" t="s">
        <v>108</v>
      </c>
      <c r="E1136" s="23">
        <v>17427.759999999998</v>
      </c>
      <c r="F1136" s="23" t="s">
        <v>109</v>
      </c>
      <c r="G1136" s="14" t="s">
        <v>46</v>
      </c>
      <c r="H1136" s="23" t="s">
        <v>36</v>
      </c>
      <c r="I1136" s="23" t="s">
        <v>93</v>
      </c>
      <c r="J1136" s="97">
        <f t="shared" si="385"/>
        <v>45879</v>
      </c>
      <c r="K1136" s="4">
        <v>45887</v>
      </c>
      <c r="L1136" s="19">
        <f t="shared" si="411"/>
        <v>-8</v>
      </c>
      <c r="M1136" s="5">
        <f t="shared" si="386"/>
        <v>45890</v>
      </c>
      <c r="N1136" s="4">
        <v>45905</v>
      </c>
      <c r="O1136" s="19">
        <f t="shared" si="393"/>
        <v>-15</v>
      </c>
      <c r="P1136" s="5">
        <f t="shared" si="384"/>
        <v>45905</v>
      </c>
      <c r="Q1136" s="4">
        <v>45908</v>
      </c>
      <c r="R1136" s="19">
        <f t="shared" si="394"/>
        <v>-3</v>
      </c>
      <c r="S1136" s="5">
        <f t="shared" si="391"/>
        <v>45910</v>
      </c>
      <c r="T1136" s="4">
        <v>45901</v>
      </c>
      <c r="U1136" s="19">
        <f t="shared" si="395"/>
        <v>9</v>
      </c>
      <c r="V1136" s="5">
        <f t="shared" si="387"/>
        <v>45949</v>
      </c>
      <c r="W1136" s="6">
        <v>45940</v>
      </c>
      <c r="X1136" s="19">
        <f t="shared" si="396"/>
        <v>9</v>
      </c>
      <c r="Y1136" s="51">
        <f t="shared" si="382"/>
        <v>45977</v>
      </c>
      <c r="Z1136" s="4">
        <v>45960</v>
      </c>
      <c r="AA1136" s="49">
        <f t="shared" si="397"/>
        <v>17</v>
      </c>
      <c r="AB1136" s="51">
        <f t="shared" si="388"/>
        <v>45979</v>
      </c>
      <c r="AC1136" s="49">
        <f t="shared" si="389"/>
        <v>19</v>
      </c>
      <c r="AD1136" s="43">
        <f t="shared" si="390"/>
        <v>45979</v>
      </c>
      <c r="AE1136" s="4">
        <v>45960</v>
      </c>
      <c r="AF1136" s="19">
        <f t="shared" si="383"/>
        <v>19</v>
      </c>
      <c r="AG1136" s="10"/>
      <c r="AH1136" s="1"/>
      <c r="AI1136" s="1"/>
      <c r="AJ1136" s="1"/>
      <c r="AK1136" s="1"/>
      <c r="AL1136" s="1"/>
    </row>
    <row r="1137" spans="1:38" ht="14.45">
      <c r="A1137" s="156">
        <v>1136</v>
      </c>
      <c r="B1137" s="59">
        <v>45980</v>
      </c>
      <c r="C1137" s="34" t="s">
        <v>2388</v>
      </c>
      <c r="D1137" s="23" t="s">
        <v>111</v>
      </c>
      <c r="E1137" s="23">
        <v>31346.45</v>
      </c>
      <c r="F1137" s="23" t="s">
        <v>2389</v>
      </c>
      <c r="G1137" s="14" t="s">
        <v>35</v>
      </c>
      <c r="H1137" s="23" t="s">
        <v>36</v>
      </c>
      <c r="I1137" s="23" t="s">
        <v>41</v>
      </c>
      <c r="J1137" s="97">
        <f t="shared" si="385"/>
        <v>45880</v>
      </c>
      <c r="L1137" s="19" t="str">
        <f t="shared" si="411"/>
        <v/>
      </c>
      <c r="M1137" s="5">
        <f t="shared" si="386"/>
        <v>45891</v>
      </c>
      <c r="O1137" s="19" t="str">
        <f t="shared" si="393"/>
        <v/>
      </c>
      <c r="P1137" s="5">
        <f t="shared" si="384"/>
        <v>45906</v>
      </c>
      <c r="R1137" s="19" t="str">
        <f t="shared" si="394"/>
        <v/>
      </c>
      <c r="S1137" s="5">
        <f t="shared" si="391"/>
        <v>45911</v>
      </c>
      <c r="T1137" s="4">
        <v>45937</v>
      </c>
      <c r="U1137" s="19">
        <f t="shared" si="395"/>
        <v>-26</v>
      </c>
      <c r="V1137" s="5">
        <f t="shared" si="387"/>
        <v>45950</v>
      </c>
      <c r="W1137" s="6">
        <v>45939</v>
      </c>
      <c r="X1137" s="19">
        <f t="shared" si="396"/>
        <v>11</v>
      </c>
      <c r="Y1137" s="51">
        <f t="shared" si="382"/>
        <v>45978</v>
      </c>
      <c r="Z1137" s="51"/>
      <c r="AA1137" s="49" t="str">
        <f t="shared" si="397"/>
        <v/>
      </c>
      <c r="AB1137" s="51">
        <f t="shared" si="388"/>
        <v>45980</v>
      </c>
      <c r="AC1137" s="49" t="str">
        <f t="shared" si="389"/>
        <v/>
      </c>
      <c r="AD1137" s="43">
        <f t="shared" si="390"/>
        <v>45980</v>
      </c>
      <c r="AF1137" s="19" t="str">
        <f t="shared" si="383"/>
        <v/>
      </c>
      <c r="AG1137" s="10"/>
      <c r="AH1137" s="1"/>
      <c r="AI1137" s="1"/>
      <c r="AJ1137" s="1"/>
      <c r="AK1137" s="1"/>
      <c r="AL1137" s="1"/>
    </row>
    <row r="1138" spans="1:38" ht="14.45">
      <c r="A1138" s="156">
        <v>1137</v>
      </c>
      <c r="B1138" s="59">
        <v>45981</v>
      </c>
      <c r="C1138" s="34" t="s">
        <v>2390</v>
      </c>
      <c r="D1138" s="23" t="s">
        <v>113</v>
      </c>
      <c r="E1138" s="23">
        <v>78588.39</v>
      </c>
      <c r="F1138" s="23" t="s">
        <v>2391</v>
      </c>
      <c r="G1138" s="14" t="s">
        <v>35</v>
      </c>
      <c r="H1138" s="23" t="s">
        <v>40</v>
      </c>
      <c r="I1138" s="23" t="s">
        <v>93</v>
      </c>
      <c r="J1138" s="97">
        <f t="shared" si="385"/>
        <v>45881</v>
      </c>
      <c r="L1138" s="19" t="str">
        <f t="shared" si="411"/>
        <v/>
      </c>
      <c r="M1138" s="5">
        <f t="shared" si="386"/>
        <v>45892</v>
      </c>
      <c r="O1138" s="19" t="str">
        <f t="shared" si="393"/>
        <v/>
      </c>
      <c r="P1138" s="5">
        <f t="shared" si="384"/>
        <v>45907</v>
      </c>
      <c r="R1138" s="19" t="str">
        <f t="shared" si="394"/>
        <v/>
      </c>
      <c r="S1138" s="5">
        <f t="shared" si="391"/>
        <v>45912</v>
      </c>
      <c r="T1138" s="4">
        <v>45937</v>
      </c>
      <c r="U1138" s="19">
        <f t="shared" si="395"/>
        <v>-25</v>
      </c>
      <c r="V1138" s="5">
        <f t="shared" si="387"/>
        <v>45951</v>
      </c>
      <c r="W1138" s="6"/>
      <c r="X1138" s="19" t="str">
        <f t="shared" si="396"/>
        <v/>
      </c>
      <c r="Y1138" s="51">
        <f t="shared" si="382"/>
        <v>45979</v>
      </c>
      <c r="Z1138" s="51"/>
      <c r="AA1138" s="49" t="str">
        <f t="shared" si="397"/>
        <v/>
      </c>
      <c r="AB1138" s="51">
        <f t="shared" si="388"/>
        <v>45981</v>
      </c>
      <c r="AC1138" s="49" t="str">
        <f t="shared" si="389"/>
        <v/>
      </c>
      <c r="AD1138" s="43">
        <f t="shared" si="390"/>
        <v>45981</v>
      </c>
      <c r="AF1138" s="19" t="str">
        <f t="shared" si="383"/>
        <v/>
      </c>
      <c r="AG1138" s="10"/>
      <c r="AH1138" s="1"/>
      <c r="AI1138" s="1"/>
      <c r="AJ1138" s="1"/>
      <c r="AK1138" s="1"/>
      <c r="AL1138" s="1"/>
    </row>
    <row r="1139" spans="1:38" ht="14.45">
      <c r="A1139" s="156">
        <v>1138</v>
      </c>
      <c r="B1139" s="59">
        <v>45981</v>
      </c>
      <c r="C1139" s="34">
        <v>646049759</v>
      </c>
      <c r="D1139" s="23" t="s">
        <v>122</v>
      </c>
      <c r="E1139" s="23">
        <v>6744.06</v>
      </c>
      <c r="F1139" s="23" t="s">
        <v>2392</v>
      </c>
      <c r="G1139" s="14" t="s">
        <v>120</v>
      </c>
      <c r="H1139" s="23" t="s">
        <v>40</v>
      </c>
      <c r="I1139" s="23" t="s">
        <v>276</v>
      </c>
      <c r="J1139" s="97">
        <f t="shared" si="385"/>
        <v>45881</v>
      </c>
      <c r="K1139" s="4">
        <v>45849</v>
      </c>
      <c r="L1139" s="19">
        <f t="shared" si="411"/>
        <v>32</v>
      </c>
      <c r="M1139" s="5">
        <f t="shared" si="386"/>
        <v>45892</v>
      </c>
      <c r="O1139" s="19" t="str">
        <f t="shared" si="393"/>
        <v/>
      </c>
      <c r="P1139" s="5">
        <f t="shared" si="384"/>
        <v>45907</v>
      </c>
      <c r="R1139" s="19" t="str">
        <f t="shared" si="394"/>
        <v/>
      </c>
      <c r="S1139" s="5">
        <f t="shared" si="391"/>
        <v>45912</v>
      </c>
      <c r="T1139" s="4">
        <v>45910</v>
      </c>
      <c r="U1139" s="19">
        <f t="shared" si="395"/>
        <v>2</v>
      </c>
      <c r="V1139" s="5">
        <f t="shared" si="387"/>
        <v>45951</v>
      </c>
      <c r="W1139" s="6">
        <v>45951</v>
      </c>
      <c r="X1139" s="19">
        <f t="shared" si="396"/>
        <v>0</v>
      </c>
      <c r="Y1139" s="51">
        <f t="shared" si="382"/>
        <v>45979</v>
      </c>
      <c r="Z1139" s="49"/>
      <c r="AA1139" s="49" t="str">
        <f t="shared" si="397"/>
        <v/>
      </c>
      <c r="AB1139" s="51">
        <f t="shared" si="388"/>
        <v>45981</v>
      </c>
      <c r="AC1139" s="49" t="str">
        <f t="shared" si="389"/>
        <v/>
      </c>
      <c r="AD1139" s="43">
        <f t="shared" si="390"/>
        <v>45981</v>
      </c>
      <c r="AF1139" s="19" t="str">
        <f t="shared" si="383"/>
        <v/>
      </c>
      <c r="AG1139" s="10"/>
      <c r="AH1139" s="1"/>
      <c r="AI1139" s="1"/>
      <c r="AJ1139" s="1"/>
      <c r="AK1139" s="1"/>
      <c r="AL1139" s="1"/>
    </row>
    <row r="1140" spans="1:38" ht="14.45">
      <c r="A1140" s="156">
        <v>1139</v>
      </c>
      <c r="B1140" s="59">
        <v>45981</v>
      </c>
      <c r="C1140" s="34" t="s">
        <v>2393</v>
      </c>
      <c r="D1140" s="23" t="s">
        <v>115</v>
      </c>
      <c r="E1140" s="23">
        <v>22962.01</v>
      </c>
      <c r="F1140" s="23" t="s">
        <v>116</v>
      </c>
      <c r="G1140" s="14" t="s">
        <v>35</v>
      </c>
      <c r="H1140" s="23" t="s">
        <v>40</v>
      </c>
      <c r="I1140" s="23" t="s">
        <v>93</v>
      </c>
      <c r="J1140" s="97">
        <f t="shared" si="385"/>
        <v>45881</v>
      </c>
      <c r="L1140" s="19" t="str">
        <f t="shared" si="411"/>
        <v/>
      </c>
      <c r="M1140" s="5">
        <f t="shared" si="386"/>
        <v>45892</v>
      </c>
      <c r="O1140" s="19" t="str">
        <f t="shared" si="393"/>
        <v/>
      </c>
      <c r="P1140" s="5">
        <f t="shared" si="384"/>
        <v>45907</v>
      </c>
      <c r="R1140" s="19" t="str">
        <f t="shared" si="394"/>
        <v/>
      </c>
      <c r="S1140" s="5">
        <f t="shared" si="391"/>
        <v>45912</v>
      </c>
      <c r="T1140" s="4">
        <v>45944</v>
      </c>
      <c r="U1140" s="19">
        <f t="shared" si="395"/>
        <v>-32</v>
      </c>
      <c r="V1140" s="5">
        <f t="shared" si="387"/>
        <v>45951</v>
      </c>
      <c r="W1140" s="6"/>
      <c r="X1140" s="19" t="str">
        <f t="shared" si="396"/>
        <v/>
      </c>
      <c r="Y1140" s="51">
        <f t="shared" si="382"/>
        <v>45979</v>
      </c>
      <c r="Z1140" s="51"/>
      <c r="AA1140" s="49" t="str">
        <f t="shared" si="397"/>
        <v/>
      </c>
      <c r="AB1140" s="51">
        <f t="shared" si="388"/>
        <v>45981</v>
      </c>
      <c r="AC1140" s="49" t="str">
        <f t="shared" si="389"/>
        <v/>
      </c>
      <c r="AD1140" s="43">
        <f t="shared" si="390"/>
        <v>45981</v>
      </c>
      <c r="AF1140" s="19" t="str">
        <f t="shared" si="383"/>
        <v/>
      </c>
      <c r="AG1140" s="10" t="s">
        <v>367</v>
      </c>
      <c r="AH1140" s="1"/>
      <c r="AI1140" s="1"/>
      <c r="AJ1140" s="1"/>
      <c r="AK1140" s="1"/>
      <c r="AL1140" s="1"/>
    </row>
    <row r="1141" spans="1:38" ht="14.45">
      <c r="A1141" s="156">
        <v>1140</v>
      </c>
      <c r="B1141" s="59">
        <v>45981</v>
      </c>
      <c r="C1141" s="34" t="s">
        <v>2394</v>
      </c>
      <c r="D1141" s="23" t="s">
        <v>117</v>
      </c>
      <c r="E1141" s="23">
        <v>1747.42</v>
      </c>
      <c r="F1141" s="23" t="s">
        <v>119</v>
      </c>
      <c r="G1141" s="14" t="s">
        <v>120</v>
      </c>
      <c r="H1141" s="23" t="s">
        <v>40</v>
      </c>
      <c r="I1141" s="23" t="s">
        <v>121</v>
      </c>
      <c r="J1141" s="97">
        <f t="shared" si="385"/>
        <v>45881</v>
      </c>
      <c r="K1141" s="4">
        <v>45849</v>
      </c>
      <c r="L1141" s="19">
        <f t="shared" si="411"/>
        <v>32</v>
      </c>
      <c r="M1141" s="5">
        <f t="shared" si="386"/>
        <v>45892</v>
      </c>
      <c r="O1141" s="19" t="str">
        <f t="shared" si="393"/>
        <v/>
      </c>
      <c r="P1141" s="5">
        <f t="shared" si="384"/>
        <v>45907</v>
      </c>
      <c r="R1141" s="19" t="str">
        <f t="shared" si="394"/>
        <v/>
      </c>
      <c r="S1141" s="5">
        <f t="shared" si="391"/>
        <v>45912</v>
      </c>
      <c r="T1141" s="4">
        <v>45910</v>
      </c>
      <c r="U1141" s="19">
        <f t="shared" si="395"/>
        <v>2</v>
      </c>
      <c r="V1141" s="5">
        <f t="shared" si="387"/>
        <v>45951</v>
      </c>
      <c r="W1141" s="6">
        <v>45919</v>
      </c>
      <c r="X1141" s="19">
        <f t="shared" si="396"/>
        <v>32</v>
      </c>
      <c r="Y1141" s="51">
        <f t="shared" si="382"/>
        <v>45979</v>
      </c>
      <c r="Z1141" s="49"/>
      <c r="AA1141" s="49" t="str">
        <f t="shared" si="397"/>
        <v/>
      </c>
      <c r="AB1141" s="51">
        <f t="shared" si="388"/>
        <v>45981</v>
      </c>
      <c r="AC1141" s="49" t="str">
        <f t="shared" si="389"/>
        <v/>
      </c>
      <c r="AD1141" s="43">
        <f t="shared" si="390"/>
        <v>45981</v>
      </c>
      <c r="AF1141" s="19" t="str">
        <f t="shared" si="383"/>
        <v/>
      </c>
      <c r="AG1141" s="10"/>
      <c r="AH1141" s="1"/>
      <c r="AI1141" s="1"/>
      <c r="AJ1141" s="1"/>
      <c r="AK1141" s="1"/>
      <c r="AL1141" s="1"/>
    </row>
    <row r="1142" spans="1:38" ht="14.45">
      <c r="A1142" s="156">
        <v>1141</v>
      </c>
      <c r="B1142" s="59">
        <v>45981</v>
      </c>
      <c r="C1142" s="34" t="s">
        <v>2395</v>
      </c>
      <c r="D1142" s="23" t="s">
        <v>117</v>
      </c>
      <c r="E1142" s="23">
        <v>89595.839999999997</v>
      </c>
      <c r="F1142" s="23" t="s">
        <v>93</v>
      </c>
      <c r="G1142" s="14" t="s">
        <v>120</v>
      </c>
      <c r="H1142" s="23" t="s">
        <v>40</v>
      </c>
      <c r="I1142" s="23" t="s">
        <v>93</v>
      </c>
      <c r="J1142" s="97">
        <f t="shared" si="385"/>
        <v>45881</v>
      </c>
      <c r="K1142" s="4">
        <v>45849</v>
      </c>
      <c r="L1142" s="19">
        <f t="shared" si="411"/>
        <v>32</v>
      </c>
      <c r="M1142" s="5">
        <f t="shared" si="386"/>
        <v>45892</v>
      </c>
      <c r="O1142" s="19" t="str">
        <f t="shared" si="393"/>
        <v/>
      </c>
      <c r="P1142" s="5">
        <f t="shared" si="384"/>
        <v>45907</v>
      </c>
      <c r="R1142" s="19" t="str">
        <f t="shared" si="394"/>
        <v/>
      </c>
      <c r="S1142" s="5">
        <f t="shared" si="391"/>
        <v>45912</v>
      </c>
      <c r="T1142" s="4">
        <v>45910</v>
      </c>
      <c r="U1142" s="19">
        <f t="shared" si="395"/>
        <v>2</v>
      </c>
      <c r="V1142" s="5">
        <f t="shared" si="387"/>
        <v>45951</v>
      </c>
      <c r="W1142" s="6">
        <v>45952</v>
      </c>
      <c r="X1142" s="19">
        <f t="shared" si="396"/>
        <v>-1</v>
      </c>
      <c r="Y1142" s="51">
        <f t="shared" si="382"/>
        <v>45979</v>
      </c>
      <c r="Z1142" s="49"/>
      <c r="AA1142" s="49" t="str">
        <f t="shared" si="397"/>
        <v/>
      </c>
      <c r="AB1142" s="51">
        <f t="shared" si="388"/>
        <v>45981</v>
      </c>
      <c r="AC1142" s="49" t="str">
        <f t="shared" si="389"/>
        <v/>
      </c>
      <c r="AD1142" s="43">
        <f t="shared" si="390"/>
        <v>45981</v>
      </c>
      <c r="AF1142" s="19" t="str">
        <f t="shared" si="383"/>
        <v/>
      </c>
      <c r="AG1142" s="10"/>
      <c r="AH1142" s="1"/>
      <c r="AI1142" s="1"/>
      <c r="AJ1142" s="1"/>
      <c r="AK1142" s="1"/>
      <c r="AL1142" s="1"/>
    </row>
    <row r="1143" spans="1:38" ht="14.45">
      <c r="A1143" s="156">
        <v>1142</v>
      </c>
      <c r="B1143" s="59">
        <v>45982</v>
      </c>
      <c r="C1143" s="34" t="s">
        <v>2396</v>
      </c>
      <c r="D1143" s="23" t="s">
        <v>38</v>
      </c>
      <c r="E1143" s="23">
        <v>43.2</v>
      </c>
      <c r="F1143" s="23" t="s">
        <v>2397</v>
      </c>
      <c r="G1143" s="14" t="s">
        <v>190</v>
      </c>
      <c r="H1143" s="23" t="s">
        <v>40</v>
      </c>
      <c r="I1143" s="23" t="s">
        <v>41</v>
      </c>
      <c r="J1143" s="97">
        <f t="shared" si="385"/>
        <v>45882</v>
      </c>
      <c r="K1143" s="4">
        <v>45931</v>
      </c>
      <c r="L1143" s="19">
        <f t="shared" si="411"/>
        <v>-49</v>
      </c>
      <c r="M1143" s="5">
        <f t="shared" si="386"/>
        <v>45893</v>
      </c>
      <c r="N1143" s="4">
        <v>45953</v>
      </c>
      <c r="O1143" s="19">
        <f t="shared" si="393"/>
        <v>-60</v>
      </c>
      <c r="P1143" s="5">
        <f t="shared" si="384"/>
        <v>45908</v>
      </c>
      <c r="Q1143" s="4">
        <v>45954</v>
      </c>
      <c r="R1143" s="19">
        <f t="shared" si="394"/>
        <v>-46</v>
      </c>
      <c r="S1143" s="5">
        <f t="shared" si="391"/>
        <v>45913</v>
      </c>
      <c r="T1143" s="4">
        <v>45954</v>
      </c>
      <c r="U1143" s="19">
        <f t="shared" si="395"/>
        <v>-41</v>
      </c>
      <c r="V1143" s="5">
        <f t="shared" si="387"/>
        <v>45952</v>
      </c>
      <c r="W1143" s="4">
        <v>45952</v>
      </c>
      <c r="X1143" s="19">
        <f t="shared" si="396"/>
        <v>0</v>
      </c>
      <c r="Y1143" s="51">
        <f t="shared" si="382"/>
        <v>45980</v>
      </c>
      <c r="Z1143" s="4">
        <v>45954</v>
      </c>
      <c r="AA1143" s="49">
        <f t="shared" si="397"/>
        <v>26</v>
      </c>
      <c r="AB1143" s="51">
        <f t="shared" si="388"/>
        <v>45982</v>
      </c>
      <c r="AC1143" s="49">
        <f t="shared" si="389"/>
        <v>28</v>
      </c>
      <c r="AD1143" s="43">
        <f t="shared" si="390"/>
        <v>45982</v>
      </c>
      <c r="AF1143" s="19" t="str">
        <f t="shared" si="383"/>
        <v/>
      </c>
      <c r="AG1143" s="10"/>
      <c r="AH1143" s="1"/>
      <c r="AI1143" s="1"/>
      <c r="AJ1143" s="1"/>
      <c r="AK1143" s="1"/>
      <c r="AL1143" s="1"/>
    </row>
    <row r="1144" spans="1:38" ht="14.45">
      <c r="A1144" s="156">
        <v>1143</v>
      </c>
      <c r="B1144" s="59">
        <v>45982</v>
      </c>
      <c r="C1144" s="34" t="s">
        <v>2398</v>
      </c>
      <c r="D1144" s="23" t="s">
        <v>38</v>
      </c>
      <c r="E1144" s="23">
        <v>96.84</v>
      </c>
      <c r="F1144" s="23" t="s">
        <v>2399</v>
      </c>
      <c r="G1144" s="14" t="s">
        <v>190</v>
      </c>
      <c r="H1144" s="23" t="s">
        <v>40</v>
      </c>
      <c r="I1144" s="23" t="s">
        <v>41</v>
      </c>
      <c r="J1144" s="97">
        <f t="shared" si="385"/>
        <v>45882</v>
      </c>
      <c r="K1144" s="4">
        <v>45931</v>
      </c>
      <c r="L1144" s="19">
        <f t="shared" si="411"/>
        <v>-49</v>
      </c>
      <c r="M1144" s="5">
        <f t="shared" si="386"/>
        <v>45893</v>
      </c>
      <c r="N1144" s="4">
        <v>45953</v>
      </c>
      <c r="O1144" s="19">
        <f t="shared" si="393"/>
        <v>-60</v>
      </c>
      <c r="P1144" s="5">
        <f t="shared" si="384"/>
        <v>45908</v>
      </c>
      <c r="Q1144" s="4">
        <v>45954</v>
      </c>
      <c r="R1144" s="19">
        <f t="shared" si="394"/>
        <v>-46</v>
      </c>
      <c r="S1144" s="5">
        <f t="shared" si="391"/>
        <v>45913</v>
      </c>
      <c r="T1144" s="4">
        <v>45954</v>
      </c>
      <c r="U1144" s="19">
        <f t="shared" si="395"/>
        <v>-41</v>
      </c>
      <c r="V1144" s="5">
        <f t="shared" si="387"/>
        <v>45952</v>
      </c>
      <c r="W1144" s="4">
        <v>45952</v>
      </c>
      <c r="X1144" s="19">
        <f t="shared" si="396"/>
        <v>0</v>
      </c>
      <c r="Y1144" s="51">
        <f t="shared" si="382"/>
        <v>45980</v>
      </c>
      <c r="Z1144" s="4">
        <v>45954</v>
      </c>
      <c r="AA1144" s="49">
        <f t="shared" si="397"/>
        <v>26</v>
      </c>
      <c r="AB1144" s="51">
        <f t="shared" si="388"/>
        <v>45982</v>
      </c>
      <c r="AC1144" s="49">
        <f t="shared" si="389"/>
        <v>28</v>
      </c>
      <c r="AD1144" s="43">
        <f t="shared" si="390"/>
        <v>45982</v>
      </c>
      <c r="AF1144" s="19" t="str">
        <f t="shared" si="383"/>
        <v/>
      </c>
      <c r="AG1144" s="10"/>
      <c r="AH1144" s="1"/>
      <c r="AI1144" s="1"/>
      <c r="AJ1144" s="1"/>
      <c r="AK1144" s="1"/>
      <c r="AL1144" s="1"/>
    </row>
    <row r="1145" spans="1:38" ht="14.45">
      <c r="A1145" s="156">
        <v>1144</v>
      </c>
      <c r="B1145" s="59">
        <v>45982</v>
      </c>
      <c r="C1145" s="34" t="s">
        <v>2400</v>
      </c>
      <c r="D1145" s="23" t="s">
        <v>38</v>
      </c>
      <c r="E1145" s="23">
        <v>1532.63</v>
      </c>
      <c r="F1145" s="23" t="s">
        <v>2401</v>
      </c>
      <c r="G1145" s="14" t="s">
        <v>190</v>
      </c>
      <c r="H1145" s="23" t="s">
        <v>40</v>
      </c>
      <c r="I1145" s="23" t="s">
        <v>41</v>
      </c>
      <c r="J1145" s="97">
        <f t="shared" si="385"/>
        <v>45882</v>
      </c>
      <c r="K1145" s="4">
        <v>45931</v>
      </c>
      <c r="L1145" s="19">
        <f t="shared" si="411"/>
        <v>-49</v>
      </c>
      <c r="M1145" s="5">
        <f t="shared" si="386"/>
        <v>45893</v>
      </c>
      <c r="N1145" s="4">
        <v>45953</v>
      </c>
      <c r="O1145" s="19">
        <f t="shared" si="393"/>
        <v>-60</v>
      </c>
      <c r="P1145" s="5">
        <f t="shared" si="384"/>
        <v>45908</v>
      </c>
      <c r="Q1145" s="4">
        <v>45954</v>
      </c>
      <c r="R1145" s="19">
        <f t="shared" si="394"/>
        <v>-46</v>
      </c>
      <c r="S1145" s="5">
        <f t="shared" si="391"/>
        <v>45913</v>
      </c>
      <c r="T1145" s="4">
        <v>45954</v>
      </c>
      <c r="U1145" s="19">
        <f t="shared" si="395"/>
        <v>-41</v>
      </c>
      <c r="V1145" s="5">
        <f t="shared" si="387"/>
        <v>45952</v>
      </c>
      <c r="W1145" s="4">
        <v>45952</v>
      </c>
      <c r="X1145" s="19">
        <f t="shared" si="396"/>
        <v>0</v>
      </c>
      <c r="Y1145" s="51">
        <f t="shared" si="382"/>
        <v>45980</v>
      </c>
      <c r="Z1145" s="4">
        <v>45954</v>
      </c>
      <c r="AA1145" s="49">
        <f t="shared" si="397"/>
        <v>26</v>
      </c>
      <c r="AB1145" s="51">
        <f t="shared" si="388"/>
        <v>45982</v>
      </c>
      <c r="AC1145" s="49">
        <f t="shared" si="389"/>
        <v>28</v>
      </c>
      <c r="AD1145" s="43">
        <f t="shared" si="390"/>
        <v>45982</v>
      </c>
      <c r="AF1145" s="19" t="str">
        <f t="shared" si="383"/>
        <v/>
      </c>
      <c r="AG1145" s="10"/>
      <c r="AH1145" s="1"/>
      <c r="AI1145" s="1"/>
      <c r="AJ1145" s="1"/>
      <c r="AK1145" s="1"/>
      <c r="AL1145" s="1"/>
    </row>
    <row r="1146" spans="1:38" ht="14.45">
      <c r="A1146" s="156">
        <v>1145</v>
      </c>
      <c r="B1146" s="59">
        <v>45982</v>
      </c>
      <c r="C1146" s="34" t="s">
        <v>2402</v>
      </c>
      <c r="D1146" s="23" t="s">
        <v>38</v>
      </c>
      <c r="E1146" s="23">
        <v>369.82</v>
      </c>
      <c r="F1146" s="23" t="s">
        <v>124</v>
      </c>
      <c r="G1146" s="14" t="s">
        <v>190</v>
      </c>
      <c r="H1146" s="23" t="s">
        <v>40</v>
      </c>
      <c r="I1146" s="23" t="s">
        <v>41</v>
      </c>
      <c r="J1146" s="97">
        <f t="shared" si="385"/>
        <v>45882</v>
      </c>
      <c r="K1146" s="4">
        <v>45931</v>
      </c>
      <c r="L1146" s="19">
        <f t="shared" si="411"/>
        <v>-49</v>
      </c>
      <c r="M1146" s="5">
        <f t="shared" si="386"/>
        <v>45893</v>
      </c>
      <c r="N1146" s="4">
        <v>45953</v>
      </c>
      <c r="O1146" s="19">
        <f t="shared" si="393"/>
        <v>-60</v>
      </c>
      <c r="P1146" s="5">
        <f t="shared" si="384"/>
        <v>45908</v>
      </c>
      <c r="Q1146" s="4">
        <v>45954</v>
      </c>
      <c r="R1146" s="19">
        <f t="shared" si="394"/>
        <v>-46</v>
      </c>
      <c r="S1146" s="5">
        <f t="shared" si="391"/>
        <v>45913</v>
      </c>
      <c r="T1146" s="4">
        <v>45954</v>
      </c>
      <c r="U1146" s="19">
        <f t="shared" si="395"/>
        <v>-41</v>
      </c>
      <c r="V1146" s="5">
        <f t="shared" si="387"/>
        <v>45952</v>
      </c>
      <c r="W1146" s="4">
        <v>45952</v>
      </c>
      <c r="X1146" s="19">
        <f t="shared" si="396"/>
        <v>0</v>
      </c>
      <c r="Y1146" s="51">
        <f t="shared" si="382"/>
        <v>45980</v>
      </c>
      <c r="Z1146" s="4">
        <v>45954</v>
      </c>
      <c r="AA1146" s="49">
        <f t="shared" si="397"/>
        <v>26</v>
      </c>
      <c r="AB1146" s="51">
        <f t="shared" si="388"/>
        <v>45982</v>
      </c>
      <c r="AC1146" s="49">
        <f t="shared" si="389"/>
        <v>28</v>
      </c>
      <c r="AD1146" s="43">
        <f t="shared" si="390"/>
        <v>45982</v>
      </c>
      <c r="AF1146" s="19" t="str">
        <f t="shared" si="383"/>
        <v/>
      </c>
      <c r="AG1146" s="10"/>
      <c r="AH1146" s="1"/>
      <c r="AI1146" s="1"/>
      <c r="AJ1146" s="1"/>
      <c r="AK1146" s="1"/>
      <c r="AL1146" s="1"/>
    </row>
    <row r="1147" spans="1:38" ht="14.45">
      <c r="A1147" s="156">
        <v>1146</v>
      </c>
      <c r="B1147" s="59">
        <v>45983</v>
      </c>
      <c r="C1147" s="34" t="s">
        <v>2403</v>
      </c>
      <c r="D1147" s="23" t="s">
        <v>126</v>
      </c>
      <c r="E1147" s="23">
        <v>8835.7800000000007</v>
      </c>
      <c r="F1147" s="23" t="s">
        <v>127</v>
      </c>
      <c r="G1147" s="14" t="s">
        <v>128</v>
      </c>
      <c r="H1147" s="23" t="s">
        <v>36</v>
      </c>
      <c r="I1147" s="23" t="s">
        <v>37</v>
      </c>
      <c r="J1147" s="97">
        <f t="shared" si="385"/>
        <v>45883</v>
      </c>
      <c r="K1147" s="4">
        <v>45897</v>
      </c>
      <c r="L1147" s="19">
        <f t="shared" si="411"/>
        <v>-14</v>
      </c>
      <c r="M1147" s="5">
        <f t="shared" si="386"/>
        <v>45894</v>
      </c>
      <c r="N1147" s="4">
        <v>45919</v>
      </c>
      <c r="O1147" s="19">
        <f t="shared" si="393"/>
        <v>-25</v>
      </c>
      <c r="P1147" s="5">
        <f t="shared" si="384"/>
        <v>45909</v>
      </c>
      <c r="R1147" s="19" t="str">
        <f t="shared" si="394"/>
        <v/>
      </c>
      <c r="S1147" s="5">
        <f t="shared" si="391"/>
        <v>45914</v>
      </c>
      <c r="T1147" s="4">
        <v>45919</v>
      </c>
      <c r="U1147" s="19">
        <f t="shared" si="395"/>
        <v>-5</v>
      </c>
      <c r="V1147" s="5">
        <f t="shared" si="387"/>
        <v>45953</v>
      </c>
      <c r="W1147" s="6">
        <v>45931</v>
      </c>
      <c r="X1147" s="19">
        <f t="shared" si="396"/>
        <v>22</v>
      </c>
      <c r="Y1147" s="51">
        <f t="shared" si="382"/>
        <v>45981</v>
      </c>
      <c r="Z1147" s="49"/>
      <c r="AA1147" s="49" t="str">
        <f t="shared" si="397"/>
        <v/>
      </c>
      <c r="AB1147" s="51">
        <f t="shared" si="388"/>
        <v>45983</v>
      </c>
      <c r="AC1147" s="49" t="str">
        <f t="shared" si="389"/>
        <v/>
      </c>
      <c r="AD1147" s="43">
        <f t="shared" si="390"/>
        <v>45983</v>
      </c>
      <c r="AF1147" s="19" t="str">
        <f t="shared" si="383"/>
        <v/>
      </c>
      <c r="AG1147" s="10"/>
      <c r="AH1147" s="1"/>
      <c r="AI1147" s="1"/>
      <c r="AJ1147" s="1"/>
      <c r="AK1147" s="1"/>
      <c r="AL1147" s="1"/>
    </row>
    <row r="1148" spans="1:38" ht="14.45">
      <c r="A1148" s="156">
        <v>1147</v>
      </c>
      <c r="B1148" s="59">
        <v>45984</v>
      </c>
      <c r="C1148" s="34" t="s">
        <v>2404</v>
      </c>
      <c r="D1148" s="23" t="s">
        <v>130</v>
      </c>
      <c r="E1148" s="23">
        <v>16485.740000000002</v>
      </c>
      <c r="F1148" s="23" t="s">
        <v>37</v>
      </c>
      <c r="G1148" s="14" t="s">
        <v>35</v>
      </c>
      <c r="H1148" s="23" t="s">
        <v>40</v>
      </c>
      <c r="I1148" s="23" t="s">
        <v>37</v>
      </c>
      <c r="J1148" s="97">
        <f t="shared" si="385"/>
        <v>45884</v>
      </c>
      <c r="L1148" s="19" t="str">
        <f t="shared" si="411"/>
        <v/>
      </c>
      <c r="M1148" s="5">
        <f t="shared" si="386"/>
        <v>45895</v>
      </c>
      <c r="O1148" s="19" t="str">
        <f t="shared" si="393"/>
        <v/>
      </c>
      <c r="P1148" s="5">
        <f t="shared" si="384"/>
        <v>45910</v>
      </c>
      <c r="R1148" s="19" t="str">
        <f t="shared" si="394"/>
        <v/>
      </c>
      <c r="S1148" s="5">
        <f t="shared" si="391"/>
        <v>45915</v>
      </c>
      <c r="T1148" s="4">
        <v>45937</v>
      </c>
      <c r="U1148" s="19">
        <f t="shared" si="395"/>
        <v>-22</v>
      </c>
      <c r="V1148" s="5">
        <f t="shared" si="387"/>
        <v>45954</v>
      </c>
      <c r="W1148" s="6">
        <v>45946</v>
      </c>
      <c r="X1148" s="19">
        <f t="shared" si="396"/>
        <v>8</v>
      </c>
      <c r="Y1148" s="51">
        <f t="shared" si="382"/>
        <v>45982</v>
      </c>
      <c r="Z1148" s="51"/>
      <c r="AA1148" s="49" t="str">
        <f t="shared" si="397"/>
        <v/>
      </c>
      <c r="AB1148" s="51">
        <f t="shared" si="388"/>
        <v>45984</v>
      </c>
      <c r="AC1148" s="49" t="str">
        <f t="shared" si="389"/>
        <v/>
      </c>
      <c r="AD1148" s="43">
        <f t="shared" si="390"/>
        <v>45984</v>
      </c>
      <c r="AF1148" s="19" t="str">
        <f t="shared" si="383"/>
        <v/>
      </c>
      <c r="AG1148" s="10"/>
      <c r="AH1148" s="1"/>
      <c r="AI1148" s="1"/>
      <c r="AJ1148" s="1"/>
      <c r="AK1148" s="1"/>
      <c r="AL1148" s="1"/>
    </row>
    <row r="1149" spans="1:38" ht="14.45">
      <c r="A1149" s="156">
        <v>1148</v>
      </c>
      <c r="B1149" s="59">
        <v>45984</v>
      </c>
      <c r="C1149" s="34">
        <v>644087181</v>
      </c>
      <c r="D1149" s="23" t="s">
        <v>132</v>
      </c>
      <c r="E1149" s="23">
        <v>2448.88</v>
      </c>
      <c r="F1149" s="23" t="s">
        <v>2405</v>
      </c>
      <c r="G1149" s="14" t="s">
        <v>128</v>
      </c>
      <c r="H1149" s="23" t="s">
        <v>40</v>
      </c>
      <c r="I1149" s="23" t="s">
        <v>93</v>
      </c>
      <c r="J1149" s="97">
        <f t="shared" si="385"/>
        <v>45884</v>
      </c>
      <c r="K1149" s="4">
        <v>45897</v>
      </c>
      <c r="L1149" s="19">
        <f t="shared" si="411"/>
        <v>-13</v>
      </c>
      <c r="M1149" s="5">
        <f t="shared" si="386"/>
        <v>45895</v>
      </c>
      <c r="N1149" s="4">
        <v>45915</v>
      </c>
      <c r="O1149" s="19">
        <f t="shared" si="393"/>
        <v>-20</v>
      </c>
      <c r="P1149" s="5">
        <f t="shared" si="384"/>
        <v>45910</v>
      </c>
      <c r="Q1149" s="4">
        <v>45919</v>
      </c>
      <c r="R1149" s="19">
        <f t="shared" si="394"/>
        <v>-9</v>
      </c>
      <c r="S1149" s="5">
        <f t="shared" si="391"/>
        <v>45915</v>
      </c>
      <c r="T1149" s="4">
        <v>45919</v>
      </c>
      <c r="U1149" s="19">
        <f t="shared" si="395"/>
        <v>-4</v>
      </c>
      <c r="V1149" s="5">
        <f t="shared" si="387"/>
        <v>45954</v>
      </c>
      <c r="W1149" s="6">
        <v>45936</v>
      </c>
      <c r="X1149" s="19">
        <f t="shared" si="396"/>
        <v>18</v>
      </c>
      <c r="Y1149" s="51">
        <f t="shared" ref="Y1149:Y1216" si="427">B1149-2</f>
        <v>45982</v>
      </c>
      <c r="Z1149" s="49"/>
      <c r="AA1149" s="49" t="str">
        <f t="shared" si="397"/>
        <v/>
      </c>
      <c r="AB1149" s="51">
        <f t="shared" si="388"/>
        <v>45984</v>
      </c>
      <c r="AC1149" s="49" t="str">
        <f t="shared" si="389"/>
        <v/>
      </c>
      <c r="AD1149" s="43">
        <f t="shared" si="390"/>
        <v>45984</v>
      </c>
      <c r="AF1149" s="19" t="str">
        <f t="shared" ref="AF1149:AF1216" si="428">IF(OR(AD1149="", AE1149=""), "", AD1149-AE1149)</f>
        <v/>
      </c>
      <c r="AG1149" s="10"/>
      <c r="AH1149" s="1"/>
      <c r="AI1149" s="1"/>
      <c r="AJ1149" s="1"/>
      <c r="AK1149" s="1"/>
      <c r="AL1149" s="1"/>
    </row>
    <row r="1150" spans="1:38" ht="14.45">
      <c r="A1150" s="156">
        <v>1149</v>
      </c>
      <c r="B1150" s="59">
        <v>45986</v>
      </c>
      <c r="C1150" s="34" t="s">
        <v>2406</v>
      </c>
      <c r="D1150" s="23" t="s">
        <v>145</v>
      </c>
      <c r="E1150" s="23">
        <v>43215.58</v>
      </c>
      <c r="F1150" s="23" t="s">
        <v>146</v>
      </c>
      <c r="G1150" s="14" t="s">
        <v>35</v>
      </c>
      <c r="H1150" s="23" t="s">
        <v>40</v>
      </c>
      <c r="I1150" s="23" t="s">
        <v>93</v>
      </c>
      <c r="J1150" s="97">
        <f t="shared" si="385"/>
        <v>45886</v>
      </c>
      <c r="L1150" s="19" t="str">
        <f t="shared" si="411"/>
        <v/>
      </c>
      <c r="M1150" s="5">
        <f t="shared" si="386"/>
        <v>45897</v>
      </c>
      <c r="O1150" s="19" t="str">
        <f t="shared" si="393"/>
        <v/>
      </c>
      <c r="P1150" s="5">
        <f t="shared" si="384"/>
        <v>45912</v>
      </c>
      <c r="R1150" s="19" t="str">
        <f t="shared" si="394"/>
        <v/>
      </c>
      <c r="S1150" s="5">
        <f t="shared" si="391"/>
        <v>45917</v>
      </c>
      <c r="T1150" s="4">
        <v>45944</v>
      </c>
      <c r="U1150" s="19">
        <f t="shared" si="395"/>
        <v>-27</v>
      </c>
      <c r="V1150" s="5">
        <f t="shared" si="387"/>
        <v>45956</v>
      </c>
      <c r="W1150" s="6">
        <v>45947</v>
      </c>
      <c r="X1150" s="19">
        <f t="shared" si="396"/>
        <v>9</v>
      </c>
      <c r="Y1150" s="51">
        <f t="shared" si="427"/>
        <v>45984</v>
      </c>
      <c r="Z1150" s="51"/>
      <c r="AA1150" s="49" t="str">
        <f t="shared" si="397"/>
        <v/>
      </c>
      <c r="AB1150" s="51">
        <f t="shared" si="388"/>
        <v>45986</v>
      </c>
      <c r="AC1150" s="49" t="str">
        <f t="shared" si="389"/>
        <v/>
      </c>
      <c r="AD1150" s="43">
        <f t="shared" si="390"/>
        <v>45986</v>
      </c>
      <c r="AF1150" s="19" t="str">
        <f t="shared" si="428"/>
        <v/>
      </c>
      <c r="AG1150" s="10"/>
      <c r="AH1150" s="1"/>
      <c r="AI1150" s="1"/>
      <c r="AJ1150" s="1"/>
      <c r="AK1150" s="1"/>
      <c r="AL1150" s="1"/>
    </row>
    <row r="1151" spans="1:38" s="9" customFormat="1" ht="14.45">
      <c r="A1151" s="157">
        <v>1150</v>
      </c>
      <c r="B1151" s="60">
        <v>45986</v>
      </c>
      <c r="C1151" s="72" t="s">
        <v>2407</v>
      </c>
      <c r="D1151" s="24" t="s">
        <v>38</v>
      </c>
      <c r="E1151" s="24">
        <v>39.04</v>
      </c>
      <c r="F1151" s="72" t="s">
        <v>2232</v>
      </c>
      <c r="G1151" s="16" t="s">
        <v>190</v>
      </c>
      <c r="H1151" s="24" t="s">
        <v>40</v>
      </c>
      <c r="I1151" s="24" t="s">
        <v>41</v>
      </c>
      <c r="J1151" s="98">
        <f t="shared" si="385"/>
        <v>45886</v>
      </c>
      <c r="K1151" s="7">
        <v>45931</v>
      </c>
      <c r="L1151" s="99">
        <f t="shared" si="411"/>
        <v>-45</v>
      </c>
      <c r="M1151" s="20">
        <f t="shared" si="386"/>
        <v>45897</v>
      </c>
      <c r="N1151" s="7">
        <v>45953</v>
      </c>
      <c r="O1151" s="99">
        <f t="shared" si="393"/>
        <v>-56</v>
      </c>
      <c r="P1151" s="20">
        <f t="shared" si="384"/>
        <v>45912</v>
      </c>
      <c r="Q1151" s="7">
        <v>45954</v>
      </c>
      <c r="R1151" s="99">
        <f t="shared" si="394"/>
        <v>-42</v>
      </c>
      <c r="S1151" s="20">
        <f t="shared" si="391"/>
        <v>45917</v>
      </c>
      <c r="T1151" s="7">
        <v>45954</v>
      </c>
      <c r="U1151" s="99">
        <f t="shared" si="395"/>
        <v>-37</v>
      </c>
      <c r="V1151" s="20">
        <f t="shared" si="387"/>
        <v>45956</v>
      </c>
      <c r="W1151" s="7">
        <v>45956</v>
      </c>
      <c r="X1151" s="99">
        <f t="shared" si="396"/>
        <v>0</v>
      </c>
      <c r="Y1151" s="66">
        <f t="shared" si="427"/>
        <v>45984</v>
      </c>
      <c r="Z1151" s="7">
        <v>45954</v>
      </c>
      <c r="AA1151" s="50">
        <f t="shared" si="397"/>
        <v>30</v>
      </c>
      <c r="AB1151" s="51">
        <f t="shared" si="388"/>
        <v>45986</v>
      </c>
      <c r="AC1151" s="49">
        <f t="shared" si="389"/>
        <v>32</v>
      </c>
      <c r="AD1151" s="100">
        <f t="shared" si="390"/>
        <v>45986</v>
      </c>
      <c r="AE1151" s="7">
        <v>45954</v>
      </c>
      <c r="AF1151" s="99">
        <f t="shared" si="428"/>
        <v>32</v>
      </c>
      <c r="AG1151" s="36" t="s">
        <v>1479</v>
      </c>
      <c r="AH1151" s="1"/>
      <c r="AI1151" s="48"/>
      <c r="AJ1151" s="48"/>
      <c r="AK1151" s="48"/>
      <c r="AL1151" s="48"/>
    </row>
    <row r="1152" spans="1:38" s="9" customFormat="1" ht="14.45">
      <c r="A1152" s="156">
        <v>1151</v>
      </c>
      <c r="B1152" s="60">
        <v>45987</v>
      </c>
      <c r="C1152" s="41" t="s">
        <v>2408</v>
      </c>
      <c r="D1152" s="24" t="s">
        <v>2409</v>
      </c>
      <c r="E1152" s="24">
        <v>3966.57</v>
      </c>
      <c r="F1152" s="24" t="s">
        <v>2410</v>
      </c>
      <c r="G1152" s="16" t="s">
        <v>128</v>
      </c>
      <c r="H1152" s="24" t="s">
        <v>40</v>
      </c>
      <c r="I1152" s="24" t="s">
        <v>41</v>
      </c>
      <c r="J1152" s="98">
        <f>B1152-100</f>
        <v>45887</v>
      </c>
      <c r="K1152" s="7"/>
      <c r="L1152" s="99" t="str">
        <f t="shared" si="411"/>
        <v/>
      </c>
      <c r="M1152" s="20">
        <f t="shared" si="386"/>
        <v>45898</v>
      </c>
      <c r="N1152" s="7"/>
      <c r="O1152" s="99" t="str">
        <f t="shared" si="393"/>
        <v/>
      </c>
      <c r="P1152" s="20">
        <f t="shared" si="384"/>
        <v>45913</v>
      </c>
      <c r="Q1152" s="7"/>
      <c r="R1152" s="99" t="str">
        <f t="shared" si="394"/>
        <v/>
      </c>
      <c r="S1152" s="20">
        <f t="shared" si="391"/>
        <v>45918</v>
      </c>
      <c r="T1152" s="7">
        <v>45923</v>
      </c>
      <c r="U1152" s="99">
        <f t="shared" si="395"/>
        <v>-5</v>
      </c>
      <c r="V1152" s="20">
        <f t="shared" si="387"/>
        <v>45957</v>
      </c>
      <c r="W1152" s="47">
        <v>45932</v>
      </c>
      <c r="X1152" s="99">
        <f t="shared" si="396"/>
        <v>25</v>
      </c>
      <c r="Y1152" s="66">
        <f t="shared" si="427"/>
        <v>45985</v>
      </c>
      <c r="Z1152" s="50"/>
      <c r="AA1152" s="50" t="str">
        <f t="shared" si="397"/>
        <v/>
      </c>
      <c r="AB1152" s="66">
        <f t="shared" si="388"/>
        <v>45987</v>
      </c>
      <c r="AC1152" s="50" t="str">
        <f t="shared" si="389"/>
        <v/>
      </c>
      <c r="AD1152" s="100">
        <f t="shared" si="390"/>
        <v>45987</v>
      </c>
      <c r="AE1152" s="7"/>
      <c r="AF1152" s="99" t="str">
        <f t="shared" si="428"/>
        <v/>
      </c>
      <c r="AG1152" s="36" t="s">
        <v>367</v>
      </c>
      <c r="AH1152" s="48"/>
      <c r="AI1152" s="48"/>
      <c r="AJ1152" s="48"/>
      <c r="AK1152" s="48"/>
      <c r="AL1152" s="48"/>
    </row>
    <row r="1153" spans="1:38" ht="14.45">
      <c r="A1153" s="156">
        <v>1152</v>
      </c>
      <c r="B1153" s="59">
        <v>45988</v>
      </c>
      <c r="C1153" s="34" t="s">
        <v>2411</v>
      </c>
      <c r="D1153" s="23" t="s">
        <v>38</v>
      </c>
      <c r="E1153" s="23">
        <v>363.25</v>
      </c>
      <c r="F1153" s="23" t="s">
        <v>151</v>
      </c>
      <c r="G1153" s="14" t="s">
        <v>190</v>
      </c>
      <c r="H1153" s="23" t="s">
        <v>40</v>
      </c>
      <c r="I1153" s="23" t="s">
        <v>41</v>
      </c>
      <c r="J1153" s="97">
        <f t="shared" si="385"/>
        <v>45888</v>
      </c>
      <c r="K1153" s="4">
        <v>45931</v>
      </c>
      <c r="L1153" s="19">
        <f t="shared" si="411"/>
        <v>-43</v>
      </c>
      <c r="M1153" s="5">
        <f t="shared" si="386"/>
        <v>45899</v>
      </c>
      <c r="N1153" s="4">
        <v>45953</v>
      </c>
      <c r="O1153" s="19">
        <f t="shared" si="393"/>
        <v>-54</v>
      </c>
      <c r="P1153" s="5">
        <f t="shared" si="384"/>
        <v>45914</v>
      </c>
      <c r="Q1153" s="4">
        <v>45954</v>
      </c>
      <c r="R1153" s="19">
        <f t="shared" si="394"/>
        <v>-40</v>
      </c>
      <c r="S1153" s="5">
        <f t="shared" si="391"/>
        <v>45919</v>
      </c>
      <c r="T1153" s="4">
        <v>45954</v>
      </c>
      <c r="U1153" s="19">
        <f t="shared" si="395"/>
        <v>-35</v>
      </c>
      <c r="V1153" s="5">
        <f t="shared" si="387"/>
        <v>45958</v>
      </c>
      <c r="W1153" s="4">
        <v>45958</v>
      </c>
      <c r="X1153" s="19">
        <f t="shared" si="396"/>
        <v>0</v>
      </c>
      <c r="Y1153" s="51">
        <f t="shared" si="427"/>
        <v>45986</v>
      </c>
      <c r="Z1153" s="4">
        <v>45954</v>
      </c>
      <c r="AA1153" s="49">
        <f t="shared" si="397"/>
        <v>32</v>
      </c>
      <c r="AB1153" s="51">
        <f t="shared" si="388"/>
        <v>45988</v>
      </c>
      <c r="AC1153" s="49">
        <f t="shared" si="389"/>
        <v>34</v>
      </c>
      <c r="AD1153" s="43">
        <f t="shared" si="390"/>
        <v>45988</v>
      </c>
      <c r="AF1153" s="19" t="str">
        <f t="shared" si="428"/>
        <v/>
      </c>
      <c r="AG1153" s="10"/>
      <c r="AH1153" s="1"/>
      <c r="AI1153" s="1"/>
      <c r="AJ1153" s="1"/>
      <c r="AK1153" s="1"/>
      <c r="AL1153" s="1"/>
    </row>
    <row r="1154" spans="1:38" ht="14.45">
      <c r="A1154" s="156">
        <v>1153</v>
      </c>
      <c r="B1154" s="59">
        <v>45988</v>
      </c>
      <c r="C1154" s="34" t="s">
        <v>2412</v>
      </c>
      <c r="D1154" s="23" t="s">
        <v>38</v>
      </c>
      <c r="E1154" s="23">
        <v>1987.83</v>
      </c>
      <c r="F1154" s="23" t="s">
        <v>150</v>
      </c>
      <c r="G1154" s="14" t="s">
        <v>190</v>
      </c>
      <c r="H1154" s="23" t="s">
        <v>40</v>
      </c>
      <c r="I1154" s="23" t="s">
        <v>41</v>
      </c>
      <c r="J1154" s="97">
        <f t="shared" si="385"/>
        <v>45888</v>
      </c>
      <c r="K1154" s="4">
        <v>45931</v>
      </c>
      <c r="L1154" s="19">
        <f t="shared" si="411"/>
        <v>-43</v>
      </c>
      <c r="M1154" s="5">
        <f t="shared" si="386"/>
        <v>45899</v>
      </c>
      <c r="N1154" s="4">
        <v>45953</v>
      </c>
      <c r="O1154" s="19">
        <f t="shared" si="393"/>
        <v>-54</v>
      </c>
      <c r="P1154" s="5">
        <f t="shared" si="384"/>
        <v>45914</v>
      </c>
      <c r="Q1154" s="4">
        <v>45954</v>
      </c>
      <c r="R1154" s="19">
        <f t="shared" si="394"/>
        <v>-40</v>
      </c>
      <c r="S1154" s="5">
        <f t="shared" si="391"/>
        <v>45919</v>
      </c>
      <c r="T1154" s="4">
        <v>45954</v>
      </c>
      <c r="U1154" s="19">
        <f t="shared" si="395"/>
        <v>-35</v>
      </c>
      <c r="V1154" s="5">
        <f t="shared" si="387"/>
        <v>45958</v>
      </c>
      <c r="W1154" s="4">
        <v>45958</v>
      </c>
      <c r="X1154" s="19">
        <f t="shared" si="396"/>
        <v>0</v>
      </c>
      <c r="Y1154" s="51">
        <f t="shared" si="427"/>
        <v>45986</v>
      </c>
      <c r="Z1154" s="4">
        <v>45954</v>
      </c>
      <c r="AA1154" s="49">
        <f t="shared" si="397"/>
        <v>32</v>
      </c>
      <c r="AB1154" s="51">
        <f t="shared" si="388"/>
        <v>45988</v>
      </c>
      <c r="AC1154" s="49">
        <f t="shared" si="389"/>
        <v>34</v>
      </c>
      <c r="AD1154" s="43">
        <f t="shared" si="390"/>
        <v>45988</v>
      </c>
      <c r="AF1154" s="19" t="str">
        <f t="shared" si="428"/>
        <v/>
      </c>
      <c r="AG1154" s="10"/>
      <c r="AH1154" s="1"/>
      <c r="AI1154" s="1"/>
      <c r="AJ1154" s="1"/>
      <c r="AK1154" s="1"/>
      <c r="AL1154" s="1"/>
    </row>
    <row r="1155" spans="1:38" ht="14.45">
      <c r="A1155" s="156">
        <v>1154</v>
      </c>
      <c r="B1155" s="59">
        <v>45988</v>
      </c>
      <c r="C1155" s="34" t="s">
        <v>2413</v>
      </c>
      <c r="D1155" s="23" t="s">
        <v>153</v>
      </c>
      <c r="E1155" s="23">
        <v>20000</v>
      </c>
      <c r="F1155" s="23" t="s">
        <v>154</v>
      </c>
      <c r="G1155" s="14" t="s">
        <v>46</v>
      </c>
      <c r="H1155" s="23" t="s">
        <v>40</v>
      </c>
      <c r="I1155" s="23" t="s">
        <v>62</v>
      </c>
      <c r="J1155" s="97">
        <f t="shared" si="385"/>
        <v>45888</v>
      </c>
      <c r="K1155" s="4">
        <v>45887</v>
      </c>
      <c r="L1155" s="19">
        <f t="shared" si="411"/>
        <v>1</v>
      </c>
      <c r="M1155" s="5">
        <f t="shared" si="386"/>
        <v>45899</v>
      </c>
      <c r="N1155" s="4">
        <v>45931</v>
      </c>
      <c r="O1155" s="19">
        <f t="shared" si="393"/>
        <v>-32</v>
      </c>
      <c r="P1155" s="5">
        <f t="shared" si="384"/>
        <v>45914</v>
      </c>
      <c r="R1155" s="19" t="str">
        <f t="shared" si="394"/>
        <v/>
      </c>
      <c r="S1155" s="5">
        <f t="shared" si="391"/>
        <v>45919</v>
      </c>
      <c r="T1155" s="4">
        <v>45919</v>
      </c>
      <c r="U1155" s="19">
        <f t="shared" si="395"/>
        <v>0</v>
      </c>
      <c r="V1155" s="5">
        <f t="shared" si="387"/>
        <v>45958</v>
      </c>
      <c r="W1155" s="6">
        <v>45959</v>
      </c>
      <c r="X1155" s="19">
        <f t="shared" si="396"/>
        <v>-1</v>
      </c>
      <c r="Y1155" s="51">
        <f>B1155-2</f>
        <v>45986</v>
      </c>
      <c r="Z1155" s="125"/>
      <c r="AA1155" s="49" t="str">
        <f t="shared" si="397"/>
        <v/>
      </c>
      <c r="AB1155" s="51">
        <f t="shared" si="388"/>
        <v>45988</v>
      </c>
      <c r="AC1155" s="49" t="str">
        <f t="shared" ref="AC1155:AC1172" si="429">IF(OR(AB1155="", Z1155=""), "", AB1155-Z1155)</f>
        <v/>
      </c>
      <c r="AD1155" s="43">
        <f t="shared" si="390"/>
        <v>45988</v>
      </c>
      <c r="AF1155" s="19" t="str">
        <f t="shared" si="428"/>
        <v/>
      </c>
      <c r="AG1155" s="10"/>
      <c r="AH1155" s="1"/>
      <c r="AI1155" s="1"/>
      <c r="AJ1155" s="1"/>
      <c r="AK1155" s="1"/>
      <c r="AL1155" s="1"/>
    </row>
    <row r="1156" spans="1:38" ht="14.45">
      <c r="A1156" s="156">
        <v>1155</v>
      </c>
      <c r="B1156" s="59">
        <v>45988</v>
      </c>
      <c r="C1156" s="34">
        <v>66674</v>
      </c>
      <c r="D1156" s="23" t="s">
        <v>153</v>
      </c>
      <c r="E1156" s="23">
        <v>60334</v>
      </c>
      <c r="F1156" s="23" t="s">
        <v>2414</v>
      </c>
      <c r="G1156" s="14" t="s">
        <v>46</v>
      </c>
      <c r="H1156" s="23" t="s">
        <v>40</v>
      </c>
      <c r="I1156" s="23" t="s">
        <v>62</v>
      </c>
      <c r="J1156" s="97">
        <f>B1156-100</f>
        <v>45888</v>
      </c>
      <c r="K1156" s="4">
        <v>45887</v>
      </c>
      <c r="L1156" s="19">
        <f t="shared" si="411"/>
        <v>1</v>
      </c>
      <c r="M1156" s="5">
        <f t="shared" si="386"/>
        <v>45899</v>
      </c>
      <c r="N1156" s="4">
        <v>45931</v>
      </c>
      <c r="O1156" s="19">
        <f t="shared" si="393"/>
        <v>-32</v>
      </c>
      <c r="P1156" s="5">
        <f t="shared" si="384"/>
        <v>45914</v>
      </c>
      <c r="R1156" s="19" t="str">
        <f t="shared" si="394"/>
        <v/>
      </c>
      <c r="S1156" s="5">
        <f t="shared" si="391"/>
        <v>45919</v>
      </c>
      <c r="T1156" s="4">
        <v>45919</v>
      </c>
      <c r="U1156" s="19">
        <f t="shared" si="395"/>
        <v>0</v>
      </c>
      <c r="V1156" s="5">
        <f t="shared" si="387"/>
        <v>45958</v>
      </c>
      <c r="W1156" s="6">
        <v>45959</v>
      </c>
      <c r="X1156" s="19">
        <f t="shared" ref="X1156:X1172" si="430">IF(OR(V1156="", W1156=""), "", V1156-W1156)</f>
        <v>-1</v>
      </c>
      <c r="Y1156" s="51">
        <f t="shared" si="427"/>
        <v>45986</v>
      </c>
      <c r="Z1156" s="125"/>
      <c r="AA1156" s="49" t="str">
        <f t="shared" si="397"/>
        <v/>
      </c>
      <c r="AB1156" s="51">
        <f t="shared" si="388"/>
        <v>45988</v>
      </c>
      <c r="AC1156" s="49" t="str">
        <f t="shared" si="429"/>
        <v/>
      </c>
      <c r="AD1156" s="43">
        <f t="shared" si="390"/>
        <v>45988</v>
      </c>
      <c r="AF1156" s="19" t="str">
        <f t="shared" si="428"/>
        <v/>
      </c>
      <c r="AG1156" s="10"/>
      <c r="AH1156" s="1"/>
      <c r="AI1156" s="1"/>
      <c r="AJ1156" s="1"/>
      <c r="AK1156" s="1"/>
      <c r="AL1156" s="1"/>
    </row>
    <row r="1157" spans="1:38" ht="14.45">
      <c r="A1157" s="156">
        <v>1156</v>
      </c>
      <c r="B1157" s="59">
        <v>45989</v>
      </c>
      <c r="C1157" s="34" t="s">
        <v>2415</v>
      </c>
      <c r="D1157" s="23" t="s">
        <v>155</v>
      </c>
      <c r="E1157" s="23">
        <v>10807.5</v>
      </c>
      <c r="F1157" s="23" t="s">
        <v>93</v>
      </c>
      <c r="G1157" s="14" t="s">
        <v>190</v>
      </c>
      <c r="H1157" s="23" t="s">
        <v>40</v>
      </c>
      <c r="I1157" s="23" t="s">
        <v>93</v>
      </c>
      <c r="J1157" s="97">
        <f t="shared" si="385"/>
        <v>45889</v>
      </c>
      <c r="K1157" s="4">
        <v>45903</v>
      </c>
      <c r="L1157" s="19">
        <f t="shared" si="411"/>
        <v>-14</v>
      </c>
      <c r="M1157" s="5">
        <f t="shared" si="386"/>
        <v>45900</v>
      </c>
      <c r="N1157" s="4">
        <v>45905</v>
      </c>
      <c r="O1157" s="19">
        <f t="shared" si="393"/>
        <v>-5</v>
      </c>
      <c r="P1157" s="5">
        <f t="shared" si="384"/>
        <v>45915</v>
      </c>
      <c r="R1157" s="19" t="str">
        <f t="shared" si="394"/>
        <v/>
      </c>
      <c r="S1157" s="5">
        <f t="shared" si="391"/>
        <v>45920</v>
      </c>
      <c r="T1157" s="4">
        <v>45935</v>
      </c>
      <c r="U1157" s="19">
        <f t="shared" si="395"/>
        <v>-15</v>
      </c>
      <c r="V1157" s="5">
        <f t="shared" si="387"/>
        <v>45959</v>
      </c>
      <c r="W1157" s="6">
        <v>45944</v>
      </c>
      <c r="X1157" s="19">
        <f t="shared" si="430"/>
        <v>15</v>
      </c>
      <c r="Y1157" s="51">
        <f t="shared" si="427"/>
        <v>45987</v>
      </c>
      <c r="Z1157" s="51"/>
      <c r="AA1157" s="49" t="str">
        <f t="shared" si="397"/>
        <v/>
      </c>
      <c r="AB1157" s="51">
        <f t="shared" si="388"/>
        <v>45989</v>
      </c>
      <c r="AC1157" s="49" t="str">
        <f t="shared" si="429"/>
        <v/>
      </c>
      <c r="AD1157" s="43">
        <f t="shared" si="390"/>
        <v>45989</v>
      </c>
      <c r="AF1157" s="19" t="str">
        <f t="shared" si="428"/>
        <v/>
      </c>
      <c r="AG1157" s="10"/>
      <c r="AH1157" s="1"/>
      <c r="AI1157" s="1"/>
      <c r="AJ1157" s="1"/>
      <c r="AK1157" s="1"/>
      <c r="AL1157" s="1"/>
    </row>
    <row r="1158" spans="1:38" ht="14.45">
      <c r="A1158" s="156">
        <v>1157</v>
      </c>
      <c r="B1158" s="59">
        <v>45990</v>
      </c>
      <c r="C1158" s="34" t="s">
        <v>2416</v>
      </c>
      <c r="D1158" s="23" t="s">
        <v>38</v>
      </c>
      <c r="E1158" s="23">
        <v>213.61</v>
      </c>
      <c r="F1158" s="23" t="s">
        <v>2417</v>
      </c>
      <c r="G1158" s="14" t="s">
        <v>190</v>
      </c>
      <c r="H1158" s="23" t="s">
        <v>40</v>
      </c>
      <c r="I1158" s="23" t="s">
        <v>41</v>
      </c>
      <c r="J1158" s="97">
        <f t="shared" si="385"/>
        <v>45890</v>
      </c>
      <c r="K1158" s="4">
        <v>45931</v>
      </c>
      <c r="L1158" s="19">
        <f t="shared" si="411"/>
        <v>-41</v>
      </c>
      <c r="M1158" s="5">
        <f t="shared" si="386"/>
        <v>45901</v>
      </c>
      <c r="N1158" s="4">
        <v>45953</v>
      </c>
      <c r="O1158" s="19">
        <f t="shared" si="393"/>
        <v>-52</v>
      </c>
      <c r="P1158" s="5">
        <f t="shared" si="384"/>
        <v>45916</v>
      </c>
      <c r="Q1158" s="4">
        <v>45954</v>
      </c>
      <c r="R1158" s="19">
        <f t="shared" si="394"/>
        <v>-38</v>
      </c>
      <c r="S1158" s="5">
        <f t="shared" si="391"/>
        <v>45921</v>
      </c>
      <c r="T1158" s="4">
        <v>45954</v>
      </c>
      <c r="U1158" s="19">
        <f t="shared" si="395"/>
        <v>-33</v>
      </c>
      <c r="V1158" s="5">
        <f t="shared" si="387"/>
        <v>45960</v>
      </c>
      <c r="W1158" s="4">
        <v>45954</v>
      </c>
      <c r="X1158" s="19">
        <f t="shared" si="430"/>
        <v>6</v>
      </c>
      <c r="Y1158" s="51">
        <f t="shared" si="427"/>
        <v>45988</v>
      </c>
      <c r="Z1158" s="4">
        <v>45954</v>
      </c>
      <c r="AA1158" s="49">
        <f t="shared" si="397"/>
        <v>34</v>
      </c>
      <c r="AB1158" s="51">
        <f t="shared" si="388"/>
        <v>45990</v>
      </c>
      <c r="AC1158" s="49">
        <f t="shared" si="429"/>
        <v>36</v>
      </c>
      <c r="AD1158" s="43">
        <f t="shared" si="390"/>
        <v>45990</v>
      </c>
      <c r="AF1158" s="19" t="str">
        <f t="shared" si="428"/>
        <v/>
      </c>
      <c r="AG1158" s="10"/>
      <c r="AH1158" s="1"/>
      <c r="AI1158" s="1"/>
      <c r="AJ1158" s="1"/>
      <c r="AK1158" s="1"/>
      <c r="AL1158" s="1"/>
    </row>
    <row r="1159" spans="1:38" ht="14.45">
      <c r="A1159" s="156">
        <v>1158</v>
      </c>
      <c r="B1159" s="59">
        <v>45990</v>
      </c>
      <c r="C1159" s="34" t="s">
        <v>2418</v>
      </c>
      <c r="D1159" s="23" t="s">
        <v>38</v>
      </c>
      <c r="E1159" s="23">
        <v>284.77999999999997</v>
      </c>
      <c r="F1159" s="23" t="s">
        <v>2419</v>
      </c>
      <c r="G1159" s="14" t="s">
        <v>190</v>
      </c>
      <c r="H1159" s="23" t="s">
        <v>40</v>
      </c>
      <c r="I1159" s="23" t="s">
        <v>41</v>
      </c>
      <c r="J1159" s="97">
        <f t="shared" si="385"/>
        <v>45890</v>
      </c>
      <c r="K1159" s="4">
        <v>45931</v>
      </c>
      <c r="L1159" s="19">
        <f t="shared" si="411"/>
        <v>-41</v>
      </c>
      <c r="M1159" s="5">
        <f t="shared" si="386"/>
        <v>45901</v>
      </c>
      <c r="N1159" s="4">
        <v>45953</v>
      </c>
      <c r="O1159" s="19">
        <f t="shared" si="393"/>
        <v>-52</v>
      </c>
      <c r="P1159" s="5">
        <f t="shared" si="384"/>
        <v>45916</v>
      </c>
      <c r="Q1159" s="4">
        <v>45954</v>
      </c>
      <c r="R1159" s="19">
        <f t="shared" si="394"/>
        <v>-38</v>
      </c>
      <c r="S1159" s="5">
        <f t="shared" si="391"/>
        <v>45921</v>
      </c>
      <c r="T1159" s="4">
        <v>45954</v>
      </c>
      <c r="U1159" s="19">
        <f t="shared" si="395"/>
        <v>-33</v>
      </c>
      <c r="V1159" s="5">
        <f t="shared" si="387"/>
        <v>45960</v>
      </c>
      <c r="W1159" s="4">
        <v>45954</v>
      </c>
      <c r="X1159" s="19">
        <f t="shared" si="430"/>
        <v>6</v>
      </c>
      <c r="Y1159" s="51">
        <f t="shared" si="427"/>
        <v>45988</v>
      </c>
      <c r="Z1159" s="4">
        <v>45954</v>
      </c>
      <c r="AA1159" s="49">
        <f t="shared" si="397"/>
        <v>34</v>
      </c>
      <c r="AB1159" s="51">
        <f t="shared" si="388"/>
        <v>45990</v>
      </c>
      <c r="AC1159" s="49">
        <f t="shared" si="429"/>
        <v>36</v>
      </c>
      <c r="AD1159" s="43">
        <f t="shared" si="390"/>
        <v>45990</v>
      </c>
      <c r="AF1159" s="19" t="str">
        <f t="shared" si="428"/>
        <v/>
      </c>
      <c r="AG1159" s="10"/>
      <c r="AH1159" s="1"/>
      <c r="AI1159" s="1"/>
      <c r="AJ1159" s="1"/>
      <c r="AK1159" s="1"/>
      <c r="AL1159" s="1"/>
    </row>
    <row r="1160" spans="1:38" ht="14.45">
      <c r="A1160" s="156">
        <v>1159</v>
      </c>
      <c r="B1160" s="59">
        <v>45990</v>
      </c>
      <c r="C1160" s="34" t="s">
        <v>2420</v>
      </c>
      <c r="D1160" s="23" t="s">
        <v>38</v>
      </c>
      <c r="E1160" s="23">
        <v>288.36</v>
      </c>
      <c r="F1160" s="23" t="s">
        <v>2421</v>
      </c>
      <c r="G1160" s="14" t="s">
        <v>190</v>
      </c>
      <c r="H1160" s="23" t="s">
        <v>40</v>
      </c>
      <c r="I1160" s="23" t="s">
        <v>41</v>
      </c>
      <c r="J1160" s="97">
        <f t="shared" si="385"/>
        <v>45890</v>
      </c>
      <c r="K1160" s="4">
        <v>45931</v>
      </c>
      <c r="L1160" s="19">
        <f t="shared" si="411"/>
        <v>-41</v>
      </c>
      <c r="M1160" s="5">
        <f t="shared" si="386"/>
        <v>45901</v>
      </c>
      <c r="N1160" s="4">
        <v>45953</v>
      </c>
      <c r="O1160" s="19">
        <f t="shared" si="393"/>
        <v>-52</v>
      </c>
      <c r="P1160" s="5">
        <f t="shared" ref="P1160:P1226" si="431">B1160-74</f>
        <v>45916</v>
      </c>
      <c r="Q1160" s="4">
        <v>45954</v>
      </c>
      <c r="R1160" s="19">
        <f t="shared" si="394"/>
        <v>-38</v>
      </c>
      <c r="S1160" s="5">
        <f t="shared" si="391"/>
        <v>45921</v>
      </c>
      <c r="T1160" s="4">
        <v>45954</v>
      </c>
      <c r="U1160" s="19">
        <f t="shared" si="395"/>
        <v>-33</v>
      </c>
      <c r="V1160" s="5">
        <f t="shared" si="387"/>
        <v>45960</v>
      </c>
      <c r="W1160" s="4">
        <v>45954</v>
      </c>
      <c r="X1160" s="19">
        <f t="shared" si="430"/>
        <v>6</v>
      </c>
      <c r="Y1160" s="51">
        <f t="shared" si="427"/>
        <v>45988</v>
      </c>
      <c r="Z1160" s="4">
        <v>45954</v>
      </c>
      <c r="AA1160" s="49">
        <f t="shared" si="397"/>
        <v>34</v>
      </c>
      <c r="AB1160" s="51">
        <f t="shared" si="388"/>
        <v>45990</v>
      </c>
      <c r="AC1160" s="49">
        <f t="shared" si="429"/>
        <v>36</v>
      </c>
      <c r="AD1160" s="43">
        <f t="shared" si="390"/>
        <v>45990</v>
      </c>
      <c r="AF1160" s="19" t="str">
        <f t="shared" si="428"/>
        <v/>
      </c>
      <c r="AG1160" s="10"/>
      <c r="AH1160" s="1"/>
      <c r="AI1160" s="1"/>
      <c r="AJ1160" s="1"/>
      <c r="AK1160" s="1"/>
      <c r="AL1160" s="1"/>
    </row>
    <row r="1161" spans="1:38" ht="14.45">
      <c r="A1161" s="156">
        <v>1160</v>
      </c>
      <c r="B1161" s="59">
        <v>45990</v>
      </c>
      <c r="C1161" s="94" t="s">
        <v>2422</v>
      </c>
      <c r="D1161" s="23" t="s">
        <v>2423</v>
      </c>
      <c r="E1161" s="23">
        <v>1745773.29</v>
      </c>
      <c r="F1161" s="23" t="s">
        <v>37</v>
      </c>
      <c r="G1161" s="23" t="s">
        <v>120</v>
      </c>
      <c r="H1161" s="23" t="s">
        <v>36</v>
      </c>
      <c r="I1161" s="23" t="s">
        <v>37</v>
      </c>
      <c r="J1161" s="97">
        <f t="shared" si="385"/>
        <v>45890</v>
      </c>
      <c r="L1161" s="19" t="str">
        <f t="shared" si="411"/>
        <v/>
      </c>
      <c r="M1161" s="5">
        <f t="shared" si="386"/>
        <v>45901</v>
      </c>
      <c r="O1161" s="19" t="str">
        <f t="shared" si="393"/>
        <v/>
      </c>
      <c r="P1161" s="5">
        <f t="shared" si="431"/>
        <v>45916</v>
      </c>
      <c r="R1161" s="19" t="str">
        <f t="shared" si="394"/>
        <v/>
      </c>
      <c r="S1161" s="5">
        <f t="shared" si="391"/>
        <v>45921</v>
      </c>
      <c r="U1161" s="19" t="str">
        <f t="shared" si="395"/>
        <v/>
      </c>
      <c r="V1161" s="5">
        <f t="shared" si="387"/>
        <v>45960</v>
      </c>
      <c r="W1161" s="6"/>
      <c r="X1161" s="19" t="str">
        <f t="shared" si="430"/>
        <v/>
      </c>
      <c r="Y1161" s="51">
        <f t="shared" si="427"/>
        <v>45988</v>
      </c>
      <c r="Z1161" s="49"/>
      <c r="AA1161" s="49" t="str">
        <f t="shared" si="397"/>
        <v/>
      </c>
      <c r="AB1161" s="51">
        <f t="shared" si="388"/>
        <v>45990</v>
      </c>
      <c r="AC1161" s="49" t="str">
        <f t="shared" si="429"/>
        <v/>
      </c>
      <c r="AD1161" s="43">
        <f t="shared" si="390"/>
        <v>45990</v>
      </c>
      <c r="AF1161" s="19" t="str">
        <f t="shared" si="428"/>
        <v/>
      </c>
      <c r="AG1161" s="10" t="s">
        <v>367</v>
      </c>
      <c r="AH1161" s="1"/>
      <c r="AI1161" s="1"/>
      <c r="AJ1161" s="1"/>
      <c r="AK1161" s="1"/>
      <c r="AL1161" s="1"/>
    </row>
    <row r="1162" spans="1:38" ht="14.45">
      <c r="A1162" s="156">
        <v>1161</v>
      </c>
      <c r="B1162" s="59">
        <v>45991</v>
      </c>
      <c r="C1162" s="35" t="s">
        <v>2424</v>
      </c>
      <c r="D1162" s="23" t="s">
        <v>38</v>
      </c>
      <c r="E1162" s="23">
        <v>39.409999999999997</v>
      </c>
      <c r="F1162" s="35" t="s">
        <v>2273</v>
      </c>
      <c r="G1162" s="14" t="s">
        <v>190</v>
      </c>
      <c r="H1162" s="23" t="s">
        <v>40</v>
      </c>
      <c r="I1162" s="23" t="s">
        <v>41</v>
      </c>
      <c r="J1162" s="97">
        <f t="shared" ref="J1162:J1163" si="432">B1162-100</f>
        <v>45891</v>
      </c>
      <c r="K1162" s="4">
        <v>45931</v>
      </c>
      <c r="L1162" s="19">
        <f t="shared" ref="L1162:L1163" si="433">IF(OR(J1162="", K1162=""), "", J1162-K1162)</f>
        <v>-40</v>
      </c>
      <c r="M1162" s="5">
        <f t="shared" ref="M1162:M1163" si="434">B1162-89</f>
        <v>45902</v>
      </c>
      <c r="N1162" s="4">
        <v>45953</v>
      </c>
      <c r="O1162" s="19">
        <f t="shared" ref="O1162:O1163" si="435">IF(OR(M1162="", N1162=""), "", M1162-N1162)</f>
        <v>-51</v>
      </c>
      <c r="P1162" s="5">
        <f t="shared" si="431"/>
        <v>45917</v>
      </c>
      <c r="Q1162" s="4">
        <v>45954</v>
      </c>
      <c r="R1162" s="19">
        <f t="shared" ref="R1162:R1163" si="436">IF(OR(P1162="", Q1162=""), "", P1162-Q1162)</f>
        <v>-37</v>
      </c>
      <c r="S1162" s="5">
        <f t="shared" ref="S1162:S1163" si="437">B1162-69</f>
        <v>45922</v>
      </c>
      <c r="T1162" s="4">
        <v>45954</v>
      </c>
      <c r="U1162" s="19">
        <f t="shared" ref="U1162:U1163" si="438">IF(OR(S1162="", T1162=""), "", S1162-T1162)</f>
        <v>-32</v>
      </c>
      <c r="V1162" s="5">
        <f t="shared" ref="V1162:V1163" si="439">B1162-30</f>
        <v>45961</v>
      </c>
      <c r="W1162" s="4">
        <v>45954</v>
      </c>
      <c r="X1162" s="19">
        <f t="shared" ref="X1162:X1163" si="440">IF(OR(V1162="", W1162=""), "", V1162-W1162)</f>
        <v>7</v>
      </c>
      <c r="Y1162" s="51">
        <f t="shared" ref="Y1162:Y1163" si="441">B1162-2</f>
        <v>45989</v>
      </c>
      <c r="Z1162" s="4">
        <v>45954</v>
      </c>
      <c r="AA1162" s="49">
        <f t="shared" ref="AA1162:AA1163" si="442">IF(OR(Y1162="", Z1162=""), "", Y1162-Z1162)</f>
        <v>35</v>
      </c>
      <c r="AB1162" s="51">
        <f t="shared" ref="AB1162:AB1163" si="443">IF(B1162&lt;&gt;"", B1162, "")</f>
        <v>45991</v>
      </c>
      <c r="AC1162" s="49">
        <f t="shared" ref="AC1162:AC1163" si="444">IF(OR(AB1162="", Z1162=""), "", AB1162-Z1162)</f>
        <v>37</v>
      </c>
      <c r="AD1162" s="43">
        <f t="shared" ref="AD1162:AD1163" si="445">IF(B1162&lt;&gt;"", B1162, "")</f>
        <v>45991</v>
      </c>
      <c r="AG1162" s="10"/>
      <c r="AH1162" s="1"/>
      <c r="AI1162" s="1"/>
      <c r="AJ1162" s="1"/>
      <c r="AK1162" s="1"/>
      <c r="AL1162" s="1"/>
    </row>
    <row r="1163" spans="1:38" ht="14.45">
      <c r="A1163" s="156">
        <v>1162</v>
      </c>
      <c r="B1163" s="59">
        <v>45991</v>
      </c>
      <c r="C1163" s="35" t="s">
        <v>2425</v>
      </c>
      <c r="D1163" s="23" t="s">
        <v>38</v>
      </c>
      <c r="E1163" s="23">
        <v>21.6</v>
      </c>
      <c r="F1163" s="35" t="s">
        <v>2277</v>
      </c>
      <c r="G1163" s="14" t="s">
        <v>190</v>
      </c>
      <c r="H1163" s="23" t="s">
        <v>40</v>
      </c>
      <c r="I1163" s="23" t="s">
        <v>41</v>
      </c>
      <c r="J1163" s="97">
        <f t="shared" si="432"/>
        <v>45891</v>
      </c>
      <c r="K1163" s="4">
        <v>45931</v>
      </c>
      <c r="L1163" s="19">
        <f t="shared" si="433"/>
        <v>-40</v>
      </c>
      <c r="M1163" s="5">
        <f t="shared" si="434"/>
        <v>45902</v>
      </c>
      <c r="N1163" s="4">
        <v>45953</v>
      </c>
      <c r="O1163" s="19">
        <f t="shared" si="435"/>
        <v>-51</v>
      </c>
      <c r="P1163" s="5">
        <f t="shared" si="431"/>
        <v>45917</v>
      </c>
      <c r="Q1163" s="4">
        <v>45954</v>
      </c>
      <c r="R1163" s="19">
        <f t="shared" si="436"/>
        <v>-37</v>
      </c>
      <c r="S1163" s="5">
        <f t="shared" si="437"/>
        <v>45922</v>
      </c>
      <c r="T1163" s="4">
        <v>45954</v>
      </c>
      <c r="U1163" s="19">
        <f t="shared" si="438"/>
        <v>-32</v>
      </c>
      <c r="V1163" s="5">
        <f t="shared" si="439"/>
        <v>45961</v>
      </c>
      <c r="W1163" s="4">
        <v>45954</v>
      </c>
      <c r="X1163" s="19">
        <f t="shared" si="440"/>
        <v>7</v>
      </c>
      <c r="Y1163" s="51">
        <f t="shared" si="441"/>
        <v>45989</v>
      </c>
      <c r="Z1163" s="4">
        <v>45954</v>
      </c>
      <c r="AA1163" s="49">
        <f t="shared" si="442"/>
        <v>35</v>
      </c>
      <c r="AB1163" s="51">
        <f t="shared" si="443"/>
        <v>45991</v>
      </c>
      <c r="AC1163" s="49">
        <f t="shared" si="444"/>
        <v>37</v>
      </c>
      <c r="AD1163" s="43">
        <f t="shared" si="445"/>
        <v>45991</v>
      </c>
      <c r="AG1163" s="10"/>
      <c r="AH1163" s="1"/>
      <c r="AI1163" s="1"/>
      <c r="AJ1163" s="1"/>
      <c r="AK1163" s="1"/>
      <c r="AL1163" s="1"/>
    </row>
    <row r="1164" spans="1:38" ht="14.45">
      <c r="A1164" s="156">
        <v>1163</v>
      </c>
      <c r="B1164" s="59">
        <v>45991</v>
      </c>
      <c r="C1164" s="39" t="s">
        <v>2426</v>
      </c>
      <c r="D1164" s="35" t="s">
        <v>1089</v>
      </c>
      <c r="E1164" s="44">
        <v>6705.7</v>
      </c>
      <c r="F1164" s="35" t="s">
        <v>1090</v>
      </c>
      <c r="G1164" s="23" t="s">
        <v>190</v>
      </c>
      <c r="H1164" s="35" t="s">
        <v>36</v>
      </c>
      <c r="I1164" s="35" t="s">
        <v>62</v>
      </c>
      <c r="J1164" s="97">
        <f t="shared" si="385"/>
        <v>45891</v>
      </c>
      <c r="L1164" s="19" t="s">
        <v>2427</v>
      </c>
      <c r="M1164" s="5">
        <f t="shared" si="386"/>
        <v>45902</v>
      </c>
      <c r="N1164" s="4">
        <v>45936</v>
      </c>
      <c r="O1164" s="19">
        <v>-57</v>
      </c>
      <c r="P1164" s="5">
        <f t="shared" si="431"/>
        <v>45917</v>
      </c>
      <c r="Q1164" s="4">
        <v>45938</v>
      </c>
      <c r="R1164" s="19">
        <v>-42</v>
      </c>
      <c r="S1164" s="5">
        <f t="shared" si="391"/>
        <v>45922</v>
      </c>
      <c r="T1164" s="4">
        <v>45938</v>
      </c>
      <c r="U1164" s="19">
        <v>-37</v>
      </c>
      <c r="V1164" s="5">
        <f t="shared" si="387"/>
        <v>45961</v>
      </c>
      <c r="W1164" s="6">
        <v>45944</v>
      </c>
      <c r="X1164" s="19">
        <f t="shared" si="430"/>
        <v>17</v>
      </c>
      <c r="Y1164" s="51">
        <f>B1164-2</f>
        <v>45989</v>
      </c>
      <c r="Z1164" s="6">
        <v>45944</v>
      </c>
      <c r="AA1164" s="49">
        <f t="shared" si="397"/>
        <v>45</v>
      </c>
      <c r="AB1164" s="51">
        <f t="shared" si="388"/>
        <v>45991</v>
      </c>
      <c r="AC1164" s="49">
        <f t="shared" si="429"/>
        <v>47</v>
      </c>
      <c r="AD1164" s="43">
        <f>IF(B1164&lt;&gt;"", B1164, "")</f>
        <v>45991</v>
      </c>
      <c r="AE1164" s="4">
        <v>45945</v>
      </c>
      <c r="AF1164" s="19">
        <f>IF(OR(AD1164="", AE1164=""), "", AD1164-AE1164)</f>
        <v>46</v>
      </c>
      <c r="AG1164" s="10"/>
      <c r="AH1164" s="1"/>
      <c r="AI1164" s="1"/>
      <c r="AJ1164" s="1"/>
      <c r="AK1164" s="1"/>
      <c r="AL1164" s="1"/>
    </row>
    <row r="1165" spans="1:38" ht="14.45">
      <c r="A1165" s="156">
        <v>1164</v>
      </c>
      <c r="B1165" s="59">
        <v>45991</v>
      </c>
      <c r="C1165" s="34" t="s">
        <v>2428</v>
      </c>
      <c r="D1165" s="23" t="s">
        <v>166</v>
      </c>
      <c r="E1165" s="23">
        <v>77335.240000000005</v>
      </c>
      <c r="F1165" s="23" t="s">
        <v>167</v>
      </c>
      <c r="G1165" s="14" t="s">
        <v>46</v>
      </c>
      <c r="H1165" s="23" t="s">
        <v>40</v>
      </c>
      <c r="I1165" s="23" t="s">
        <v>62</v>
      </c>
      <c r="J1165" s="97">
        <f t="shared" si="385"/>
        <v>45891</v>
      </c>
      <c r="K1165" s="4">
        <v>45887</v>
      </c>
      <c r="L1165" s="19">
        <f t="shared" si="411"/>
        <v>4</v>
      </c>
      <c r="M1165" s="5">
        <f t="shared" si="386"/>
        <v>45902</v>
      </c>
      <c r="N1165" s="4">
        <v>45931</v>
      </c>
      <c r="O1165" s="19">
        <f t="shared" si="393"/>
        <v>-29</v>
      </c>
      <c r="P1165" s="5">
        <f t="shared" si="431"/>
        <v>45917</v>
      </c>
      <c r="R1165" s="19" t="str">
        <f t="shared" si="394"/>
        <v/>
      </c>
      <c r="S1165" s="5">
        <f t="shared" si="391"/>
        <v>45922</v>
      </c>
      <c r="T1165" s="4">
        <v>45930</v>
      </c>
      <c r="U1165" s="19">
        <f t="shared" si="395"/>
        <v>-8</v>
      </c>
      <c r="V1165" s="5">
        <f t="shared" si="387"/>
        <v>45961</v>
      </c>
      <c r="W1165" s="6">
        <v>45961</v>
      </c>
      <c r="X1165" s="19">
        <f t="shared" si="430"/>
        <v>0</v>
      </c>
      <c r="Y1165" s="51">
        <f t="shared" si="427"/>
        <v>45989</v>
      </c>
      <c r="Z1165" s="125"/>
      <c r="AA1165" s="49" t="str">
        <f t="shared" si="397"/>
        <v/>
      </c>
      <c r="AB1165" s="51">
        <f t="shared" si="388"/>
        <v>45991</v>
      </c>
      <c r="AC1165" s="49" t="str">
        <f t="shared" si="429"/>
        <v/>
      </c>
      <c r="AD1165" s="43">
        <f t="shared" si="390"/>
        <v>45991</v>
      </c>
      <c r="AF1165" s="19" t="str">
        <f>IF(OR(AD1165="", AE1165=""), "", AD1165-AE1165)</f>
        <v/>
      </c>
      <c r="AG1165" s="10"/>
      <c r="AH1165" s="1"/>
      <c r="AI1165" s="1"/>
      <c r="AJ1165" s="1"/>
      <c r="AK1165" s="1"/>
      <c r="AL1165" s="1"/>
    </row>
    <row r="1166" spans="1:38" ht="14.45">
      <c r="A1166" s="156">
        <v>1165</v>
      </c>
      <c r="B1166" s="59">
        <v>45991</v>
      </c>
      <c r="C1166" s="34" t="s">
        <v>2429</v>
      </c>
      <c r="D1166" s="23" t="s">
        <v>2296</v>
      </c>
      <c r="E1166" s="23">
        <v>86913.38</v>
      </c>
      <c r="F1166" s="23" t="s">
        <v>2430</v>
      </c>
      <c r="G1166" s="14" t="s">
        <v>35</v>
      </c>
      <c r="H1166" s="23" t="s">
        <v>36</v>
      </c>
      <c r="I1166" s="23" t="s">
        <v>37</v>
      </c>
      <c r="J1166" s="97">
        <f t="shared" si="385"/>
        <v>45891</v>
      </c>
      <c r="L1166" s="19" t="str">
        <f t="shared" si="411"/>
        <v/>
      </c>
      <c r="M1166" s="5">
        <f t="shared" si="386"/>
        <v>45902</v>
      </c>
      <c r="O1166" s="19" t="str">
        <f t="shared" si="393"/>
        <v/>
      </c>
      <c r="P1166" s="5">
        <f t="shared" si="431"/>
        <v>45917</v>
      </c>
      <c r="R1166" s="19" t="str">
        <f t="shared" si="394"/>
        <v/>
      </c>
      <c r="S1166" s="5">
        <f t="shared" si="391"/>
        <v>45922</v>
      </c>
      <c r="T1166" s="4">
        <v>45929</v>
      </c>
      <c r="U1166" s="19">
        <f t="shared" si="395"/>
        <v>-7</v>
      </c>
      <c r="V1166" s="5">
        <f t="shared" si="387"/>
        <v>45961</v>
      </c>
      <c r="W1166" s="6">
        <v>45936</v>
      </c>
      <c r="X1166" s="19">
        <f t="shared" si="430"/>
        <v>25</v>
      </c>
      <c r="Y1166" s="51">
        <f t="shared" si="427"/>
        <v>45989</v>
      </c>
      <c r="Z1166" s="51"/>
      <c r="AA1166" s="49" t="str">
        <f t="shared" si="397"/>
        <v/>
      </c>
      <c r="AB1166" s="51">
        <f t="shared" si="388"/>
        <v>45991</v>
      </c>
      <c r="AC1166" s="49" t="str">
        <f t="shared" si="429"/>
        <v/>
      </c>
      <c r="AD1166" s="43">
        <f t="shared" si="390"/>
        <v>45991</v>
      </c>
      <c r="AF1166" s="19" t="str">
        <f t="shared" si="428"/>
        <v/>
      </c>
      <c r="AG1166" s="10"/>
      <c r="AH1166" s="1"/>
      <c r="AI1166" s="1"/>
      <c r="AJ1166" s="1"/>
      <c r="AK1166" s="1"/>
      <c r="AL1166" s="1"/>
    </row>
    <row r="1167" spans="1:38" s="9" customFormat="1" ht="14.45">
      <c r="A1167" s="157">
        <v>1166</v>
      </c>
      <c r="B1167" s="60">
        <v>45991</v>
      </c>
      <c r="C1167" s="41" t="s">
        <v>2431</v>
      </c>
      <c r="D1167" s="24" t="s">
        <v>38</v>
      </c>
      <c r="E1167" s="24">
        <v>345.91</v>
      </c>
      <c r="F1167" s="24" t="s">
        <v>168</v>
      </c>
      <c r="G1167" s="16" t="s">
        <v>190</v>
      </c>
      <c r="H1167" s="24" t="s">
        <v>40</v>
      </c>
      <c r="I1167" s="24" t="s">
        <v>41</v>
      </c>
      <c r="J1167" s="98">
        <f t="shared" si="385"/>
        <v>45891</v>
      </c>
      <c r="K1167" s="7">
        <v>45931</v>
      </c>
      <c r="L1167" s="99">
        <f t="shared" si="411"/>
        <v>-40</v>
      </c>
      <c r="M1167" s="20">
        <f t="shared" si="386"/>
        <v>45902</v>
      </c>
      <c r="N1167" s="7">
        <v>45953</v>
      </c>
      <c r="O1167" s="99">
        <f t="shared" si="393"/>
        <v>-51</v>
      </c>
      <c r="P1167" s="20">
        <f t="shared" si="431"/>
        <v>45917</v>
      </c>
      <c r="Q1167" s="7">
        <v>45954</v>
      </c>
      <c r="R1167" s="99">
        <f t="shared" si="394"/>
        <v>-37</v>
      </c>
      <c r="S1167" s="20">
        <f t="shared" si="391"/>
        <v>45922</v>
      </c>
      <c r="T1167" s="7">
        <v>45954</v>
      </c>
      <c r="U1167" s="99">
        <f t="shared" si="395"/>
        <v>-32</v>
      </c>
      <c r="V1167" s="20">
        <f t="shared" si="387"/>
        <v>45961</v>
      </c>
      <c r="W1167" s="7">
        <v>45954</v>
      </c>
      <c r="X1167" s="99">
        <f t="shared" si="430"/>
        <v>7</v>
      </c>
      <c r="Y1167" s="66">
        <f t="shared" si="427"/>
        <v>45989</v>
      </c>
      <c r="Z1167" s="7">
        <v>45954</v>
      </c>
      <c r="AA1167" s="50">
        <f t="shared" si="397"/>
        <v>35</v>
      </c>
      <c r="AB1167" s="51">
        <f t="shared" si="388"/>
        <v>45991</v>
      </c>
      <c r="AC1167" s="49">
        <f t="shared" si="429"/>
        <v>37</v>
      </c>
      <c r="AD1167" s="100">
        <f t="shared" si="390"/>
        <v>45991</v>
      </c>
      <c r="AE1167" s="7">
        <v>45954</v>
      </c>
      <c r="AF1167" s="99">
        <f t="shared" ref="AF1167:AF1168" si="446">IF(OR(AD1167="", AE1167=""), "", AD1167-AE1167)</f>
        <v>37</v>
      </c>
      <c r="AG1167" s="36" t="s">
        <v>1479</v>
      </c>
      <c r="AH1167" s="1"/>
      <c r="AI1167" s="48"/>
      <c r="AJ1167" s="48"/>
      <c r="AK1167" s="48"/>
      <c r="AL1167" s="48"/>
    </row>
    <row r="1168" spans="1:38" s="9" customFormat="1" ht="14.45">
      <c r="A1168" s="157">
        <v>1167</v>
      </c>
      <c r="B1168" s="60">
        <v>45991</v>
      </c>
      <c r="C1168" s="41" t="s">
        <v>2432</v>
      </c>
      <c r="D1168" s="24" t="s">
        <v>38</v>
      </c>
      <c r="E1168" s="24">
        <v>81.010000000000005</v>
      </c>
      <c r="F1168" s="24" t="s">
        <v>169</v>
      </c>
      <c r="G1168" s="16" t="s">
        <v>190</v>
      </c>
      <c r="H1168" s="24" t="s">
        <v>40</v>
      </c>
      <c r="I1168" s="24" t="s">
        <v>41</v>
      </c>
      <c r="J1168" s="98">
        <f t="shared" ref="J1168:J1231" si="447">B1168-100</f>
        <v>45891</v>
      </c>
      <c r="K1168" s="7">
        <v>45931</v>
      </c>
      <c r="L1168" s="99">
        <f t="shared" si="411"/>
        <v>-40</v>
      </c>
      <c r="M1168" s="20">
        <f t="shared" ref="M1168:M1231" si="448">B1168-89</f>
        <v>45902</v>
      </c>
      <c r="N1168" s="7">
        <v>45953</v>
      </c>
      <c r="O1168" s="99">
        <f t="shared" si="393"/>
        <v>-51</v>
      </c>
      <c r="P1168" s="20">
        <f t="shared" si="431"/>
        <v>45917</v>
      </c>
      <c r="Q1168" s="7">
        <v>45954</v>
      </c>
      <c r="R1168" s="99">
        <f t="shared" si="394"/>
        <v>-37</v>
      </c>
      <c r="S1168" s="20">
        <f t="shared" si="391"/>
        <v>45922</v>
      </c>
      <c r="T1168" s="7">
        <v>45954</v>
      </c>
      <c r="U1168" s="99">
        <f t="shared" si="395"/>
        <v>-32</v>
      </c>
      <c r="V1168" s="20">
        <f t="shared" ref="V1168:V1231" si="449">B1168-30</f>
        <v>45961</v>
      </c>
      <c r="W1168" s="7">
        <v>45954</v>
      </c>
      <c r="X1168" s="99">
        <f t="shared" si="430"/>
        <v>7</v>
      </c>
      <c r="Y1168" s="66">
        <f t="shared" si="427"/>
        <v>45989</v>
      </c>
      <c r="Z1168" s="7">
        <v>45954</v>
      </c>
      <c r="AA1168" s="50">
        <f t="shared" si="397"/>
        <v>35</v>
      </c>
      <c r="AB1168" s="51">
        <f t="shared" ref="AB1168:AB1232" si="450">IF(B1168&lt;&gt;"", B1168, "")</f>
        <v>45991</v>
      </c>
      <c r="AC1168" s="49">
        <f t="shared" si="429"/>
        <v>37</v>
      </c>
      <c r="AD1168" s="100">
        <f t="shared" ref="AD1168:AD1231" si="451">IF(B1168&lt;&gt;"", B1168, "")</f>
        <v>45991</v>
      </c>
      <c r="AE1168" s="7">
        <v>45954</v>
      </c>
      <c r="AF1168" s="99">
        <f t="shared" si="446"/>
        <v>37</v>
      </c>
      <c r="AG1168" s="36" t="s">
        <v>1479</v>
      </c>
      <c r="AH1168" s="1"/>
      <c r="AI1168" s="48"/>
      <c r="AJ1168" s="48"/>
      <c r="AK1168" s="48"/>
      <c r="AL1168" s="48"/>
    </row>
    <row r="1169" spans="1:38" ht="14.45">
      <c r="A1169" s="156">
        <v>1168</v>
      </c>
      <c r="B1169" s="59">
        <v>45991</v>
      </c>
      <c r="C1169" s="34" t="s">
        <v>2433</v>
      </c>
      <c r="D1169" s="23" t="s">
        <v>171</v>
      </c>
      <c r="E1169" s="23">
        <v>18508.490000000002</v>
      </c>
      <c r="F1169" s="23" t="s">
        <v>172</v>
      </c>
      <c r="G1169" s="14" t="s">
        <v>35</v>
      </c>
      <c r="H1169" s="23" t="s">
        <v>40</v>
      </c>
      <c r="I1169" s="23" t="s">
        <v>93</v>
      </c>
      <c r="J1169" s="97">
        <f t="shared" si="447"/>
        <v>45891</v>
      </c>
      <c r="L1169" s="19" t="str">
        <f t="shared" si="411"/>
        <v/>
      </c>
      <c r="M1169" s="5">
        <f t="shared" si="448"/>
        <v>45902</v>
      </c>
      <c r="O1169" s="19" t="str">
        <f t="shared" si="393"/>
        <v/>
      </c>
      <c r="P1169" s="5">
        <f t="shared" si="431"/>
        <v>45917</v>
      </c>
      <c r="R1169" s="19" t="str">
        <f t="shared" si="394"/>
        <v/>
      </c>
      <c r="S1169" s="5">
        <f t="shared" si="391"/>
        <v>45922</v>
      </c>
      <c r="T1169" s="4">
        <v>45944</v>
      </c>
      <c r="U1169" s="19">
        <f t="shared" si="395"/>
        <v>-22</v>
      </c>
      <c r="V1169" s="5">
        <f t="shared" si="449"/>
        <v>45961</v>
      </c>
      <c r="W1169" s="6"/>
      <c r="X1169" s="19" t="str">
        <f t="shared" si="430"/>
        <v/>
      </c>
      <c r="Y1169" s="51">
        <f t="shared" si="427"/>
        <v>45989</v>
      </c>
      <c r="Z1169" s="49"/>
      <c r="AA1169" s="49" t="str">
        <f t="shared" si="397"/>
        <v/>
      </c>
      <c r="AB1169" s="51">
        <f t="shared" si="450"/>
        <v>45991</v>
      </c>
      <c r="AC1169" s="49" t="str">
        <f t="shared" si="429"/>
        <v/>
      </c>
      <c r="AD1169" s="43">
        <f t="shared" si="451"/>
        <v>45991</v>
      </c>
      <c r="AF1169" s="19" t="str">
        <f t="shared" si="428"/>
        <v/>
      </c>
      <c r="AG1169" s="10"/>
      <c r="AH1169" s="1"/>
      <c r="AI1169" s="1"/>
      <c r="AJ1169" s="1"/>
      <c r="AK1169" s="1"/>
      <c r="AL1169" s="1"/>
    </row>
    <row r="1170" spans="1:38" ht="14.45">
      <c r="A1170" s="156">
        <v>1169</v>
      </c>
      <c r="B1170" s="59">
        <v>45992</v>
      </c>
      <c r="C1170" s="41" t="s">
        <v>2434</v>
      </c>
      <c r="D1170" s="23" t="s">
        <v>596</v>
      </c>
      <c r="E1170" s="23">
        <v>78460.53</v>
      </c>
      <c r="F1170" s="23" t="s">
        <v>2435</v>
      </c>
      <c r="G1170" s="23" t="s">
        <v>51</v>
      </c>
      <c r="H1170" s="23" t="s">
        <v>40</v>
      </c>
      <c r="I1170" s="23" t="s">
        <v>62</v>
      </c>
      <c r="J1170" s="97">
        <f t="shared" si="447"/>
        <v>45892</v>
      </c>
      <c r="L1170" s="19" t="str">
        <f t="shared" si="411"/>
        <v/>
      </c>
      <c r="M1170" s="5">
        <f t="shared" si="448"/>
        <v>45903</v>
      </c>
      <c r="O1170" s="19" t="str">
        <f t="shared" si="393"/>
        <v/>
      </c>
      <c r="P1170" s="5">
        <f t="shared" si="431"/>
        <v>45918</v>
      </c>
      <c r="R1170" s="19" t="str">
        <f t="shared" si="394"/>
        <v/>
      </c>
      <c r="S1170" s="5">
        <f t="shared" si="391"/>
        <v>45923</v>
      </c>
      <c r="U1170" s="19" t="str">
        <f t="shared" si="395"/>
        <v/>
      </c>
      <c r="V1170" s="5">
        <f t="shared" si="449"/>
        <v>45962</v>
      </c>
      <c r="W1170" s="6"/>
      <c r="X1170" s="19" t="str">
        <f t="shared" si="430"/>
        <v/>
      </c>
      <c r="Y1170" s="51">
        <f t="shared" si="427"/>
        <v>45990</v>
      </c>
      <c r="Z1170" s="49"/>
      <c r="AA1170" s="49" t="str">
        <f t="shared" si="397"/>
        <v/>
      </c>
      <c r="AB1170" s="51">
        <f t="shared" si="450"/>
        <v>45992</v>
      </c>
      <c r="AC1170" s="49" t="str">
        <f t="shared" si="429"/>
        <v/>
      </c>
      <c r="AD1170" s="43">
        <f t="shared" si="451"/>
        <v>45992</v>
      </c>
      <c r="AF1170" s="19" t="str">
        <f t="shared" si="428"/>
        <v/>
      </c>
      <c r="AG1170" s="10" t="s">
        <v>367</v>
      </c>
      <c r="AH1170" s="1"/>
      <c r="AI1170" s="1"/>
      <c r="AJ1170" s="1"/>
      <c r="AK1170" s="1"/>
      <c r="AL1170" s="1"/>
    </row>
    <row r="1171" spans="1:38" ht="14.45">
      <c r="A1171" s="156">
        <v>1170</v>
      </c>
      <c r="B1171" s="59">
        <v>45992</v>
      </c>
      <c r="C1171" s="34" t="s">
        <v>2436</v>
      </c>
      <c r="D1171" s="23" t="s">
        <v>77</v>
      </c>
      <c r="E1171" s="23">
        <v>67952.91</v>
      </c>
      <c r="F1171" s="23" t="s">
        <v>2437</v>
      </c>
      <c r="G1171" s="14" t="s">
        <v>51</v>
      </c>
      <c r="H1171" s="23" t="s">
        <v>40</v>
      </c>
      <c r="I1171" s="23" t="s">
        <v>62</v>
      </c>
      <c r="J1171" s="97">
        <f t="shared" si="447"/>
        <v>45892</v>
      </c>
      <c r="K1171" s="4">
        <v>45897</v>
      </c>
      <c r="L1171" s="19">
        <f t="shared" si="411"/>
        <v>-5</v>
      </c>
      <c r="M1171" s="5">
        <f t="shared" si="448"/>
        <v>45903</v>
      </c>
      <c r="N1171" s="4">
        <v>45897</v>
      </c>
      <c r="O1171" s="19">
        <f t="shared" si="393"/>
        <v>6</v>
      </c>
      <c r="P1171" s="5">
        <f t="shared" si="431"/>
        <v>45918</v>
      </c>
      <c r="Q1171" s="4">
        <v>45915</v>
      </c>
      <c r="R1171" s="19">
        <f t="shared" si="394"/>
        <v>3</v>
      </c>
      <c r="S1171" s="5">
        <f t="shared" ref="S1171:S1234" si="452">B1171-69</f>
        <v>45923</v>
      </c>
      <c r="T1171" s="4">
        <v>45926</v>
      </c>
      <c r="U1171" s="19">
        <f t="shared" si="395"/>
        <v>-3</v>
      </c>
      <c r="V1171" s="5">
        <f t="shared" si="449"/>
        <v>45962</v>
      </c>
      <c r="W1171" s="6"/>
      <c r="X1171" s="19" t="str">
        <f t="shared" si="430"/>
        <v/>
      </c>
      <c r="Y1171" s="51">
        <f t="shared" si="427"/>
        <v>45990</v>
      </c>
      <c r="Z1171" s="49"/>
      <c r="AA1171" s="49" t="str">
        <f t="shared" si="397"/>
        <v/>
      </c>
      <c r="AB1171" s="51">
        <f t="shared" si="450"/>
        <v>45992</v>
      </c>
      <c r="AC1171" s="49" t="str">
        <f t="shared" si="429"/>
        <v/>
      </c>
      <c r="AD1171" s="43">
        <f t="shared" si="451"/>
        <v>45992</v>
      </c>
      <c r="AF1171" s="19" t="str">
        <f t="shared" si="428"/>
        <v/>
      </c>
      <c r="AG1171" s="10"/>
      <c r="AH1171" s="1"/>
      <c r="AI1171" s="1"/>
      <c r="AJ1171" s="1"/>
      <c r="AK1171" s="1"/>
      <c r="AL1171" s="1"/>
    </row>
    <row r="1172" spans="1:38" ht="14.45">
      <c r="A1172" s="156">
        <v>1171</v>
      </c>
      <c r="B1172" s="59">
        <v>45992</v>
      </c>
      <c r="C1172" s="34" t="s">
        <v>2438</v>
      </c>
      <c r="D1172" s="23" t="s">
        <v>77</v>
      </c>
      <c r="E1172" s="23">
        <v>46681.94</v>
      </c>
      <c r="F1172" s="23" t="s">
        <v>2439</v>
      </c>
      <c r="G1172" s="14" t="s">
        <v>51</v>
      </c>
      <c r="H1172" s="23" t="s">
        <v>40</v>
      </c>
      <c r="I1172" s="23" t="s">
        <v>52</v>
      </c>
      <c r="J1172" s="97">
        <f t="shared" si="447"/>
        <v>45892</v>
      </c>
      <c r="L1172" s="19" t="str">
        <f t="shared" si="411"/>
        <v/>
      </c>
      <c r="M1172" s="5">
        <f t="shared" si="448"/>
        <v>45903</v>
      </c>
      <c r="N1172" s="4">
        <v>45912</v>
      </c>
      <c r="O1172" s="19">
        <f t="shared" si="393"/>
        <v>-9</v>
      </c>
      <c r="P1172" s="5">
        <f t="shared" si="431"/>
        <v>45918</v>
      </c>
      <c r="Q1172" s="4">
        <v>45926</v>
      </c>
      <c r="R1172" s="19">
        <f t="shared" si="394"/>
        <v>-8</v>
      </c>
      <c r="S1172" s="5">
        <f t="shared" si="452"/>
        <v>45923</v>
      </c>
      <c r="T1172" s="4">
        <v>45926</v>
      </c>
      <c r="U1172" s="19">
        <f t="shared" si="395"/>
        <v>-3</v>
      </c>
      <c r="V1172" s="5">
        <f t="shared" si="449"/>
        <v>45962</v>
      </c>
      <c r="W1172" s="6">
        <v>45988</v>
      </c>
      <c r="X1172" s="19">
        <f t="shared" si="430"/>
        <v>-26</v>
      </c>
      <c r="Y1172" s="51">
        <f t="shared" si="427"/>
        <v>45990</v>
      </c>
      <c r="Z1172" s="49"/>
      <c r="AA1172" s="49" t="str">
        <f t="shared" si="397"/>
        <v/>
      </c>
      <c r="AB1172" s="51">
        <f t="shared" si="450"/>
        <v>45992</v>
      </c>
      <c r="AC1172" s="49" t="str">
        <f t="shared" si="429"/>
        <v/>
      </c>
      <c r="AD1172" s="43">
        <f t="shared" si="451"/>
        <v>45992</v>
      </c>
      <c r="AF1172" s="19" t="str">
        <f t="shared" si="428"/>
        <v/>
      </c>
      <c r="AG1172" s="10"/>
      <c r="AH1172" s="1"/>
      <c r="AI1172" s="1"/>
      <c r="AJ1172" s="1"/>
      <c r="AK1172" s="1"/>
      <c r="AL1172" s="1"/>
    </row>
    <row r="1173" spans="1:38" ht="14.45">
      <c r="A1173" s="156">
        <v>1172</v>
      </c>
      <c r="B1173" s="59">
        <v>45992</v>
      </c>
      <c r="C1173" s="34">
        <v>111827663</v>
      </c>
      <c r="D1173" s="23" t="s">
        <v>2440</v>
      </c>
      <c r="E1173" s="23">
        <v>3500</v>
      </c>
      <c r="F1173" s="23" t="s">
        <v>2441</v>
      </c>
      <c r="G1173" s="14" t="s">
        <v>35</v>
      </c>
      <c r="H1173" s="23" t="s">
        <v>36</v>
      </c>
      <c r="I1173" s="23" t="s">
        <v>1426</v>
      </c>
      <c r="J1173" s="97">
        <f t="shared" si="447"/>
        <v>45892</v>
      </c>
      <c r="L1173" s="19" t="str">
        <f t="shared" si="411"/>
        <v/>
      </c>
      <c r="M1173" s="5">
        <f t="shared" si="448"/>
        <v>45903</v>
      </c>
      <c r="N1173" s="4">
        <v>45926</v>
      </c>
      <c r="O1173" s="19">
        <f t="shared" si="393"/>
        <v>-23</v>
      </c>
      <c r="P1173" s="5">
        <f t="shared" si="431"/>
        <v>45918</v>
      </c>
      <c r="R1173" s="19" t="str">
        <f t="shared" si="394"/>
        <v/>
      </c>
      <c r="S1173" s="5">
        <f t="shared" si="452"/>
        <v>45923</v>
      </c>
      <c r="T1173" s="4">
        <v>45926</v>
      </c>
      <c r="U1173" s="19">
        <f t="shared" si="395"/>
        <v>-3</v>
      </c>
      <c r="V1173" s="5">
        <f t="shared" si="449"/>
        <v>45962</v>
      </c>
      <c r="W1173" s="6">
        <v>45926</v>
      </c>
      <c r="X1173" s="19">
        <f t="shared" si="396"/>
        <v>36</v>
      </c>
      <c r="Y1173" s="51">
        <f t="shared" si="427"/>
        <v>45990</v>
      </c>
      <c r="Z1173" s="51"/>
      <c r="AA1173" s="49" t="str">
        <f t="shared" si="397"/>
        <v/>
      </c>
      <c r="AB1173" s="51">
        <f t="shared" si="450"/>
        <v>45992</v>
      </c>
      <c r="AC1173" s="49" t="str">
        <f t="shared" ref="AC1173:AC1232" si="453">IF(OR(AB1173="", Z1173=""), "", AB1173-Z1173)</f>
        <v/>
      </c>
      <c r="AD1173" s="43">
        <f t="shared" si="451"/>
        <v>45992</v>
      </c>
      <c r="AF1173" s="19" t="str">
        <f t="shared" si="428"/>
        <v/>
      </c>
      <c r="AG1173" s="10"/>
      <c r="AH1173" s="1"/>
      <c r="AI1173" s="1"/>
      <c r="AJ1173" s="1"/>
      <c r="AK1173" s="1"/>
      <c r="AL1173" s="1"/>
    </row>
    <row r="1174" spans="1:38" s="46" customFormat="1" ht="14.45">
      <c r="A1174" s="156">
        <v>1173</v>
      </c>
      <c r="B1174" s="141">
        <v>45994</v>
      </c>
      <c r="C1174" s="142" t="s">
        <v>2442</v>
      </c>
      <c r="D1174" s="61" t="s">
        <v>2443</v>
      </c>
      <c r="E1174" s="61">
        <v>24883.1</v>
      </c>
      <c r="F1174" s="61" t="s">
        <v>2444</v>
      </c>
      <c r="G1174" s="143" t="s">
        <v>128</v>
      </c>
      <c r="H1174" s="61" t="s">
        <v>40</v>
      </c>
      <c r="I1174" s="61" t="s">
        <v>93</v>
      </c>
      <c r="J1174" s="144">
        <f>B1174-100</f>
        <v>45894</v>
      </c>
      <c r="K1174" s="145">
        <v>45897</v>
      </c>
      <c r="L1174" s="146">
        <f>IF(OR(J1174="", K1174=""), "", J1174-K1174)</f>
        <v>-3</v>
      </c>
      <c r="M1174" s="147">
        <f>B1174-89</f>
        <v>45905</v>
      </c>
      <c r="N1174" s="145"/>
      <c r="O1174" s="146" t="str">
        <f>IF(OR(M1255="", N1174=""), "", M1255-N1174)</f>
        <v/>
      </c>
      <c r="P1174" s="147">
        <f>B1255-74</f>
        <v>45946</v>
      </c>
      <c r="Q1174" s="145"/>
      <c r="R1174" s="146" t="str">
        <f>IF(OR(P1174="", Q1174=""), "", P1174-Q1174)</f>
        <v/>
      </c>
      <c r="S1174" s="147">
        <f>B1255-69</f>
        <v>45951</v>
      </c>
      <c r="T1174" s="145"/>
      <c r="U1174" s="146" t="str">
        <f>IF(OR(S1174="", T1174=""), "", S1174-T1174)</f>
        <v/>
      </c>
      <c r="V1174" s="147">
        <f>B1255-30</f>
        <v>45990</v>
      </c>
      <c r="W1174" s="148">
        <v>45953</v>
      </c>
      <c r="X1174" s="146">
        <f>IF(OR(V1174="", W1174=""), "", V1174-W1174)</f>
        <v>37</v>
      </c>
      <c r="Y1174" s="149">
        <f>B1255-2</f>
        <v>46018</v>
      </c>
      <c r="Z1174" s="150"/>
      <c r="AA1174" s="151" t="str">
        <f>IF(OR(Y1174="", Z1174=""), "", Y1174-Z1174)</f>
        <v/>
      </c>
      <c r="AB1174" s="149">
        <f>IF(B1255&lt;&gt;"", B1255, "")</f>
        <v>46020</v>
      </c>
      <c r="AC1174" s="151" t="str">
        <f>IF(OR(AB1174="", Z1174=""), "", AB1174-Z1174)</f>
        <v/>
      </c>
      <c r="AD1174" s="152">
        <f>IF(B1255&lt;&gt;"", B1255, "")</f>
        <v>46020</v>
      </c>
      <c r="AE1174" s="145"/>
      <c r="AF1174" s="146" t="str">
        <f>IF(OR(AD1174="", AE1174=""), "", AD1174-AE1174)</f>
        <v/>
      </c>
      <c r="AG1174" s="153" t="s">
        <v>2185</v>
      </c>
      <c r="AH1174" s="154"/>
      <c r="AI1174" s="154"/>
      <c r="AJ1174" s="154"/>
      <c r="AK1174" s="154"/>
      <c r="AL1174" s="154"/>
    </row>
    <row r="1175" spans="1:38" ht="14.45">
      <c r="A1175" s="156">
        <v>1174</v>
      </c>
      <c r="B1175" s="59">
        <v>45992</v>
      </c>
      <c r="C1175" s="34" t="s">
        <v>2445</v>
      </c>
      <c r="D1175" s="23" t="s">
        <v>38</v>
      </c>
      <c r="E1175" s="23">
        <v>907.2</v>
      </c>
      <c r="F1175" s="23" t="s">
        <v>2446</v>
      </c>
      <c r="G1175" s="14" t="s">
        <v>190</v>
      </c>
      <c r="H1175" s="23" t="s">
        <v>40</v>
      </c>
      <c r="I1175" s="23" t="s">
        <v>41</v>
      </c>
      <c r="J1175" s="97">
        <f t="shared" si="447"/>
        <v>45892</v>
      </c>
      <c r="K1175" s="4">
        <v>45892</v>
      </c>
      <c r="L1175" s="19">
        <f t="shared" si="411"/>
        <v>0</v>
      </c>
      <c r="M1175" s="5">
        <f t="shared" si="448"/>
        <v>45903</v>
      </c>
      <c r="N1175" s="4">
        <v>45903</v>
      </c>
      <c r="O1175" s="19">
        <f t="shared" si="393"/>
        <v>0</v>
      </c>
      <c r="P1175" s="5">
        <f t="shared" si="431"/>
        <v>45918</v>
      </c>
      <c r="Q1175" s="4">
        <v>45918</v>
      </c>
      <c r="R1175" s="19">
        <f t="shared" si="394"/>
        <v>0</v>
      </c>
      <c r="S1175" s="5">
        <f t="shared" si="452"/>
        <v>45923</v>
      </c>
      <c r="T1175" s="4">
        <v>45923</v>
      </c>
      <c r="U1175" s="19">
        <f t="shared" si="395"/>
        <v>0</v>
      </c>
      <c r="V1175" s="5">
        <f t="shared" si="449"/>
        <v>45962</v>
      </c>
      <c r="W1175" s="6"/>
      <c r="X1175" s="19" t="str">
        <f t="shared" si="396"/>
        <v/>
      </c>
      <c r="Y1175" s="51">
        <f t="shared" si="427"/>
        <v>45990</v>
      </c>
      <c r="Z1175" s="51"/>
      <c r="AA1175" s="49" t="str">
        <f t="shared" si="397"/>
        <v/>
      </c>
      <c r="AB1175" s="51">
        <f t="shared" si="450"/>
        <v>45992</v>
      </c>
      <c r="AC1175" s="49" t="str">
        <f t="shared" si="453"/>
        <v/>
      </c>
      <c r="AD1175" s="43">
        <f t="shared" si="451"/>
        <v>45992</v>
      </c>
      <c r="AF1175" s="19" t="str">
        <f t="shared" si="428"/>
        <v/>
      </c>
      <c r="AG1175" s="10"/>
      <c r="AH1175" s="1"/>
      <c r="AI1175" s="1"/>
      <c r="AJ1175" s="1"/>
      <c r="AK1175" s="1"/>
      <c r="AL1175" s="1"/>
    </row>
    <row r="1176" spans="1:38" ht="14.45">
      <c r="A1176" s="156">
        <v>1175</v>
      </c>
      <c r="B1176" s="59">
        <v>45992</v>
      </c>
      <c r="C1176" s="34" t="s">
        <v>2447</v>
      </c>
      <c r="D1176" s="23" t="s">
        <v>38</v>
      </c>
      <c r="E1176" s="23">
        <v>337.79</v>
      </c>
      <c r="F1176" s="23" t="s">
        <v>2448</v>
      </c>
      <c r="G1176" s="14" t="s">
        <v>190</v>
      </c>
      <c r="H1176" s="23" t="s">
        <v>40</v>
      </c>
      <c r="I1176" s="23" t="s">
        <v>41</v>
      </c>
      <c r="J1176" s="97">
        <f t="shared" si="447"/>
        <v>45892</v>
      </c>
      <c r="K1176" s="4">
        <v>45892</v>
      </c>
      <c r="L1176" s="19">
        <f t="shared" si="411"/>
        <v>0</v>
      </c>
      <c r="M1176" s="5">
        <f t="shared" si="448"/>
        <v>45903</v>
      </c>
      <c r="N1176" s="4">
        <v>45903</v>
      </c>
      <c r="O1176" s="19">
        <f t="shared" si="393"/>
        <v>0</v>
      </c>
      <c r="P1176" s="5">
        <f t="shared" si="431"/>
        <v>45918</v>
      </c>
      <c r="Q1176" s="4">
        <v>45918</v>
      </c>
      <c r="R1176" s="19">
        <f t="shared" si="394"/>
        <v>0</v>
      </c>
      <c r="S1176" s="5">
        <f t="shared" si="452"/>
        <v>45923</v>
      </c>
      <c r="T1176" s="4">
        <v>45923</v>
      </c>
      <c r="U1176" s="19">
        <f t="shared" si="395"/>
        <v>0</v>
      </c>
      <c r="V1176" s="5">
        <f t="shared" si="449"/>
        <v>45962</v>
      </c>
      <c r="W1176" s="6"/>
      <c r="X1176" s="19" t="str">
        <f t="shared" si="396"/>
        <v/>
      </c>
      <c r="Y1176" s="51">
        <f t="shared" si="427"/>
        <v>45990</v>
      </c>
      <c r="Z1176" s="51"/>
      <c r="AA1176" s="49" t="str">
        <f t="shared" si="397"/>
        <v/>
      </c>
      <c r="AB1176" s="51">
        <f t="shared" si="450"/>
        <v>45992</v>
      </c>
      <c r="AC1176" s="49" t="str">
        <f t="shared" si="453"/>
        <v/>
      </c>
      <c r="AD1176" s="43">
        <f t="shared" si="451"/>
        <v>45992</v>
      </c>
      <c r="AF1176" s="19" t="str">
        <f t="shared" si="428"/>
        <v/>
      </c>
      <c r="AG1176" s="10"/>
      <c r="AH1176" s="1"/>
      <c r="AI1176" s="1"/>
      <c r="AJ1176" s="1"/>
      <c r="AK1176" s="1"/>
      <c r="AL1176" s="1"/>
    </row>
    <row r="1177" spans="1:38" ht="14.45">
      <c r="A1177" s="156">
        <v>1176</v>
      </c>
      <c r="B1177" s="59">
        <v>45992</v>
      </c>
      <c r="C1177" s="34" t="s">
        <v>2449</v>
      </c>
      <c r="D1177" s="23" t="s">
        <v>2450</v>
      </c>
      <c r="E1177" s="23">
        <v>37897.279999999999</v>
      </c>
      <c r="F1177" s="23" t="s">
        <v>2451</v>
      </c>
      <c r="G1177" s="14" t="s">
        <v>128</v>
      </c>
      <c r="H1177" s="23" t="s">
        <v>40</v>
      </c>
      <c r="I1177" s="23" t="s">
        <v>93</v>
      </c>
      <c r="J1177" s="97">
        <f t="shared" si="447"/>
        <v>45892</v>
      </c>
      <c r="K1177" s="4">
        <v>45897</v>
      </c>
      <c r="L1177" s="19">
        <f t="shared" si="411"/>
        <v>-5</v>
      </c>
      <c r="M1177" s="5">
        <f t="shared" si="448"/>
        <v>45903</v>
      </c>
      <c r="N1177" s="4">
        <v>45909</v>
      </c>
      <c r="O1177" s="19">
        <f t="shared" si="393"/>
        <v>-6</v>
      </c>
      <c r="P1177" s="5">
        <f t="shared" si="431"/>
        <v>45918</v>
      </c>
      <c r="R1177" s="19" t="str">
        <f t="shared" si="394"/>
        <v/>
      </c>
      <c r="S1177" s="5">
        <f t="shared" si="452"/>
        <v>45923</v>
      </c>
      <c r="T1177" s="4">
        <v>45923</v>
      </c>
      <c r="U1177" s="19">
        <f t="shared" si="395"/>
        <v>0</v>
      </c>
      <c r="V1177" s="5">
        <f t="shared" si="449"/>
        <v>45962</v>
      </c>
      <c r="W1177" s="6">
        <v>45961</v>
      </c>
      <c r="X1177" s="19">
        <f t="shared" si="396"/>
        <v>1</v>
      </c>
      <c r="Y1177" s="51">
        <f t="shared" si="427"/>
        <v>45990</v>
      </c>
      <c r="Z1177" s="49"/>
      <c r="AA1177" s="49" t="str">
        <f t="shared" si="397"/>
        <v/>
      </c>
      <c r="AB1177" s="51">
        <f t="shared" si="450"/>
        <v>45992</v>
      </c>
      <c r="AC1177" s="49" t="str">
        <f t="shared" si="453"/>
        <v/>
      </c>
      <c r="AD1177" s="43">
        <f t="shared" si="451"/>
        <v>45992</v>
      </c>
      <c r="AF1177" s="19" t="str">
        <f t="shared" si="428"/>
        <v/>
      </c>
      <c r="AG1177" s="10"/>
      <c r="AH1177" s="1"/>
      <c r="AI1177" s="1"/>
      <c r="AJ1177" s="1"/>
      <c r="AK1177" s="1"/>
      <c r="AL1177" s="1"/>
    </row>
    <row r="1178" spans="1:38" ht="14.45">
      <c r="A1178" s="156">
        <v>1177</v>
      </c>
      <c r="B1178" s="59">
        <v>45992</v>
      </c>
      <c r="C1178" s="34" t="s">
        <v>2452</v>
      </c>
      <c r="D1178" s="23" t="s">
        <v>2453</v>
      </c>
      <c r="E1178" s="23">
        <v>255.94</v>
      </c>
      <c r="F1178" s="23" t="s">
        <v>2454</v>
      </c>
      <c r="G1178" s="14" t="s">
        <v>35</v>
      </c>
      <c r="H1178" s="23" t="s">
        <v>40</v>
      </c>
      <c r="I1178" s="23" t="s">
        <v>41</v>
      </c>
      <c r="J1178" s="97">
        <f t="shared" si="447"/>
        <v>45892</v>
      </c>
      <c r="L1178" s="19" t="str">
        <f t="shared" si="411"/>
        <v/>
      </c>
      <c r="M1178" s="5">
        <f t="shared" si="448"/>
        <v>45903</v>
      </c>
      <c r="O1178" s="19" t="str">
        <f t="shared" si="393"/>
        <v/>
      </c>
      <c r="P1178" s="5">
        <f t="shared" si="431"/>
        <v>45918</v>
      </c>
      <c r="R1178" s="19" t="str">
        <f t="shared" si="394"/>
        <v/>
      </c>
      <c r="S1178" s="5">
        <f t="shared" si="452"/>
        <v>45923</v>
      </c>
      <c r="T1178" s="4">
        <v>45929</v>
      </c>
      <c r="U1178" s="19">
        <f t="shared" si="395"/>
        <v>-6</v>
      </c>
      <c r="V1178" s="5">
        <f t="shared" si="449"/>
        <v>45962</v>
      </c>
      <c r="W1178" s="6"/>
      <c r="X1178" s="19" t="str">
        <f t="shared" si="396"/>
        <v/>
      </c>
      <c r="Y1178" s="51">
        <f t="shared" si="427"/>
        <v>45990</v>
      </c>
      <c r="Z1178" s="51"/>
      <c r="AA1178" s="49" t="str">
        <f t="shared" si="397"/>
        <v/>
      </c>
      <c r="AB1178" s="51">
        <f t="shared" si="450"/>
        <v>45992</v>
      </c>
      <c r="AC1178" s="49" t="str">
        <f t="shared" si="453"/>
        <v/>
      </c>
      <c r="AD1178" s="43">
        <f t="shared" si="451"/>
        <v>45992</v>
      </c>
      <c r="AF1178" s="19" t="str">
        <f t="shared" si="428"/>
        <v/>
      </c>
      <c r="AG1178" s="10"/>
      <c r="AH1178" s="1"/>
      <c r="AI1178" s="1"/>
      <c r="AJ1178" s="1"/>
      <c r="AK1178" s="1"/>
      <c r="AL1178" s="1"/>
    </row>
    <row r="1179" spans="1:38" ht="14.45">
      <c r="A1179" s="156">
        <v>1178</v>
      </c>
      <c r="B1179" s="59">
        <v>45992</v>
      </c>
      <c r="C1179" s="34" t="s">
        <v>2455</v>
      </c>
      <c r="D1179" s="23" t="s">
        <v>2456</v>
      </c>
      <c r="E1179" s="23">
        <v>1276.94</v>
      </c>
      <c r="F1179" s="23" t="s">
        <v>2457</v>
      </c>
      <c r="G1179" s="14" t="s">
        <v>46</v>
      </c>
      <c r="H1179" s="23" t="s">
        <v>40</v>
      </c>
      <c r="I1179" s="23" t="s">
        <v>229</v>
      </c>
      <c r="J1179" s="97">
        <f t="shared" si="447"/>
        <v>45892</v>
      </c>
      <c r="K1179" s="4">
        <v>45887</v>
      </c>
      <c r="L1179" s="19">
        <f t="shared" si="411"/>
        <v>5</v>
      </c>
      <c r="M1179" s="5">
        <f t="shared" si="448"/>
        <v>45903</v>
      </c>
      <c r="N1179" s="4">
        <v>45932</v>
      </c>
      <c r="O1179" s="19">
        <f t="shared" ref="O1179:O1241" si="454">IF(OR(M1179="", N1179=""), "", M1179-N1179)</f>
        <v>-29</v>
      </c>
      <c r="P1179" s="5">
        <f t="shared" si="431"/>
        <v>45918</v>
      </c>
      <c r="R1179" s="19" t="str">
        <f t="shared" ref="R1179:R1241" si="455">IF(OR(P1179="", Q1179=""), "", P1179-Q1179)</f>
        <v/>
      </c>
      <c r="S1179" s="5">
        <f t="shared" si="452"/>
        <v>45923</v>
      </c>
      <c r="T1179" s="4">
        <v>45940</v>
      </c>
      <c r="U1179" s="19">
        <f t="shared" ref="U1179:U1241" si="456">IF(OR(S1179="", T1179=""), "", S1179-T1179)</f>
        <v>-17</v>
      </c>
      <c r="V1179" s="5">
        <f t="shared" si="449"/>
        <v>45962</v>
      </c>
      <c r="W1179" s="6">
        <v>45964</v>
      </c>
      <c r="X1179" s="19">
        <f t="shared" ref="X1179:X1241" si="457">IF(OR(V1179="", W1179=""), "", V1179-W1179)</f>
        <v>-2</v>
      </c>
      <c r="Y1179" s="51">
        <f t="shared" si="427"/>
        <v>45990</v>
      </c>
      <c r="Z1179" s="125"/>
      <c r="AA1179" s="49" t="str">
        <f t="shared" ref="AA1179:AA1241" si="458">IF(OR(Y1179="", Z1179=""), "", Y1179-Z1179)</f>
        <v/>
      </c>
      <c r="AB1179" s="51">
        <f t="shared" si="450"/>
        <v>45992</v>
      </c>
      <c r="AC1179" s="49" t="str">
        <f t="shared" si="453"/>
        <v/>
      </c>
      <c r="AD1179" s="43">
        <f t="shared" si="451"/>
        <v>45992</v>
      </c>
      <c r="AF1179" s="19" t="str">
        <f t="shared" si="428"/>
        <v/>
      </c>
      <c r="AG1179" s="10"/>
      <c r="AH1179" s="1"/>
      <c r="AI1179" s="1"/>
      <c r="AJ1179" s="1"/>
      <c r="AK1179" s="1"/>
      <c r="AL1179" s="1"/>
    </row>
    <row r="1180" spans="1:38" ht="14.45">
      <c r="A1180" s="156">
        <v>1179</v>
      </c>
      <c r="B1180" s="59">
        <v>45993</v>
      </c>
      <c r="C1180" s="34">
        <v>644115230</v>
      </c>
      <c r="D1180" s="23" t="s">
        <v>2458</v>
      </c>
      <c r="E1180" s="23">
        <v>4612.4399999999996</v>
      </c>
      <c r="F1180" s="23" t="s">
        <v>2459</v>
      </c>
      <c r="G1180" s="14" t="s">
        <v>128</v>
      </c>
      <c r="H1180" s="23" t="s">
        <v>40</v>
      </c>
      <c r="I1180" s="23" t="s">
        <v>93</v>
      </c>
      <c r="J1180" s="97">
        <f t="shared" si="447"/>
        <v>45893</v>
      </c>
      <c r="K1180" s="4">
        <v>45897</v>
      </c>
      <c r="L1180" s="19">
        <f t="shared" si="411"/>
        <v>-4</v>
      </c>
      <c r="M1180" s="5">
        <f t="shared" si="448"/>
        <v>45904</v>
      </c>
      <c r="N1180" s="4">
        <v>45915</v>
      </c>
      <c r="O1180" s="19">
        <f t="shared" si="454"/>
        <v>-11</v>
      </c>
      <c r="P1180" s="5">
        <f t="shared" si="431"/>
        <v>45919</v>
      </c>
      <c r="R1180" s="19" t="str">
        <f t="shared" si="455"/>
        <v/>
      </c>
      <c r="S1180" s="5">
        <f t="shared" si="452"/>
        <v>45924</v>
      </c>
      <c r="T1180" s="4">
        <v>45930</v>
      </c>
      <c r="U1180" s="19">
        <f t="shared" si="456"/>
        <v>-6</v>
      </c>
      <c r="V1180" s="5">
        <f t="shared" si="449"/>
        <v>45963</v>
      </c>
      <c r="W1180" s="6">
        <v>45957</v>
      </c>
      <c r="X1180" s="19">
        <f t="shared" si="457"/>
        <v>6</v>
      </c>
      <c r="Y1180" s="51">
        <f t="shared" si="427"/>
        <v>45991</v>
      </c>
      <c r="Z1180" s="49"/>
      <c r="AA1180" s="49" t="str">
        <f t="shared" si="458"/>
        <v/>
      </c>
      <c r="AB1180" s="51">
        <f t="shared" si="450"/>
        <v>45993</v>
      </c>
      <c r="AC1180" s="49" t="str">
        <f t="shared" si="453"/>
        <v/>
      </c>
      <c r="AD1180" s="43">
        <f t="shared" si="451"/>
        <v>45993</v>
      </c>
      <c r="AF1180" s="19" t="str">
        <f t="shared" si="428"/>
        <v/>
      </c>
      <c r="AG1180" s="10"/>
      <c r="AH1180" s="1"/>
      <c r="AI1180" s="1"/>
      <c r="AJ1180" s="1"/>
      <c r="AK1180" s="1"/>
      <c r="AL1180" s="1"/>
    </row>
    <row r="1181" spans="1:38" ht="14.45">
      <c r="A1181" s="156">
        <v>1180</v>
      </c>
      <c r="B1181" s="59">
        <v>45994</v>
      </c>
      <c r="C1181" s="34">
        <v>50660</v>
      </c>
      <c r="D1181" s="23" t="s">
        <v>77</v>
      </c>
      <c r="E1181" s="23">
        <v>3664</v>
      </c>
      <c r="F1181" s="23" t="s">
        <v>2460</v>
      </c>
      <c r="G1181" s="14" t="s">
        <v>51</v>
      </c>
      <c r="H1181" s="23" t="s">
        <v>40</v>
      </c>
      <c r="I1181" s="23" t="s">
        <v>62</v>
      </c>
      <c r="J1181" s="97">
        <f t="shared" si="447"/>
        <v>45894</v>
      </c>
      <c r="K1181" s="4">
        <v>45897</v>
      </c>
      <c r="L1181" s="19">
        <f t="shared" si="411"/>
        <v>-3</v>
      </c>
      <c r="M1181" s="5">
        <f t="shared" si="448"/>
        <v>45905</v>
      </c>
      <c r="N1181" s="4">
        <v>45897</v>
      </c>
      <c r="O1181" s="19">
        <f t="shared" si="454"/>
        <v>8</v>
      </c>
      <c r="P1181" s="5">
        <f t="shared" si="431"/>
        <v>45920</v>
      </c>
      <c r="Q1181" s="4">
        <v>45915</v>
      </c>
      <c r="R1181" s="19">
        <f t="shared" si="455"/>
        <v>5</v>
      </c>
      <c r="S1181" s="5">
        <f t="shared" si="452"/>
        <v>45925</v>
      </c>
      <c r="T1181" s="4">
        <v>45915</v>
      </c>
      <c r="U1181" s="19">
        <f t="shared" si="456"/>
        <v>10</v>
      </c>
      <c r="V1181" s="5">
        <f t="shared" si="449"/>
        <v>45964</v>
      </c>
      <c r="W1181" s="6"/>
      <c r="X1181" s="19" t="str">
        <f t="shared" si="457"/>
        <v/>
      </c>
      <c r="Y1181" s="51">
        <f t="shared" si="427"/>
        <v>45992</v>
      </c>
      <c r="Z1181" s="49"/>
      <c r="AA1181" s="49" t="str">
        <f t="shared" si="458"/>
        <v/>
      </c>
      <c r="AB1181" s="51">
        <f t="shared" si="450"/>
        <v>45994</v>
      </c>
      <c r="AC1181" s="49" t="str">
        <f t="shared" si="453"/>
        <v/>
      </c>
      <c r="AD1181" s="43">
        <f t="shared" si="451"/>
        <v>45994</v>
      </c>
      <c r="AF1181" s="19" t="str">
        <f t="shared" si="428"/>
        <v/>
      </c>
      <c r="AG1181" s="10"/>
      <c r="AH1181" s="1"/>
      <c r="AI1181" s="1"/>
      <c r="AJ1181" s="1"/>
      <c r="AK1181" s="1"/>
      <c r="AL1181" s="1"/>
    </row>
    <row r="1182" spans="1:38" ht="14.45">
      <c r="A1182" s="156">
        <v>1181</v>
      </c>
      <c r="B1182" s="59">
        <v>45994</v>
      </c>
      <c r="C1182" s="34" t="s">
        <v>2461</v>
      </c>
      <c r="D1182" s="23" t="s">
        <v>38</v>
      </c>
      <c r="E1182" s="23">
        <v>1209.8</v>
      </c>
      <c r="F1182" s="23" t="s">
        <v>2462</v>
      </c>
      <c r="G1182" s="14" t="s">
        <v>190</v>
      </c>
      <c r="H1182" s="23" t="s">
        <v>40</v>
      </c>
      <c r="I1182" s="23" t="s">
        <v>41</v>
      </c>
      <c r="J1182" s="97">
        <f t="shared" si="447"/>
        <v>45894</v>
      </c>
      <c r="K1182" s="4">
        <v>45894</v>
      </c>
      <c r="L1182" s="19">
        <f t="shared" si="411"/>
        <v>0</v>
      </c>
      <c r="M1182" s="5">
        <f t="shared" si="448"/>
        <v>45905</v>
      </c>
      <c r="N1182" s="4">
        <v>45905</v>
      </c>
      <c r="O1182" s="19">
        <f t="shared" si="454"/>
        <v>0</v>
      </c>
      <c r="P1182" s="5">
        <f t="shared" si="431"/>
        <v>45920</v>
      </c>
      <c r="Q1182" s="4">
        <v>45920</v>
      </c>
      <c r="R1182" s="19">
        <f t="shared" si="455"/>
        <v>0</v>
      </c>
      <c r="S1182" s="5">
        <f t="shared" si="452"/>
        <v>45925</v>
      </c>
      <c r="T1182" s="4">
        <v>45925</v>
      </c>
      <c r="U1182" s="19">
        <f t="shared" si="456"/>
        <v>0</v>
      </c>
      <c r="V1182" s="5">
        <f t="shared" si="449"/>
        <v>45964</v>
      </c>
      <c r="W1182" s="6"/>
      <c r="X1182" s="19" t="str">
        <f t="shared" si="457"/>
        <v/>
      </c>
      <c r="Y1182" s="51">
        <f t="shared" si="427"/>
        <v>45992</v>
      </c>
      <c r="Z1182" s="51"/>
      <c r="AA1182" s="49" t="str">
        <f t="shared" si="458"/>
        <v/>
      </c>
      <c r="AB1182" s="51">
        <f t="shared" si="450"/>
        <v>45994</v>
      </c>
      <c r="AC1182" s="49" t="str">
        <f t="shared" si="453"/>
        <v/>
      </c>
      <c r="AD1182" s="43">
        <f t="shared" si="451"/>
        <v>45994</v>
      </c>
      <c r="AF1182" s="19" t="str">
        <f t="shared" si="428"/>
        <v/>
      </c>
      <c r="AG1182" s="10"/>
      <c r="AH1182" s="1"/>
      <c r="AI1182" s="1"/>
      <c r="AJ1182" s="1"/>
      <c r="AK1182" s="1"/>
      <c r="AL1182" s="1"/>
    </row>
    <row r="1183" spans="1:38" ht="14.45">
      <c r="A1183" s="156">
        <v>1182</v>
      </c>
      <c r="B1183" s="59">
        <v>45995</v>
      </c>
      <c r="C1183" s="34" t="s">
        <v>2463</v>
      </c>
      <c r="D1183" s="23" t="s">
        <v>2464</v>
      </c>
      <c r="E1183" s="23">
        <v>13145.82</v>
      </c>
      <c r="F1183" s="23" t="s">
        <v>2465</v>
      </c>
      <c r="G1183" s="14" t="s">
        <v>46</v>
      </c>
      <c r="H1183" s="23" t="s">
        <v>36</v>
      </c>
      <c r="I1183" s="23" t="s">
        <v>93</v>
      </c>
      <c r="J1183" s="97">
        <f t="shared" si="447"/>
        <v>45895</v>
      </c>
      <c r="K1183" s="4">
        <v>45887</v>
      </c>
      <c r="L1183" s="19">
        <f t="shared" si="411"/>
        <v>8</v>
      </c>
      <c r="M1183" s="5">
        <f t="shared" si="448"/>
        <v>45906</v>
      </c>
      <c r="N1183" s="4">
        <v>45932</v>
      </c>
      <c r="O1183" s="19">
        <f t="shared" si="454"/>
        <v>-26</v>
      </c>
      <c r="P1183" s="5">
        <f t="shared" si="431"/>
        <v>45921</v>
      </c>
      <c r="R1183" s="19" t="str">
        <f t="shared" si="455"/>
        <v/>
      </c>
      <c r="S1183" s="5">
        <f t="shared" si="452"/>
        <v>45926</v>
      </c>
      <c r="T1183" s="4">
        <v>45940</v>
      </c>
      <c r="U1183" s="19">
        <f t="shared" si="456"/>
        <v>-14</v>
      </c>
      <c r="V1183" s="5">
        <f t="shared" si="449"/>
        <v>45965</v>
      </c>
      <c r="W1183" s="6"/>
      <c r="X1183" s="19" t="str">
        <f t="shared" si="457"/>
        <v/>
      </c>
      <c r="Y1183" s="51">
        <f t="shared" si="427"/>
        <v>45993</v>
      </c>
      <c r="Z1183" s="125"/>
      <c r="AA1183" s="49" t="str">
        <f t="shared" si="458"/>
        <v/>
      </c>
      <c r="AB1183" s="51">
        <f t="shared" si="450"/>
        <v>45995</v>
      </c>
      <c r="AC1183" s="49" t="str">
        <f t="shared" si="453"/>
        <v/>
      </c>
      <c r="AD1183" s="43">
        <f t="shared" si="451"/>
        <v>45995</v>
      </c>
      <c r="AF1183" s="19" t="str">
        <f t="shared" si="428"/>
        <v/>
      </c>
      <c r="AG1183" s="10"/>
      <c r="AH1183" s="1"/>
      <c r="AI1183" s="1"/>
      <c r="AJ1183" s="1"/>
      <c r="AK1183" s="1"/>
      <c r="AL1183" s="1"/>
    </row>
    <row r="1184" spans="1:38" ht="14.45">
      <c r="A1184" s="156">
        <v>1183</v>
      </c>
      <c r="B1184" s="59">
        <v>45996</v>
      </c>
      <c r="C1184" s="34" t="s">
        <v>2466</v>
      </c>
      <c r="D1184" s="23" t="s">
        <v>38</v>
      </c>
      <c r="E1184" s="23">
        <v>425.4</v>
      </c>
      <c r="F1184" s="23" t="s">
        <v>2467</v>
      </c>
      <c r="G1184" s="14" t="s">
        <v>190</v>
      </c>
      <c r="H1184" s="23" t="s">
        <v>40</v>
      </c>
      <c r="I1184" s="23" t="s">
        <v>41</v>
      </c>
      <c r="J1184" s="97">
        <f t="shared" si="447"/>
        <v>45896</v>
      </c>
      <c r="K1184" s="4">
        <v>45896</v>
      </c>
      <c r="L1184" s="19">
        <f t="shared" si="411"/>
        <v>0</v>
      </c>
      <c r="M1184" s="5">
        <f t="shared" si="448"/>
        <v>45907</v>
      </c>
      <c r="N1184" s="4">
        <v>45907</v>
      </c>
      <c r="O1184" s="19">
        <f t="shared" si="454"/>
        <v>0</v>
      </c>
      <c r="P1184" s="5">
        <f t="shared" si="431"/>
        <v>45922</v>
      </c>
      <c r="Q1184" s="4">
        <v>45922</v>
      </c>
      <c r="R1184" s="19">
        <f t="shared" si="455"/>
        <v>0</v>
      </c>
      <c r="S1184" s="5">
        <f t="shared" si="452"/>
        <v>45927</v>
      </c>
      <c r="T1184" s="4">
        <v>45927</v>
      </c>
      <c r="U1184" s="19">
        <f t="shared" si="456"/>
        <v>0</v>
      </c>
      <c r="V1184" s="5">
        <f t="shared" si="449"/>
        <v>45966</v>
      </c>
      <c r="W1184" s="6"/>
      <c r="X1184" s="19" t="str">
        <f t="shared" si="457"/>
        <v/>
      </c>
      <c r="Y1184" s="51">
        <f t="shared" si="427"/>
        <v>45994</v>
      </c>
      <c r="Z1184" s="51"/>
      <c r="AA1184" s="49" t="str">
        <f t="shared" si="458"/>
        <v/>
      </c>
      <c r="AB1184" s="51">
        <f t="shared" si="450"/>
        <v>45996</v>
      </c>
      <c r="AC1184" s="49" t="str">
        <f t="shared" si="453"/>
        <v/>
      </c>
      <c r="AD1184" s="43">
        <f t="shared" si="451"/>
        <v>45996</v>
      </c>
      <c r="AF1184" s="19" t="str">
        <f t="shared" si="428"/>
        <v/>
      </c>
      <c r="AG1184" s="10"/>
      <c r="AH1184" s="1"/>
      <c r="AI1184" s="1"/>
      <c r="AJ1184" s="1"/>
      <c r="AK1184" s="1"/>
      <c r="AL1184" s="1"/>
    </row>
    <row r="1185" spans="1:38" ht="14.45">
      <c r="A1185" s="156">
        <v>1184</v>
      </c>
      <c r="B1185" s="59">
        <v>45996</v>
      </c>
      <c r="C1185" s="34" t="s">
        <v>2468</v>
      </c>
      <c r="D1185" s="23" t="s">
        <v>38</v>
      </c>
      <c r="E1185" s="23">
        <v>275.49</v>
      </c>
      <c r="F1185" s="23" t="s">
        <v>2469</v>
      </c>
      <c r="G1185" s="14" t="s">
        <v>190</v>
      </c>
      <c r="H1185" s="23" t="s">
        <v>40</v>
      </c>
      <c r="I1185" s="23" t="s">
        <v>41</v>
      </c>
      <c r="J1185" s="97">
        <f t="shared" si="447"/>
        <v>45896</v>
      </c>
      <c r="K1185" s="4">
        <v>45896</v>
      </c>
      <c r="L1185" s="19">
        <f t="shared" si="411"/>
        <v>0</v>
      </c>
      <c r="M1185" s="5">
        <f t="shared" si="448"/>
        <v>45907</v>
      </c>
      <c r="N1185" s="4">
        <v>45907</v>
      </c>
      <c r="O1185" s="19">
        <f t="shared" si="454"/>
        <v>0</v>
      </c>
      <c r="P1185" s="5">
        <f t="shared" si="431"/>
        <v>45922</v>
      </c>
      <c r="Q1185" s="4">
        <v>45922</v>
      </c>
      <c r="R1185" s="19">
        <f t="shared" si="455"/>
        <v>0</v>
      </c>
      <c r="S1185" s="5">
        <f t="shared" si="452"/>
        <v>45927</v>
      </c>
      <c r="T1185" s="4">
        <v>45927</v>
      </c>
      <c r="U1185" s="19">
        <f t="shared" si="456"/>
        <v>0</v>
      </c>
      <c r="V1185" s="5">
        <f t="shared" si="449"/>
        <v>45966</v>
      </c>
      <c r="W1185" s="6"/>
      <c r="X1185" s="19" t="str">
        <f t="shared" si="457"/>
        <v/>
      </c>
      <c r="Y1185" s="51">
        <f t="shared" si="427"/>
        <v>45994</v>
      </c>
      <c r="Z1185" s="51"/>
      <c r="AA1185" s="49" t="str">
        <f t="shared" si="458"/>
        <v/>
      </c>
      <c r="AB1185" s="51">
        <f t="shared" si="450"/>
        <v>45996</v>
      </c>
      <c r="AC1185" s="49" t="str">
        <f t="shared" si="453"/>
        <v/>
      </c>
      <c r="AD1185" s="43">
        <f t="shared" si="451"/>
        <v>45996</v>
      </c>
      <c r="AF1185" s="19" t="str">
        <f t="shared" si="428"/>
        <v/>
      </c>
      <c r="AG1185" s="10"/>
      <c r="AH1185" s="1"/>
      <c r="AI1185" s="1"/>
      <c r="AJ1185" s="1"/>
      <c r="AK1185" s="1"/>
      <c r="AL1185" s="1"/>
    </row>
    <row r="1186" spans="1:38" ht="14.45">
      <c r="A1186" s="156">
        <v>1185</v>
      </c>
      <c r="B1186" s="59">
        <v>45996</v>
      </c>
      <c r="C1186" s="34" t="s">
        <v>2470</v>
      </c>
      <c r="D1186" s="23" t="s">
        <v>2139</v>
      </c>
      <c r="E1186" s="23">
        <v>954.25</v>
      </c>
      <c r="F1186" s="23" t="s">
        <v>2471</v>
      </c>
      <c r="G1186" s="14" t="s">
        <v>51</v>
      </c>
      <c r="H1186" s="23" t="s">
        <v>40</v>
      </c>
      <c r="I1186" s="23" t="s">
        <v>41</v>
      </c>
      <c r="J1186" s="97">
        <f t="shared" si="447"/>
        <v>45896</v>
      </c>
      <c r="K1186" s="4">
        <v>45897</v>
      </c>
      <c r="L1186" s="19">
        <f t="shared" si="411"/>
        <v>-1</v>
      </c>
      <c r="M1186" s="5">
        <f t="shared" si="448"/>
        <v>45907</v>
      </c>
      <c r="N1186" s="4">
        <v>45912</v>
      </c>
      <c r="O1186" s="19">
        <f t="shared" si="454"/>
        <v>-5</v>
      </c>
      <c r="P1186" s="5">
        <f t="shared" si="431"/>
        <v>45922</v>
      </c>
      <c r="Q1186" s="4">
        <v>45916</v>
      </c>
      <c r="R1186" s="19">
        <f t="shared" si="455"/>
        <v>6</v>
      </c>
      <c r="S1186" s="5">
        <f t="shared" si="452"/>
        <v>45927</v>
      </c>
      <c r="T1186" s="4">
        <v>45932</v>
      </c>
      <c r="U1186" s="19">
        <f t="shared" si="456"/>
        <v>-5</v>
      </c>
      <c r="V1186" s="5">
        <f t="shared" si="449"/>
        <v>45966</v>
      </c>
      <c r="W1186" s="6">
        <v>45939</v>
      </c>
      <c r="X1186" s="19">
        <f t="shared" si="457"/>
        <v>27</v>
      </c>
      <c r="Y1186" s="51">
        <f t="shared" si="427"/>
        <v>45994</v>
      </c>
      <c r="Z1186" s="49"/>
      <c r="AA1186" s="49" t="str">
        <f t="shared" si="458"/>
        <v/>
      </c>
      <c r="AB1186" s="51">
        <f t="shared" si="450"/>
        <v>45996</v>
      </c>
      <c r="AC1186" s="49" t="str">
        <f t="shared" si="453"/>
        <v/>
      </c>
      <c r="AD1186" s="43">
        <f t="shared" si="451"/>
        <v>45996</v>
      </c>
      <c r="AF1186" s="19" t="str">
        <f t="shared" si="428"/>
        <v/>
      </c>
      <c r="AG1186" s="10" t="s">
        <v>53</v>
      </c>
      <c r="AH1186" s="1"/>
      <c r="AI1186" s="1"/>
      <c r="AJ1186" s="1"/>
      <c r="AK1186" s="1"/>
      <c r="AL1186" s="1"/>
    </row>
    <row r="1187" spans="1:38" ht="14.45">
      <c r="A1187" s="156">
        <v>1186</v>
      </c>
      <c r="B1187" s="59">
        <v>45996</v>
      </c>
      <c r="C1187" s="34">
        <v>647521798</v>
      </c>
      <c r="D1187" s="23" t="s">
        <v>2472</v>
      </c>
      <c r="E1187" s="23">
        <v>5985.32</v>
      </c>
      <c r="F1187" s="23" t="s">
        <v>1070</v>
      </c>
      <c r="G1187" s="14" t="s">
        <v>51</v>
      </c>
      <c r="H1187" s="23" t="s">
        <v>40</v>
      </c>
      <c r="I1187" s="23" t="s">
        <v>93</v>
      </c>
      <c r="J1187" s="97">
        <f t="shared" si="447"/>
        <v>45896</v>
      </c>
      <c r="K1187" s="4">
        <v>45897</v>
      </c>
      <c r="L1187" s="19">
        <f t="shared" si="411"/>
        <v>-1</v>
      </c>
      <c r="M1187" s="5">
        <f t="shared" si="448"/>
        <v>45907</v>
      </c>
      <c r="N1187" s="4">
        <v>45912</v>
      </c>
      <c r="O1187" s="19">
        <f t="shared" si="454"/>
        <v>-5</v>
      </c>
      <c r="P1187" s="5">
        <f t="shared" si="431"/>
        <v>45922</v>
      </c>
      <c r="Q1187" s="4">
        <v>45912</v>
      </c>
      <c r="R1187" s="19">
        <f t="shared" si="455"/>
        <v>10</v>
      </c>
      <c r="S1187" s="5">
        <f t="shared" si="452"/>
        <v>45927</v>
      </c>
      <c r="T1187" s="4">
        <v>45939</v>
      </c>
      <c r="U1187" s="19">
        <f t="shared" si="456"/>
        <v>-12</v>
      </c>
      <c r="V1187" s="5">
        <f t="shared" si="449"/>
        <v>45966</v>
      </c>
      <c r="W1187" s="6"/>
      <c r="X1187" s="19" t="str">
        <f t="shared" si="457"/>
        <v/>
      </c>
      <c r="Y1187" s="51">
        <f t="shared" si="427"/>
        <v>45994</v>
      </c>
      <c r="Z1187" s="49"/>
      <c r="AA1187" s="49" t="str">
        <f t="shared" si="458"/>
        <v/>
      </c>
      <c r="AB1187" s="51">
        <f t="shared" si="450"/>
        <v>45996</v>
      </c>
      <c r="AC1187" s="49" t="str">
        <f t="shared" si="453"/>
        <v/>
      </c>
      <c r="AD1187" s="43">
        <f t="shared" si="451"/>
        <v>45996</v>
      </c>
      <c r="AF1187" s="19" t="str">
        <f t="shared" si="428"/>
        <v/>
      </c>
      <c r="AG1187" s="10"/>
      <c r="AH1187" s="1"/>
      <c r="AI1187" s="1"/>
      <c r="AJ1187" s="1"/>
      <c r="AK1187" s="1"/>
      <c r="AL1187" s="1"/>
    </row>
    <row r="1188" spans="1:38" ht="14.45">
      <c r="A1188" s="156">
        <v>1187</v>
      </c>
      <c r="B1188" s="59">
        <v>45997</v>
      </c>
      <c r="C1188" s="34" t="s">
        <v>2473</v>
      </c>
      <c r="D1188" s="23" t="s">
        <v>2474</v>
      </c>
      <c r="E1188" s="23">
        <v>300</v>
      </c>
      <c r="F1188" s="23" t="s">
        <v>2475</v>
      </c>
      <c r="G1188" s="14" t="s">
        <v>46</v>
      </c>
      <c r="H1188" s="23" t="s">
        <v>40</v>
      </c>
      <c r="I1188" s="23" t="s">
        <v>62</v>
      </c>
      <c r="J1188" s="97">
        <f t="shared" si="447"/>
        <v>45897</v>
      </c>
      <c r="K1188" s="4">
        <v>45887</v>
      </c>
      <c r="L1188" s="19">
        <f t="shared" ref="L1188:L1251" si="459">IF(OR(J1188="", K1188=""), "", J1188-K1188)</f>
        <v>10</v>
      </c>
      <c r="M1188" s="5">
        <f t="shared" si="448"/>
        <v>45908</v>
      </c>
      <c r="N1188" s="4">
        <v>45932</v>
      </c>
      <c r="O1188" s="19">
        <f t="shared" si="454"/>
        <v>-24</v>
      </c>
      <c r="P1188" s="5">
        <f t="shared" si="431"/>
        <v>45923</v>
      </c>
      <c r="R1188" s="19" t="str">
        <f t="shared" si="455"/>
        <v/>
      </c>
      <c r="S1188" s="5">
        <f t="shared" si="452"/>
        <v>45928</v>
      </c>
      <c r="T1188" s="4">
        <v>45930</v>
      </c>
      <c r="U1188" s="19">
        <f t="shared" si="456"/>
        <v>-2</v>
      </c>
      <c r="V1188" s="5">
        <f t="shared" si="449"/>
        <v>45967</v>
      </c>
      <c r="W1188" s="6"/>
      <c r="X1188" s="19" t="str">
        <f t="shared" si="457"/>
        <v/>
      </c>
      <c r="Y1188" s="51">
        <f t="shared" si="427"/>
        <v>45995</v>
      </c>
      <c r="Z1188" s="125"/>
      <c r="AA1188" s="49" t="str">
        <f t="shared" si="458"/>
        <v/>
      </c>
      <c r="AB1188" s="51">
        <f t="shared" si="450"/>
        <v>45997</v>
      </c>
      <c r="AC1188" s="49" t="str">
        <f t="shared" si="453"/>
        <v/>
      </c>
      <c r="AD1188" s="43">
        <f t="shared" si="451"/>
        <v>45997</v>
      </c>
      <c r="AF1188" s="19" t="str">
        <f t="shared" si="428"/>
        <v/>
      </c>
      <c r="AG1188" s="10"/>
      <c r="AH1188" s="1"/>
      <c r="AI1188" s="1"/>
      <c r="AJ1188" s="1"/>
      <c r="AK1188" s="1"/>
      <c r="AL1188" s="1"/>
    </row>
    <row r="1189" spans="1:38" ht="14.45">
      <c r="A1189" s="156">
        <v>1188</v>
      </c>
      <c r="B1189" s="59">
        <v>45997</v>
      </c>
      <c r="C1189" s="34">
        <v>656011293</v>
      </c>
      <c r="D1189" s="23" t="s">
        <v>2476</v>
      </c>
      <c r="E1189" s="23">
        <v>6559.79</v>
      </c>
      <c r="F1189" s="23" t="s">
        <v>2477</v>
      </c>
      <c r="G1189" s="14" t="s">
        <v>51</v>
      </c>
      <c r="H1189" s="23" t="s">
        <v>40</v>
      </c>
      <c r="I1189" s="23" t="s">
        <v>93</v>
      </c>
      <c r="J1189" s="97">
        <f t="shared" si="447"/>
        <v>45897</v>
      </c>
      <c r="K1189" s="4">
        <v>45897</v>
      </c>
      <c r="L1189" s="19">
        <f t="shared" si="459"/>
        <v>0</v>
      </c>
      <c r="M1189" s="5">
        <f t="shared" si="448"/>
        <v>45908</v>
      </c>
      <c r="N1189" s="4">
        <v>45912</v>
      </c>
      <c r="O1189" s="19">
        <f t="shared" si="454"/>
        <v>-4</v>
      </c>
      <c r="P1189" s="5">
        <f t="shared" si="431"/>
        <v>45923</v>
      </c>
      <c r="Q1189" s="4">
        <v>45922</v>
      </c>
      <c r="R1189" s="19">
        <f t="shared" si="455"/>
        <v>1</v>
      </c>
      <c r="S1189" s="5">
        <f t="shared" si="452"/>
        <v>45928</v>
      </c>
      <c r="T1189" s="4">
        <v>45939</v>
      </c>
      <c r="U1189" s="19">
        <f t="shared" si="456"/>
        <v>-11</v>
      </c>
      <c r="V1189" s="5">
        <f t="shared" si="449"/>
        <v>45967</v>
      </c>
      <c r="W1189" s="6"/>
      <c r="X1189" s="19" t="str">
        <f t="shared" si="457"/>
        <v/>
      </c>
      <c r="Y1189" s="51">
        <f t="shared" si="427"/>
        <v>45995</v>
      </c>
      <c r="Z1189" s="49"/>
      <c r="AA1189" s="49" t="str">
        <f t="shared" si="458"/>
        <v/>
      </c>
      <c r="AB1189" s="51">
        <f t="shared" si="450"/>
        <v>45997</v>
      </c>
      <c r="AC1189" s="49" t="str">
        <f t="shared" si="453"/>
        <v/>
      </c>
      <c r="AD1189" s="43">
        <f t="shared" si="451"/>
        <v>45997</v>
      </c>
      <c r="AF1189" s="19" t="str">
        <f t="shared" si="428"/>
        <v/>
      </c>
      <c r="AG1189" s="10"/>
      <c r="AH1189" s="1"/>
      <c r="AI1189" s="1"/>
      <c r="AJ1189" s="1"/>
      <c r="AK1189" s="1"/>
      <c r="AL1189" s="1"/>
    </row>
    <row r="1190" spans="1:38" ht="14.45">
      <c r="A1190" s="156">
        <v>1189</v>
      </c>
      <c r="B1190" s="59">
        <v>45998</v>
      </c>
      <c r="C1190" s="34">
        <v>111845246</v>
      </c>
      <c r="D1190" s="23" t="s">
        <v>2478</v>
      </c>
      <c r="E1190" s="23">
        <v>29623.3</v>
      </c>
      <c r="F1190" s="23" t="s">
        <v>37</v>
      </c>
      <c r="G1190" s="14" t="s">
        <v>190</v>
      </c>
      <c r="H1190" s="23" t="s">
        <v>36</v>
      </c>
      <c r="I1190" s="23" t="s">
        <v>37</v>
      </c>
      <c r="J1190" s="97">
        <f t="shared" si="447"/>
        <v>45898</v>
      </c>
      <c r="K1190" s="4">
        <v>45903</v>
      </c>
      <c r="L1190" s="19">
        <f t="shared" si="459"/>
        <v>-5</v>
      </c>
      <c r="M1190" s="5">
        <f t="shared" si="448"/>
        <v>45909</v>
      </c>
      <c r="N1190" s="4">
        <v>45942</v>
      </c>
      <c r="O1190" s="19">
        <f t="shared" si="454"/>
        <v>-33</v>
      </c>
      <c r="P1190" s="5">
        <f t="shared" si="431"/>
        <v>45924</v>
      </c>
      <c r="R1190" s="19" t="str">
        <f t="shared" si="455"/>
        <v/>
      </c>
      <c r="S1190" s="5">
        <f t="shared" si="452"/>
        <v>45929</v>
      </c>
      <c r="T1190" s="4">
        <v>45942</v>
      </c>
      <c r="U1190" s="19">
        <f t="shared" si="456"/>
        <v>-13</v>
      </c>
      <c r="V1190" s="5">
        <f t="shared" si="449"/>
        <v>45968</v>
      </c>
      <c r="W1190" s="6"/>
      <c r="X1190" s="19" t="str">
        <f t="shared" si="457"/>
        <v/>
      </c>
      <c r="Y1190" s="51">
        <f t="shared" si="427"/>
        <v>45996</v>
      </c>
      <c r="Z1190" s="51"/>
      <c r="AA1190" s="49" t="str">
        <f t="shared" si="458"/>
        <v/>
      </c>
      <c r="AB1190" s="51">
        <f t="shared" si="450"/>
        <v>45998</v>
      </c>
      <c r="AC1190" s="49" t="str">
        <f t="shared" si="453"/>
        <v/>
      </c>
      <c r="AD1190" s="43">
        <f t="shared" si="451"/>
        <v>45998</v>
      </c>
      <c r="AF1190" s="19" t="str">
        <f t="shared" si="428"/>
        <v/>
      </c>
      <c r="AG1190" s="10"/>
      <c r="AH1190" s="1"/>
      <c r="AI1190" s="1"/>
      <c r="AJ1190" s="1"/>
      <c r="AK1190" s="1"/>
      <c r="AL1190" s="1"/>
    </row>
    <row r="1191" spans="1:38" ht="14.45">
      <c r="A1191" s="156">
        <v>1190</v>
      </c>
      <c r="B1191" s="59">
        <v>46001</v>
      </c>
      <c r="C1191" s="34" t="s">
        <v>2479</v>
      </c>
      <c r="D1191" s="23" t="s">
        <v>2480</v>
      </c>
      <c r="E1191" s="23">
        <v>2146.1</v>
      </c>
      <c r="F1191" s="23" t="s">
        <v>2481</v>
      </c>
      <c r="G1191" s="14" t="s">
        <v>46</v>
      </c>
      <c r="H1191" s="23" t="s">
        <v>40</v>
      </c>
      <c r="I1191" s="23" t="s">
        <v>229</v>
      </c>
      <c r="J1191" s="97">
        <f t="shared" si="447"/>
        <v>45901</v>
      </c>
      <c r="K1191" s="4">
        <v>45887</v>
      </c>
      <c r="L1191" s="19">
        <f t="shared" si="459"/>
        <v>14</v>
      </c>
      <c r="M1191" s="5">
        <f t="shared" si="448"/>
        <v>45912</v>
      </c>
      <c r="N1191" s="4">
        <v>45931</v>
      </c>
      <c r="O1191" s="19">
        <f t="shared" si="454"/>
        <v>-19</v>
      </c>
      <c r="P1191" s="5">
        <f t="shared" si="431"/>
        <v>45927</v>
      </c>
      <c r="R1191" s="19" t="str">
        <f t="shared" si="455"/>
        <v/>
      </c>
      <c r="S1191" s="5">
        <f t="shared" si="452"/>
        <v>45932</v>
      </c>
      <c r="T1191" s="4">
        <v>45919</v>
      </c>
      <c r="U1191" s="19">
        <f t="shared" si="456"/>
        <v>13</v>
      </c>
      <c r="V1191" s="5">
        <f t="shared" si="449"/>
        <v>45971</v>
      </c>
      <c r="W1191" s="6"/>
      <c r="X1191" s="19" t="str">
        <f t="shared" si="457"/>
        <v/>
      </c>
      <c r="Y1191" s="51">
        <f t="shared" si="427"/>
        <v>45999</v>
      </c>
      <c r="Z1191" s="125"/>
      <c r="AA1191" s="49" t="str">
        <f t="shared" si="458"/>
        <v/>
      </c>
      <c r="AB1191" s="51">
        <f t="shared" si="450"/>
        <v>46001</v>
      </c>
      <c r="AC1191" s="49" t="str">
        <f t="shared" si="453"/>
        <v/>
      </c>
      <c r="AD1191" s="43">
        <f t="shared" si="451"/>
        <v>46001</v>
      </c>
      <c r="AF1191" s="19" t="str">
        <f t="shared" si="428"/>
        <v/>
      </c>
      <c r="AG1191" s="10"/>
      <c r="AH1191" s="1"/>
      <c r="AI1191" s="1"/>
      <c r="AJ1191" s="1"/>
      <c r="AK1191" s="1"/>
      <c r="AL1191" s="1"/>
    </row>
    <row r="1192" spans="1:38" ht="14.45">
      <c r="A1192" s="156">
        <v>1191</v>
      </c>
      <c r="B1192" s="59">
        <v>46001</v>
      </c>
      <c r="C1192" s="34" t="s">
        <v>2482</v>
      </c>
      <c r="D1192" s="23" t="s">
        <v>38</v>
      </c>
      <c r="E1192" s="23">
        <v>175.79</v>
      </c>
      <c r="F1192" s="23" t="s">
        <v>2483</v>
      </c>
      <c r="G1192" s="14" t="s">
        <v>190</v>
      </c>
      <c r="H1192" s="23" t="s">
        <v>40</v>
      </c>
      <c r="I1192" s="23" t="s">
        <v>41</v>
      </c>
      <c r="J1192" s="97">
        <f t="shared" si="447"/>
        <v>45901</v>
      </c>
      <c r="K1192" s="4">
        <v>45901</v>
      </c>
      <c r="L1192" s="19">
        <f t="shared" si="459"/>
        <v>0</v>
      </c>
      <c r="M1192" s="5">
        <f t="shared" si="448"/>
        <v>45912</v>
      </c>
      <c r="N1192" s="4">
        <v>45912</v>
      </c>
      <c r="O1192" s="19">
        <f t="shared" si="454"/>
        <v>0</v>
      </c>
      <c r="P1192" s="5">
        <f t="shared" si="431"/>
        <v>45927</v>
      </c>
      <c r="Q1192" s="4">
        <v>45927</v>
      </c>
      <c r="R1192" s="19">
        <f t="shared" si="455"/>
        <v>0</v>
      </c>
      <c r="S1192" s="5">
        <f t="shared" si="452"/>
        <v>45932</v>
      </c>
      <c r="T1192" s="4">
        <v>45932</v>
      </c>
      <c r="U1192" s="19">
        <f t="shared" si="456"/>
        <v>0</v>
      </c>
      <c r="V1192" s="5">
        <f t="shared" si="449"/>
        <v>45971</v>
      </c>
      <c r="W1192" s="6"/>
      <c r="X1192" s="19" t="str">
        <f t="shared" si="457"/>
        <v/>
      </c>
      <c r="Y1192" s="51">
        <f t="shared" si="427"/>
        <v>45999</v>
      </c>
      <c r="Z1192" s="51"/>
      <c r="AA1192" s="49" t="str">
        <f t="shared" si="458"/>
        <v/>
      </c>
      <c r="AB1192" s="51">
        <f t="shared" si="450"/>
        <v>46001</v>
      </c>
      <c r="AC1192" s="49" t="str">
        <f t="shared" si="453"/>
        <v/>
      </c>
      <c r="AD1192" s="43">
        <f t="shared" si="451"/>
        <v>46001</v>
      </c>
      <c r="AF1192" s="19" t="str">
        <f t="shared" si="428"/>
        <v/>
      </c>
      <c r="AG1192" s="10"/>
      <c r="AH1192" s="1"/>
      <c r="AI1192" s="1"/>
      <c r="AJ1192" s="1"/>
      <c r="AK1192" s="1"/>
      <c r="AL1192" s="1"/>
    </row>
    <row r="1193" spans="1:38" ht="14.45">
      <c r="A1193" s="156">
        <v>1192</v>
      </c>
      <c r="B1193" s="59">
        <v>46001</v>
      </c>
      <c r="C1193" s="34" t="s">
        <v>2484</v>
      </c>
      <c r="D1193" s="23" t="s">
        <v>38</v>
      </c>
      <c r="E1193" s="23">
        <v>577.44000000000005</v>
      </c>
      <c r="F1193" s="23" t="s">
        <v>2485</v>
      </c>
      <c r="G1193" s="14" t="s">
        <v>190</v>
      </c>
      <c r="H1193" s="23" t="s">
        <v>40</v>
      </c>
      <c r="I1193" s="23" t="s">
        <v>41</v>
      </c>
      <c r="J1193" s="97">
        <f t="shared" si="447"/>
        <v>45901</v>
      </c>
      <c r="K1193" s="4">
        <v>45901</v>
      </c>
      <c r="L1193" s="19">
        <f t="shared" si="459"/>
        <v>0</v>
      </c>
      <c r="M1193" s="5">
        <f t="shared" si="448"/>
        <v>45912</v>
      </c>
      <c r="N1193" s="4">
        <v>45912</v>
      </c>
      <c r="O1193" s="19">
        <f t="shared" si="454"/>
        <v>0</v>
      </c>
      <c r="P1193" s="5">
        <f t="shared" si="431"/>
        <v>45927</v>
      </c>
      <c r="Q1193" s="4">
        <v>45927</v>
      </c>
      <c r="R1193" s="19">
        <f t="shared" si="455"/>
        <v>0</v>
      </c>
      <c r="S1193" s="5">
        <f t="shared" si="452"/>
        <v>45932</v>
      </c>
      <c r="T1193" s="4">
        <v>45932</v>
      </c>
      <c r="U1193" s="19">
        <f t="shared" si="456"/>
        <v>0</v>
      </c>
      <c r="V1193" s="5">
        <f t="shared" si="449"/>
        <v>45971</v>
      </c>
      <c r="W1193" s="6"/>
      <c r="X1193" s="19" t="str">
        <f t="shared" si="457"/>
        <v/>
      </c>
      <c r="Y1193" s="51">
        <f t="shared" si="427"/>
        <v>45999</v>
      </c>
      <c r="Z1193" s="51"/>
      <c r="AA1193" s="49" t="str">
        <f t="shared" si="458"/>
        <v/>
      </c>
      <c r="AB1193" s="51">
        <f t="shared" si="450"/>
        <v>46001</v>
      </c>
      <c r="AC1193" s="49" t="str">
        <f t="shared" si="453"/>
        <v/>
      </c>
      <c r="AD1193" s="43">
        <f t="shared" si="451"/>
        <v>46001</v>
      </c>
      <c r="AF1193" s="19" t="str">
        <f t="shared" si="428"/>
        <v/>
      </c>
      <c r="AG1193" s="10"/>
      <c r="AH1193" s="1"/>
      <c r="AI1193" s="1"/>
      <c r="AJ1193" s="1"/>
      <c r="AK1193" s="1"/>
      <c r="AL1193" s="1"/>
    </row>
    <row r="1194" spans="1:38" ht="14.45">
      <c r="A1194" s="156">
        <v>1193</v>
      </c>
      <c r="B1194" s="59">
        <v>46001</v>
      </c>
      <c r="C1194" s="34" t="s">
        <v>2486</v>
      </c>
      <c r="D1194" s="23" t="s">
        <v>38</v>
      </c>
      <c r="E1194" s="23">
        <v>2590.6799999999998</v>
      </c>
      <c r="F1194" s="23" t="s">
        <v>2487</v>
      </c>
      <c r="G1194" s="14" t="s">
        <v>190</v>
      </c>
      <c r="H1194" s="23" t="s">
        <v>40</v>
      </c>
      <c r="I1194" s="23" t="s">
        <v>41</v>
      </c>
      <c r="J1194" s="97">
        <f t="shared" si="447"/>
        <v>45901</v>
      </c>
      <c r="K1194" s="4">
        <v>45901</v>
      </c>
      <c r="L1194" s="19">
        <f t="shared" si="459"/>
        <v>0</v>
      </c>
      <c r="M1194" s="5">
        <f t="shared" si="448"/>
        <v>45912</v>
      </c>
      <c r="N1194" s="4">
        <v>45912</v>
      </c>
      <c r="O1194" s="19">
        <f t="shared" si="454"/>
        <v>0</v>
      </c>
      <c r="P1194" s="5">
        <f t="shared" si="431"/>
        <v>45927</v>
      </c>
      <c r="Q1194" s="4">
        <v>45927</v>
      </c>
      <c r="R1194" s="19">
        <f t="shared" si="455"/>
        <v>0</v>
      </c>
      <c r="S1194" s="5">
        <f t="shared" si="452"/>
        <v>45932</v>
      </c>
      <c r="T1194" s="4">
        <v>45932</v>
      </c>
      <c r="U1194" s="19">
        <f t="shared" si="456"/>
        <v>0</v>
      </c>
      <c r="V1194" s="5">
        <f t="shared" si="449"/>
        <v>45971</v>
      </c>
      <c r="W1194" s="6"/>
      <c r="X1194" s="19" t="str">
        <f t="shared" si="457"/>
        <v/>
      </c>
      <c r="Y1194" s="51">
        <f t="shared" si="427"/>
        <v>45999</v>
      </c>
      <c r="Z1194" s="51"/>
      <c r="AA1194" s="49" t="str">
        <f t="shared" si="458"/>
        <v/>
      </c>
      <c r="AB1194" s="51">
        <f t="shared" si="450"/>
        <v>46001</v>
      </c>
      <c r="AC1194" s="49" t="str">
        <f t="shared" si="453"/>
        <v/>
      </c>
      <c r="AD1194" s="43">
        <f t="shared" si="451"/>
        <v>46001</v>
      </c>
      <c r="AF1194" s="19" t="str">
        <f t="shared" si="428"/>
        <v/>
      </c>
      <c r="AG1194" s="10"/>
      <c r="AH1194" s="1"/>
      <c r="AI1194" s="1"/>
      <c r="AJ1194" s="1"/>
      <c r="AK1194" s="1"/>
      <c r="AL1194" s="1"/>
    </row>
    <row r="1195" spans="1:38" ht="14.45">
      <c r="A1195" s="156">
        <v>1194</v>
      </c>
      <c r="B1195" s="59">
        <v>46001</v>
      </c>
      <c r="C1195" s="34" t="s">
        <v>2488</v>
      </c>
      <c r="D1195" s="23" t="s">
        <v>38</v>
      </c>
      <c r="E1195" s="23">
        <v>139.77000000000001</v>
      </c>
      <c r="F1195" s="23" t="s">
        <v>2489</v>
      </c>
      <c r="G1195" s="14" t="s">
        <v>190</v>
      </c>
      <c r="H1195" s="23" t="s">
        <v>40</v>
      </c>
      <c r="I1195" s="23" t="s">
        <v>41</v>
      </c>
      <c r="J1195" s="97">
        <f t="shared" si="447"/>
        <v>45901</v>
      </c>
      <c r="K1195" s="4">
        <v>45901</v>
      </c>
      <c r="L1195" s="19">
        <f t="shared" si="459"/>
        <v>0</v>
      </c>
      <c r="M1195" s="5">
        <f t="shared" si="448"/>
        <v>45912</v>
      </c>
      <c r="N1195" s="4">
        <v>45912</v>
      </c>
      <c r="O1195" s="19">
        <f t="shared" si="454"/>
        <v>0</v>
      </c>
      <c r="P1195" s="5">
        <f t="shared" si="431"/>
        <v>45927</v>
      </c>
      <c r="Q1195" s="4">
        <v>45927</v>
      </c>
      <c r="R1195" s="19">
        <f t="shared" si="455"/>
        <v>0</v>
      </c>
      <c r="S1195" s="5">
        <f t="shared" si="452"/>
        <v>45932</v>
      </c>
      <c r="T1195" s="4">
        <v>45932</v>
      </c>
      <c r="U1195" s="19">
        <f t="shared" si="456"/>
        <v>0</v>
      </c>
      <c r="V1195" s="5">
        <f t="shared" si="449"/>
        <v>45971</v>
      </c>
      <c r="W1195" s="6"/>
      <c r="X1195" s="19" t="str">
        <f t="shared" si="457"/>
        <v/>
      </c>
      <c r="Y1195" s="51">
        <f t="shared" si="427"/>
        <v>45999</v>
      </c>
      <c r="Z1195" s="51"/>
      <c r="AA1195" s="49" t="str">
        <f t="shared" si="458"/>
        <v/>
      </c>
      <c r="AB1195" s="51">
        <f t="shared" si="450"/>
        <v>46001</v>
      </c>
      <c r="AC1195" s="49" t="str">
        <f t="shared" si="453"/>
        <v/>
      </c>
      <c r="AD1195" s="43">
        <f t="shared" si="451"/>
        <v>46001</v>
      </c>
      <c r="AF1195" s="19" t="str">
        <f t="shared" si="428"/>
        <v/>
      </c>
      <c r="AG1195" s="10"/>
      <c r="AH1195" s="1"/>
      <c r="AI1195" s="1"/>
      <c r="AJ1195" s="1"/>
      <c r="AK1195" s="1"/>
      <c r="AL1195" s="1"/>
    </row>
    <row r="1196" spans="1:38" ht="14.45">
      <c r="A1196" s="156">
        <v>1195</v>
      </c>
      <c r="B1196" s="59">
        <v>46001</v>
      </c>
      <c r="C1196" s="34" t="s">
        <v>2490</v>
      </c>
      <c r="D1196" s="23" t="s">
        <v>38</v>
      </c>
      <c r="E1196" s="23">
        <v>2763.94</v>
      </c>
      <c r="F1196" s="23" t="s">
        <v>2491</v>
      </c>
      <c r="G1196" s="14" t="s">
        <v>190</v>
      </c>
      <c r="H1196" s="23" t="s">
        <v>40</v>
      </c>
      <c r="I1196" s="23" t="s">
        <v>41</v>
      </c>
      <c r="J1196" s="97">
        <f t="shared" si="447"/>
        <v>45901</v>
      </c>
      <c r="K1196" s="4">
        <v>45901</v>
      </c>
      <c r="L1196" s="19">
        <f t="shared" si="459"/>
        <v>0</v>
      </c>
      <c r="M1196" s="5">
        <f t="shared" si="448"/>
        <v>45912</v>
      </c>
      <c r="N1196" s="4">
        <v>45912</v>
      </c>
      <c r="O1196" s="19">
        <f t="shared" si="454"/>
        <v>0</v>
      </c>
      <c r="P1196" s="5">
        <f t="shared" si="431"/>
        <v>45927</v>
      </c>
      <c r="Q1196" s="4">
        <v>45927</v>
      </c>
      <c r="R1196" s="19">
        <f t="shared" si="455"/>
        <v>0</v>
      </c>
      <c r="S1196" s="5">
        <f t="shared" si="452"/>
        <v>45932</v>
      </c>
      <c r="T1196" s="4">
        <v>45932</v>
      </c>
      <c r="U1196" s="19">
        <f t="shared" si="456"/>
        <v>0</v>
      </c>
      <c r="V1196" s="5">
        <f t="shared" si="449"/>
        <v>45971</v>
      </c>
      <c r="W1196" s="6"/>
      <c r="X1196" s="19" t="str">
        <f t="shared" si="457"/>
        <v/>
      </c>
      <c r="Y1196" s="51">
        <f t="shared" si="427"/>
        <v>45999</v>
      </c>
      <c r="Z1196" s="51"/>
      <c r="AA1196" s="49" t="str">
        <f t="shared" si="458"/>
        <v/>
      </c>
      <c r="AB1196" s="51">
        <f t="shared" si="450"/>
        <v>46001</v>
      </c>
      <c r="AC1196" s="49" t="str">
        <f t="shared" si="453"/>
        <v/>
      </c>
      <c r="AD1196" s="43">
        <f t="shared" si="451"/>
        <v>46001</v>
      </c>
      <c r="AF1196" s="19" t="str">
        <f t="shared" si="428"/>
        <v/>
      </c>
      <c r="AG1196" s="10"/>
      <c r="AH1196" s="1"/>
      <c r="AI1196" s="1"/>
      <c r="AJ1196" s="1"/>
      <c r="AK1196" s="1"/>
      <c r="AL1196" s="1"/>
    </row>
    <row r="1197" spans="1:38" ht="14.45">
      <c r="A1197" s="156">
        <v>1196</v>
      </c>
      <c r="B1197" s="59">
        <v>46001</v>
      </c>
      <c r="C1197" s="34" t="s">
        <v>2492</v>
      </c>
      <c r="D1197" s="23" t="s">
        <v>38</v>
      </c>
      <c r="E1197" s="23">
        <v>248.58</v>
      </c>
      <c r="F1197" s="23" t="s">
        <v>2493</v>
      </c>
      <c r="G1197" s="14" t="s">
        <v>190</v>
      </c>
      <c r="H1197" s="23" t="s">
        <v>40</v>
      </c>
      <c r="I1197" s="23" t="s">
        <v>41</v>
      </c>
      <c r="J1197" s="97">
        <f t="shared" si="447"/>
        <v>45901</v>
      </c>
      <c r="K1197" s="4">
        <v>45901</v>
      </c>
      <c r="L1197" s="19">
        <f t="shared" si="459"/>
        <v>0</v>
      </c>
      <c r="M1197" s="5">
        <f t="shared" si="448"/>
        <v>45912</v>
      </c>
      <c r="N1197" s="4">
        <v>45912</v>
      </c>
      <c r="O1197" s="19">
        <f t="shared" si="454"/>
        <v>0</v>
      </c>
      <c r="P1197" s="5">
        <f t="shared" si="431"/>
        <v>45927</v>
      </c>
      <c r="Q1197" s="4">
        <v>45927</v>
      </c>
      <c r="R1197" s="19">
        <f t="shared" si="455"/>
        <v>0</v>
      </c>
      <c r="S1197" s="5">
        <f t="shared" si="452"/>
        <v>45932</v>
      </c>
      <c r="T1197" s="4">
        <v>45932</v>
      </c>
      <c r="U1197" s="19">
        <f t="shared" si="456"/>
        <v>0</v>
      </c>
      <c r="V1197" s="5">
        <f t="shared" si="449"/>
        <v>45971</v>
      </c>
      <c r="W1197" s="6"/>
      <c r="X1197" s="19" t="str">
        <f t="shared" si="457"/>
        <v/>
      </c>
      <c r="Y1197" s="51">
        <f t="shared" si="427"/>
        <v>45999</v>
      </c>
      <c r="Z1197" s="51"/>
      <c r="AA1197" s="49" t="str">
        <f t="shared" si="458"/>
        <v/>
      </c>
      <c r="AB1197" s="51">
        <f t="shared" si="450"/>
        <v>46001</v>
      </c>
      <c r="AC1197" s="49" t="str">
        <f t="shared" si="453"/>
        <v/>
      </c>
      <c r="AD1197" s="43">
        <f t="shared" si="451"/>
        <v>46001</v>
      </c>
      <c r="AF1197" s="19" t="str">
        <f t="shared" si="428"/>
        <v/>
      </c>
      <c r="AG1197" s="10"/>
      <c r="AH1197" s="1"/>
      <c r="AI1197" s="1"/>
      <c r="AJ1197" s="1"/>
      <c r="AK1197" s="1"/>
      <c r="AL1197" s="1"/>
    </row>
    <row r="1198" spans="1:38" ht="14.45">
      <c r="A1198" s="156">
        <v>1197</v>
      </c>
      <c r="B1198" s="59">
        <v>46001</v>
      </c>
      <c r="C1198" s="34" t="s">
        <v>2494</v>
      </c>
      <c r="D1198" s="23" t="s">
        <v>38</v>
      </c>
      <c r="E1198" s="23">
        <v>1434.19</v>
      </c>
      <c r="F1198" s="23" t="s">
        <v>2495</v>
      </c>
      <c r="G1198" s="14" t="s">
        <v>190</v>
      </c>
      <c r="H1198" s="23" t="s">
        <v>40</v>
      </c>
      <c r="I1198" s="23" t="s">
        <v>41</v>
      </c>
      <c r="J1198" s="97">
        <f t="shared" si="447"/>
        <v>45901</v>
      </c>
      <c r="K1198" s="4">
        <v>45901</v>
      </c>
      <c r="L1198" s="19">
        <f t="shared" si="459"/>
        <v>0</v>
      </c>
      <c r="M1198" s="5">
        <f t="shared" si="448"/>
        <v>45912</v>
      </c>
      <c r="N1198" s="4">
        <v>45912</v>
      </c>
      <c r="O1198" s="19">
        <f t="shared" si="454"/>
        <v>0</v>
      </c>
      <c r="P1198" s="5">
        <f t="shared" si="431"/>
        <v>45927</v>
      </c>
      <c r="Q1198" s="4">
        <v>45927</v>
      </c>
      <c r="R1198" s="19">
        <f t="shared" si="455"/>
        <v>0</v>
      </c>
      <c r="S1198" s="5">
        <f t="shared" si="452"/>
        <v>45932</v>
      </c>
      <c r="T1198" s="4">
        <v>45932</v>
      </c>
      <c r="U1198" s="19">
        <f t="shared" si="456"/>
        <v>0</v>
      </c>
      <c r="V1198" s="5">
        <f t="shared" si="449"/>
        <v>45971</v>
      </c>
      <c r="W1198" s="6"/>
      <c r="X1198" s="19" t="str">
        <f t="shared" si="457"/>
        <v/>
      </c>
      <c r="Y1198" s="51">
        <f t="shared" si="427"/>
        <v>45999</v>
      </c>
      <c r="Z1198" s="51"/>
      <c r="AA1198" s="49" t="str">
        <f t="shared" si="458"/>
        <v/>
      </c>
      <c r="AB1198" s="51">
        <f t="shared" si="450"/>
        <v>46001</v>
      </c>
      <c r="AC1198" s="49" t="str">
        <f t="shared" si="453"/>
        <v/>
      </c>
      <c r="AD1198" s="43">
        <f t="shared" si="451"/>
        <v>46001</v>
      </c>
      <c r="AF1198" s="19" t="str">
        <f t="shared" si="428"/>
        <v/>
      </c>
      <c r="AG1198" s="10"/>
      <c r="AH1198" s="1"/>
      <c r="AI1198" s="1"/>
      <c r="AJ1198" s="1"/>
      <c r="AK1198" s="1"/>
      <c r="AL1198" s="1"/>
    </row>
    <row r="1199" spans="1:38" ht="14.45">
      <c r="A1199" s="156">
        <v>1198</v>
      </c>
      <c r="B1199" s="59">
        <v>46001</v>
      </c>
      <c r="C1199" s="34" t="s">
        <v>2496</v>
      </c>
      <c r="D1199" s="23" t="s">
        <v>38</v>
      </c>
      <c r="E1199" s="23">
        <v>1500.01</v>
      </c>
      <c r="F1199" s="23" t="s">
        <v>2497</v>
      </c>
      <c r="G1199" s="14" t="s">
        <v>190</v>
      </c>
      <c r="H1199" s="23" t="s">
        <v>40</v>
      </c>
      <c r="I1199" s="23" t="s">
        <v>41</v>
      </c>
      <c r="J1199" s="97">
        <f t="shared" si="447"/>
        <v>45901</v>
      </c>
      <c r="K1199" s="4">
        <v>45901</v>
      </c>
      <c r="L1199" s="19">
        <f t="shared" si="459"/>
        <v>0</v>
      </c>
      <c r="M1199" s="5">
        <f t="shared" si="448"/>
        <v>45912</v>
      </c>
      <c r="N1199" s="4">
        <v>45912</v>
      </c>
      <c r="O1199" s="19">
        <f t="shared" si="454"/>
        <v>0</v>
      </c>
      <c r="P1199" s="5">
        <f t="shared" si="431"/>
        <v>45927</v>
      </c>
      <c r="Q1199" s="4">
        <v>45927</v>
      </c>
      <c r="R1199" s="19">
        <f t="shared" si="455"/>
        <v>0</v>
      </c>
      <c r="S1199" s="5">
        <f t="shared" si="452"/>
        <v>45932</v>
      </c>
      <c r="T1199" s="4">
        <v>45932</v>
      </c>
      <c r="U1199" s="19">
        <f t="shared" si="456"/>
        <v>0</v>
      </c>
      <c r="V1199" s="5">
        <f t="shared" si="449"/>
        <v>45971</v>
      </c>
      <c r="W1199" s="6"/>
      <c r="X1199" s="19" t="str">
        <f t="shared" si="457"/>
        <v/>
      </c>
      <c r="Y1199" s="51">
        <f t="shared" si="427"/>
        <v>45999</v>
      </c>
      <c r="Z1199" s="51"/>
      <c r="AA1199" s="49" t="str">
        <f t="shared" si="458"/>
        <v/>
      </c>
      <c r="AB1199" s="51">
        <f t="shared" si="450"/>
        <v>46001</v>
      </c>
      <c r="AC1199" s="49" t="str">
        <f t="shared" si="453"/>
        <v/>
      </c>
      <c r="AD1199" s="43">
        <f t="shared" si="451"/>
        <v>46001</v>
      </c>
      <c r="AF1199" s="19" t="str">
        <f t="shared" si="428"/>
        <v/>
      </c>
      <c r="AG1199" s="10"/>
      <c r="AH1199" s="1"/>
      <c r="AI1199" s="1"/>
      <c r="AJ1199" s="1"/>
      <c r="AK1199" s="1"/>
      <c r="AL1199" s="1"/>
    </row>
    <row r="1200" spans="1:38" ht="14.45">
      <c r="A1200" s="156">
        <v>1199</v>
      </c>
      <c r="B1200" s="59">
        <v>46001</v>
      </c>
      <c r="C1200" s="34">
        <v>111846279</v>
      </c>
      <c r="D1200" s="23" t="s">
        <v>2498</v>
      </c>
      <c r="E1200" s="23">
        <v>27558</v>
      </c>
      <c r="F1200" s="23" t="s">
        <v>2499</v>
      </c>
      <c r="G1200" s="14" t="s">
        <v>35</v>
      </c>
      <c r="H1200" s="23" t="s">
        <v>36</v>
      </c>
      <c r="I1200" s="23" t="s">
        <v>37</v>
      </c>
      <c r="J1200" s="97">
        <f t="shared" si="447"/>
        <v>45901</v>
      </c>
      <c r="L1200" s="19" t="str">
        <f t="shared" si="459"/>
        <v/>
      </c>
      <c r="M1200" s="5">
        <f t="shared" si="448"/>
        <v>45912</v>
      </c>
      <c r="O1200" s="19" t="str">
        <f t="shared" si="454"/>
        <v/>
      </c>
      <c r="P1200" s="5">
        <f t="shared" si="431"/>
        <v>45927</v>
      </c>
      <c r="Q1200" s="4">
        <v>45929</v>
      </c>
      <c r="R1200" s="19">
        <f t="shared" si="455"/>
        <v>-2</v>
      </c>
      <c r="S1200" s="5">
        <f t="shared" si="452"/>
        <v>45932</v>
      </c>
      <c r="T1200" s="4">
        <v>45931</v>
      </c>
      <c r="U1200" s="19">
        <f t="shared" si="456"/>
        <v>1</v>
      </c>
      <c r="V1200" s="5">
        <f t="shared" si="449"/>
        <v>45971</v>
      </c>
      <c r="W1200" s="6">
        <v>45964</v>
      </c>
      <c r="X1200" s="19">
        <f t="shared" si="457"/>
        <v>7</v>
      </c>
      <c r="Y1200" s="51">
        <f t="shared" si="427"/>
        <v>45999</v>
      </c>
      <c r="Z1200" s="51"/>
      <c r="AA1200" s="49" t="str">
        <f t="shared" si="458"/>
        <v/>
      </c>
      <c r="AB1200" s="51">
        <f t="shared" si="450"/>
        <v>46001</v>
      </c>
      <c r="AC1200" s="49" t="str">
        <f t="shared" si="453"/>
        <v/>
      </c>
      <c r="AD1200" s="43">
        <f t="shared" si="451"/>
        <v>46001</v>
      </c>
      <c r="AF1200" s="19" t="str">
        <f t="shared" si="428"/>
        <v/>
      </c>
      <c r="AG1200" s="10"/>
      <c r="AH1200" s="1"/>
      <c r="AI1200" s="1"/>
      <c r="AJ1200" s="1"/>
      <c r="AK1200" s="1"/>
      <c r="AL1200" s="1"/>
    </row>
    <row r="1201" spans="1:38" ht="14.45">
      <c r="A1201" s="156">
        <v>1200</v>
      </c>
      <c r="B1201" s="59">
        <v>46002</v>
      </c>
      <c r="C1201" s="34" t="s">
        <v>2500</v>
      </c>
      <c r="D1201" s="23" t="s">
        <v>2501</v>
      </c>
      <c r="E1201" s="23">
        <v>7054.14</v>
      </c>
      <c r="F1201" s="23" t="s">
        <v>2502</v>
      </c>
      <c r="G1201" s="14" t="s">
        <v>51</v>
      </c>
      <c r="H1201" s="23" t="s">
        <v>40</v>
      </c>
      <c r="I1201" s="23" t="s">
        <v>93</v>
      </c>
      <c r="J1201" s="97">
        <f t="shared" si="447"/>
        <v>45902</v>
      </c>
      <c r="K1201" s="4">
        <v>45897</v>
      </c>
      <c r="L1201" s="19">
        <f t="shared" si="459"/>
        <v>5</v>
      </c>
      <c r="M1201" s="5">
        <f t="shared" si="448"/>
        <v>45913</v>
      </c>
      <c r="N1201" s="4">
        <v>45912</v>
      </c>
      <c r="O1201" s="19">
        <f t="shared" si="454"/>
        <v>1</v>
      </c>
      <c r="P1201" s="5">
        <f t="shared" si="431"/>
        <v>45928</v>
      </c>
      <c r="R1201" s="19" t="str">
        <f t="shared" si="455"/>
        <v/>
      </c>
      <c r="S1201" s="5">
        <f t="shared" si="452"/>
        <v>45933</v>
      </c>
      <c r="T1201" s="4">
        <v>45939</v>
      </c>
      <c r="U1201" s="19">
        <f t="shared" si="456"/>
        <v>-6</v>
      </c>
      <c r="V1201" s="5">
        <f t="shared" si="449"/>
        <v>45972</v>
      </c>
      <c r="W1201" s="6"/>
      <c r="X1201" s="19" t="str">
        <f t="shared" si="457"/>
        <v/>
      </c>
      <c r="Y1201" s="51">
        <f t="shared" si="427"/>
        <v>46000</v>
      </c>
      <c r="Z1201" s="49"/>
      <c r="AA1201" s="49" t="str">
        <f t="shared" si="458"/>
        <v/>
      </c>
      <c r="AB1201" s="51">
        <f t="shared" si="450"/>
        <v>46002</v>
      </c>
      <c r="AC1201" s="49" t="str">
        <f t="shared" si="453"/>
        <v/>
      </c>
      <c r="AD1201" s="43">
        <f t="shared" si="451"/>
        <v>46002</v>
      </c>
      <c r="AF1201" s="19" t="str">
        <f t="shared" si="428"/>
        <v/>
      </c>
      <c r="AG1201" s="10"/>
      <c r="AH1201" s="1"/>
      <c r="AI1201" s="1"/>
      <c r="AJ1201" s="1"/>
      <c r="AK1201" s="1"/>
      <c r="AL1201" s="1"/>
    </row>
    <row r="1202" spans="1:38" ht="14.45">
      <c r="A1202" s="156">
        <v>1201</v>
      </c>
      <c r="B1202" s="59">
        <v>46002</v>
      </c>
      <c r="C1202" s="34" t="s">
        <v>2503</v>
      </c>
      <c r="D1202" s="23" t="s">
        <v>38</v>
      </c>
      <c r="E1202" s="23">
        <v>270.52</v>
      </c>
      <c r="F1202" s="23" t="s">
        <v>2504</v>
      </c>
      <c r="G1202" s="14" t="s">
        <v>190</v>
      </c>
      <c r="H1202" s="23" t="s">
        <v>40</v>
      </c>
      <c r="I1202" s="23" t="s">
        <v>41</v>
      </c>
      <c r="J1202" s="97">
        <f t="shared" si="447"/>
        <v>45902</v>
      </c>
      <c r="K1202" s="4">
        <v>45902</v>
      </c>
      <c r="L1202" s="19">
        <f t="shared" si="459"/>
        <v>0</v>
      </c>
      <c r="M1202" s="5">
        <f t="shared" si="448"/>
        <v>45913</v>
      </c>
      <c r="N1202" s="4">
        <v>45913</v>
      </c>
      <c r="O1202" s="19">
        <f t="shared" si="454"/>
        <v>0</v>
      </c>
      <c r="P1202" s="5">
        <f t="shared" si="431"/>
        <v>45928</v>
      </c>
      <c r="Q1202" s="4">
        <v>45928</v>
      </c>
      <c r="R1202" s="19">
        <f t="shared" si="455"/>
        <v>0</v>
      </c>
      <c r="S1202" s="5">
        <f t="shared" si="452"/>
        <v>45933</v>
      </c>
      <c r="T1202" s="4">
        <v>45933</v>
      </c>
      <c r="U1202" s="19">
        <f t="shared" si="456"/>
        <v>0</v>
      </c>
      <c r="V1202" s="5">
        <f t="shared" si="449"/>
        <v>45972</v>
      </c>
      <c r="W1202" s="6"/>
      <c r="X1202" s="19" t="str">
        <f t="shared" si="457"/>
        <v/>
      </c>
      <c r="Y1202" s="51">
        <f t="shared" si="427"/>
        <v>46000</v>
      </c>
      <c r="Z1202" s="51"/>
      <c r="AA1202" s="49" t="str">
        <f t="shared" si="458"/>
        <v/>
      </c>
      <c r="AB1202" s="51">
        <f t="shared" si="450"/>
        <v>46002</v>
      </c>
      <c r="AC1202" s="49" t="str">
        <f t="shared" si="453"/>
        <v/>
      </c>
      <c r="AD1202" s="43">
        <f t="shared" si="451"/>
        <v>46002</v>
      </c>
      <c r="AF1202" s="19" t="str">
        <f t="shared" si="428"/>
        <v/>
      </c>
      <c r="AG1202" s="10"/>
      <c r="AH1202" s="1"/>
      <c r="AI1202" s="1"/>
      <c r="AJ1202" s="1"/>
      <c r="AK1202" s="1"/>
      <c r="AL1202" s="1"/>
    </row>
    <row r="1203" spans="1:38" ht="14.45">
      <c r="A1203" s="156">
        <v>1202</v>
      </c>
      <c r="B1203" s="59">
        <v>46002</v>
      </c>
      <c r="C1203" s="34" t="s">
        <v>2505</v>
      </c>
      <c r="D1203" s="23" t="s">
        <v>2506</v>
      </c>
      <c r="E1203" s="23">
        <v>24941.119999999999</v>
      </c>
      <c r="F1203" s="23" t="s">
        <v>2507</v>
      </c>
      <c r="G1203" s="14" t="s">
        <v>51</v>
      </c>
      <c r="H1203" s="23" t="s">
        <v>40</v>
      </c>
      <c r="I1203" s="23" t="s">
        <v>93</v>
      </c>
      <c r="J1203" s="97">
        <f t="shared" si="447"/>
        <v>45902</v>
      </c>
      <c r="K1203" s="4">
        <v>45897</v>
      </c>
      <c r="L1203" s="19">
        <f t="shared" si="459"/>
        <v>5</v>
      </c>
      <c r="M1203" s="5">
        <f t="shared" si="448"/>
        <v>45913</v>
      </c>
      <c r="N1203" s="4">
        <v>45912</v>
      </c>
      <c r="O1203" s="19">
        <f t="shared" si="454"/>
        <v>1</v>
      </c>
      <c r="P1203" s="5">
        <f t="shared" si="431"/>
        <v>45928</v>
      </c>
      <c r="R1203" s="19" t="str">
        <f t="shared" si="455"/>
        <v/>
      </c>
      <c r="S1203" s="5">
        <f t="shared" si="452"/>
        <v>45933</v>
      </c>
      <c r="T1203" s="4">
        <v>45939</v>
      </c>
      <c r="U1203" s="19">
        <f t="shared" si="456"/>
        <v>-6</v>
      </c>
      <c r="V1203" s="5">
        <f t="shared" si="449"/>
        <v>45972</v>
      </c>
      <c r="W1203" s="6"/>
      <c r="X1203" s="19" t="str">
        <f t="shared" si="457"/>
        <v/>
      </c>
      <c r="Y1203" s="51">
        <f t="shared" si="427"/>
        <v>46000</v>
      </c>
      <c r="Z1203" s="49"/>
      <c r="AA1203" s="49" t="str">
        <f t="shared" si="458"/>
        <v/>
      </c>
      <c r="AB1203" s="51">
        <f t="shared" si="450"/>
        <v>46002</v>
      </c>
      <c r="AC1203" s="49" t="str">
        <f t="shared" si="453"/>
        <v/>
      </c>
      <c r="AD1203" s="43">
        <f t="shared" si="451"/>
        <v>46002</v>
      </c>
      <c r="AF1203" s="19" t="str">
        <f t="shared" si="428"/>
        <v/>
      </c>
      <c r="AG1203" s="10"/>
      <c r="AH1203" s="1"/>
      <c r="AI1203" s="1"/>
      <c r="AJ1203" s="1"/>
      <c r="AK1203" s="1"/>
      <c r="AL1203" s="1"/>
    </row>
    <row r="1204" spans="1:38" ht="14.45">
      <c r="A1204" s="156">
        <v>1203</v>
      </c>
      <c r="B1204" s="59">
        <v>46002</v>
      </c>
      <c r="C1204" s="34" t="s">
        <v>2508</v>
      </c>
      <c r="D1204" s="23" t="s">
        <v>2409</v>
      </c>
      <c r="E1204" s="23">
        <v>73762.2</v>
      </c>
      <c r="F1204" s="23" t="s">
        <v>2509</v>
      </c>
      <c r="G1204" s="14" t="s">
        <v>51</v>
      </c>
      <c r="H1204" s="23" t="s">
        <v>40</v>
      </c>
      <c r="I1204" s="23" t="s">
        <v>93</v>
      </c>
      <c r="J1204" s="97">
        <f t="shared" si="447"/>
        <v>45902</v>
      </c>
      <c r="K1204" s="4">
        <v>45897</v>
      </c>
      <c r="L1204" s="19">
        <f t="shared" si="459"/>
        <v>5</v>
      </c>
      <c r="M1204" s="5">
        <f t="shared" si="448"/>
        <v>45913</v>
      </c>
      <c r="N1204" s="4">
        <v>45909</v>
      </c>
      <c r="O1204" s="19">
        <f t="shared" si="454"/>
        <v>4</v>
      </c>
      <c r="P1204" s="5">
        <f t="shared" si="431"/>
        <v>45928</v>
      </c>
      <c r="R1204" s="19" t="str">
        <f t="shared" si="455"/>
        <v/>
      </c>
      <c r="S1204" s="5">
        <f t="shared" si="452"/>
        <v>45933</v>
      </c>
      <c r="T1204" s="4">
        <v>45957</v>
      </c>
      <c r="U1204" s="19">
        <f t="shared" si="456"/>
        <v>-24</v>
      </c>
      <c r="V1204" s="5">
        <f t="shared" si="449"/>
        <v>45972</v>
      </c>
      <c r="W1204" s="6"/>
      <c r="X1204" s="19" t="str">
        <f t="shared" si="457"/>
        <v/>
      </c>
      <c r="Y1204" s="51">
        <f t="shared" si="427"/>
        <v>46000</v>
      </c>
      <c r="Z1204" s="49"/>
      <c r="AA1204" s="49" t="str">
        <f t="shared" si="458"/>
        <v/>
      </c>
      <c r="AB1204" s="51">
        <f t="shared" si="450"/>
        <v>46002</v>
      </c>
      <c r="AC1204" s="49" t="str">
        <f t="shared" si="453"/>
        <v/>
      </c>
      <c r="AD1204" s="43">
        <f t="shared" si="451"/>
        <v>46002</v>
      </c>
      <c r="AF1204" s="19" t="str">
        <f t="shared" si="428"/>
        <v/>
      </c>
      <c r="AG1204" s="10"/>
      <c r="AH1204" s="1"/>
      <c r="AI1204" s="1"/>
      <c r="AJ1204" s="1"/>
      <c r="AK1204" s="1"/>
      <c r="AL1204" s="1"/>
    </row>
    <row r="1205" spans="1:38" ht="14.45">
      <c r="A1205" s="156">
        <v>1204</v>
      </c>
      <c r="B1205" s="59">
        <v>46003</v>
      </c>
      <c r="C1205" s="34" t="s">
        <v>2510</v>
      </c>
      <c r="D1205" s="23" t="s">
        <v>283</v>
      </c>
      <c r="E1205" s="23">
        <v>20457.37</v>
      </c>
      <c r="F1205" s="23" t="s">
        <v>2511</v>
      </c>
      <c r="G1205" s="14" t="s">
        <v>51</v>
      </c>
      <c r="H1205" s="23" t="s">
        <v>40</v>
      </c>
      <c r="I1205" s="23" t="s">
        <v>93</v>
      </c>
      <c r="J1205" s="97">
        <f t="shared" si="447"/>
        <v>45903</v>
      </c>
      <c r="L1205" s="19" t="str">
        <f t="shared" si="459"/>
        <v/>
      </c>
      <c r="M1205" s="5">
        <f t="shared" si="448"/>
        <v>45914</v>
      </c>
      <c r="O1205" s="19" t="str">
        <f t="shared" si="454"/>
        <v/>
      </c>
      <c r="P1205" s="5">
        <f t="shared" si="431"/>
        <v>45929</v>
      </c>
      <c r="R1205" s="19" t="str">
        <f t="shared" si="455"/>
        <v/>
      </c>
      <c r="S1205" s="5">
        <f t="shared" si="452"/>
        <v>45934</v>
      </c>
      <c r="U1205" s="19" t="str">
        <f t="shared" si="456"/>
        <v/>
      </c>
      <c r="V1205" s="5">
        <f t="shared" si="449"/>
        <v>45973</v>
      </c>
      <c r="W1205" s="6"/>
      <c r="X1205" s="19" t="str">
        <f t="shared" si="457"/>
        <v/>
      </c>
      <c r="Y1205" s="51">
        <f t="shared" si="427"/>
        <v>46001</v>
      </c>
      <c r="Z1205" s="49"/>
      <c r="AA1205" s="49" t="str">
        <f t="shared" si="458"/>
        <v/>
      </c>
      <c r="AB1205" s="51">
        <f t="shared" si="450"/>
        <v>46003</v>
      </c>
      <c r="AC1205" s="49" t="str">
        <f t="shared" si="453"/>
        <v/>
      </c>
      <c r="AD1205" s="43">
        <f t="shared" si="451"/>
        <v>46003</v>
      </c>
      <c r="AF1205" s="19" t="str">
        <f t="shared" si="428"/>
        <v/>
      </c>
      <c r="AG1205" s="1" t="s">
        <v>53</v>
      </c>
      <c r="AH1205" s="1" t="s">
        <v>53</v>
      </c>
      <c r="AI1205" s="1"/>
      <c r="AJ1205" s="1"/>
      <c r="AK1205" s="1"/>
      <c r="AL1205" s="1"/>
    </row>
    <row r="1206" spans="1:38" ht="14.45">
      <c r="A1206" s="156">
        <v>1205</v>
      </c>
      <c r="B1206" s="59">
        <v>46003</v>
      </c>
      <c r="C1206" s="34" t="s">
        <v>2512</v>
      </c>
      <c r="D1206" s="23" t="s">
        <v>1414</v>
      </c>
      <c r="E1206" s="23">
        <v>32953</v>
      </c>
      <c r="F1206" s="23" t="s">
        <v>2513</v>
      </c>
      <c r="G1206" s="14" t="s">
        <v>46</v>
      </c>
      <c r="H1206" s="23" t="s">
        <v>40</v>
      </c>
      <c r="I1206" s="23" t="s">
        <v>62</v>
      </c>
      <c r="J1206" s="97">
        <f t="shared" si="447"/>
        <v>45903</v>
      </c>
      <c r="K1206" s="4">
        <v>45887</v>
      </c>
      <c r="L1206" s="19">
        <f t="shared" si="459"/>
        <v>16</v>
      </c>
      <c r="M1206" s="5">
        <f t="shared" si="448"/>
        <v>45914</v>
      </c>
      <c r="N1206" s="4">
        <v>45931</v>
      </c>
      <c r="O1206" s="19">
        <f t="shared" si="454"/>
        <v>-17</v>
      </c>
      <c r="P1206" s="5">
        <f t="shared" si="431"/>
        <v>45929</v>
      </c>
      <c r="R1206" s="19" t="str">
        <f t="shared" si="455"/>
        <v/>
      </c>
      <c r="S1206" s="5">
        <f t="shared" si="452"/>
        <v>45934</v>
      </c>
      <c r="T1206" s="4">
        <v>45933</v>
      </c>
      <c r="U1206" s="19">
        <f t="shared" si="456"/>
        <v>1</v>
      </c>
      <c r="V1206" s="5">
        <f t="shared" si="449"/>
        <v>45973</v>
      </c>
      <c r="W1206" s="6"/>
      <c r="X1206" s="19" t="str">
        <f t="shared" si="457"/>
        <v/>
      </c>
      <c r="Y1206" s="51">
        <f t="shared" si="427"/>
        <v>46001</v>
      </c>
      <c r="Z1206" s="125"/>
      <c r="AA1206" s="49" t="str">
        <f t="shared" si="458"/>
        <v/>
      </c>
      <c r="AB1206" s="51">
        <f t="shared" si="450"/>
        <v>46003</v>
      </c>
      <c r="AC1206" s="49" t="str">
        <f t="shared" si="453"/>
        <v/>
      </c>
      <c r="AD1206" s="43">
        <f t="shared" si="451"/>
        <v>46003</v>
      </c>
      <c r="AF1206" s="19" t="str">
        <f t="shared" si="428"/>
        <v/>
      </c>
      <c r="AG1206" s="10"/>
      <c r="AH1206" s="1"/>
      <c r="AI1206" s="1"/>
      <c r="AJ1206" s="1"/>
      <c r="AK1206" s="1"/>
      <c r="AL1206" s="1"/>
    </row>
    <row r="1207" spans="1:38" ht="14.45">
      <c r="A1207" s="156">
        <v>1206</v>
      </c>
      <c r="B1207" s="59">
        <v>46003</v>
      </c>
      <c r="C1207" s="34">
        <v>648845253</v>
      </c>
      <c r="D1207" s="23" t="s">
        <v>2514</v>
      </c>
      <c r="E1207" s="23">
        <v>3927.26</v>
      </c>
      <c r="F1207" s="23" t="s">
        <v>2515</v>
      </c>
      <c r="G1207" s="14" t="s">
        <v>190</v>
      </c>
      <c r="H1207" s="23" t="s">
        <v>40</v>
      </c>
      <c r="I1207" s="23" t="s">
        <v>93</v>
      </c>
      <c r="J1207" s="97">
        <f t="shared" si="447"/>
        <v>45903</v>
      </c>
      <c r="L1207" s="19" t="str">
        <f t="shared" si="459"/>
        <v/>
      </c>
      <c r="M1207" s="5">
        <f t="shared" si="448"/>
        <v>45914</v>
      </c>
      <c r="N1207" s="4">
        <v>45895</v>
      </c>
      <c r="O1207" s="19">
        <f t="shared" si="454"/>
        <v>19</v>
      </c>
      <c r="P1207" s="5">
        <f t="shared" si="431"/>
        <v>45929</v>
      </c>
      <c r="Q1207" s="4">
        <v>45895</v>
      </c>
      <c r="R1207" s="19">
        <f t="shared" si="455"/>
        <v>34</v>
      </c>
      <c r="S1207" s="5">
        <f t="shared" si="452"/>
        <v>45934</v>
      </c>
      <c r="T1207" s="4">
        <v>45917</v>
      </c>
      <c r="U1207" s="19">
        <f t="shared" si="456"/>
        <v>17</v>
      </c>
      <c r="V1207" s="5">
        <f t="shared" si="449"/>
        <v>45973</v>
      </c>
      <c r="W1207" s="6"/>
      <c r="X1207" s="19" t="str">
        <f t="shared" si="457"/>
        <v/>
      </c>
      <c r="Y1207" s="51">
        <f t="shared" si="427"/>
        <v>46001</v>
      </c>
      <c r="Z1207" s="49"/>
      <c r="AA1207" s="49" t="str">
        <f t="shared" si="458"/>
        <v/>
      </c>
      <c r="AB1207" s="51">
        <f t="shared" si="450"/>
        <v>46003</v>
      </c>
      <c r="AC1207" s="49" t="str">
        <f t="shared" si="453"/>
        <v/>
      </c>
      <c r="AD1207" s="43">
        <f t="shared" si="451"/>
        <v>46003</v>
      </c>
      <c r="AF1207" s="19" t="str">
        <f t="shared" si="428"/>
        <v/>
      </c>
      <c r="AG1207" s="10"/>
      <c r="AH1207" s="1"/>
      <c r="AI1207" s="1"/>
      <c r="AJ1207" s="1"/>
      <c r="AK1207" s="1"/>
      <c r="AL1207" s="1"/>
    </row>
    <row r="1208" spans="1:38" ht="14.45">
      <c r="A1208" s="156">
        <v>1207</v>
      </c>
      <c r="B1208" s="59">
        <v>46003</v>
      </c>
      <c r="C1208" s="34" t="s">
        <v>2516</v>
      </c>
      <c r="D1208" s="23" t="s">
        <v>2304</v>
      </c>
      <c r="E1208" s="23">
        <v>21700</v>
      </c>
      <c r="F1208" s="23" t="s">
        <v>2517</v>
      </c>
      <c r="G1208" s="14" t="s">
        <v>46</v>
      </c>
      <c r="H1208" s="23" t="s">
        <v>36</v>
      </c>
      <c r="I1208" s="23" t="s">
        <v>229</v>
      </c>
      <c r="J1208" s="97">
        <f t="shared" si="447"/>
        <v>45903</v>
      </c>
      <c r="K1208" s="4">
        <v>45887</v>
      </c>
      <c r="L1208" s="19">
        <f t="shared" si="459"/>
        <v>16</v>
      </c>
      <c r="M1208" s="5">
        <f t="shared" si="448"/>
        <v>45914</v>
      </c>
      <c r="N1208" s="4">
        <v>45931</v>
      </c>
      <c r="O1208" s="19">
        <f t="shared" si="454"/>
        <v>-17</v>
      </c>
      <c r="P1208" s="5">
        <f t="shared" si="431"/>
        <v>45929</v>
      </c>
      <c r="R1208" s="19" t="str">
        <f t="shared" si="455"/>
        <v/>
      </c>
      <c r="S1208" s="5">
        <f t="shared" si="452"/>
        <v>45934</v>
      </c>
      <c r="T1208" s="4">
        <v>45933</v>
      </c>
      <c r="U1208" s="19">
        <f t="shared" si="456"/>
        <v>1</v>
      </c>
      <c r="V1208" s="5">
        <f t="shared" si="449"/>
        <v>45973</v>
      </c>
      <c r="W1208" s="6"/>
      <c r="X1208" s="19" t="str">
        <f t="shared" si="457"/>
        <v/>
      </c>
      <c r="Y1208" s="51">
        <f t="shared" si="427"/>
        <v>46001</v>
      </c>
      <c r="Z1208" s="125"/>
      <c r="AA1208" s="49" t="str">
        <f t="shared" si="458"/>
        <v/>
      </c>
      <c r="AB1208" s="51">
        <f t="shared" si="450"/>
        <v>46003</v>
      </c>
      <c r="AC1208" s="49" t="str">
        <f t="shared" si="453"/>
        <v/>
      </c>
      <c r="AD1208" s="43">
        <f t="shared" si="451"/>
        <v>46003</v>
      </c>
      <c r="AF1208" s="19" t="str">
        <f t="shared" si="428"/>
        <v/>
      </c>
      <c r="AG1208" s="10"/>
      <c r="AH1208" s="1"/>
      <c r="AI1208" s="1"/>
      <c r="AJ1208" s="1"/>
      <c r="AK1208" s="1"/>
      <c r="AL1208" s="1"/>
    </row>
    <row r="1209" spans="1:38" ht="14.45">
      <c r="A1209" s="156">
        <v>1208</v>
      </c>
      <c r="B1209" s="59">
        <v>46003</v>
      </c>
      <c r="C1209" s="34">
        <v>653338020</v>
      </c>
      <c r="D1209" s="23" t="s">
        <v>287</v>
      </c>
      <c r="E1209" s="23">
        <v>2931.75</v>
      </c>
      <c r="F1209" s="23" t="s">
        <v>2518</v>
      </c>
      <c r="G1209" s="14" t="s">
        <v>51</v>
      </c>
      <c r="H1209" s="23" t="s">
        <v>40</v>
      </c>
      <c r="I1209" s="23" t="s">
        <v>93</v>
      </c>
      <c r="J1209" s="97">
        <f t="shared" si="447"/>
        <v>45903</v>
      </c>
      <c r="K1209" s="4">
        <v>45897</v>
      </c>
      <c r="L1209" s="19">
        <f t="shared" si="459"/>
        <v>6</v>
      </c>
      <c r="M1209" s="5">
        <f t="shared" si="448"/>
        <v>45914</v>
      </c>
      <c r="N1209" s="4">
        <v>45912</v>
      </c>
      <c r="O1209" s="19">
        <f t="shared" si="454"/>
        <v>2</v>
      </c>
      <c r="P1209" s="5">
        <f t="shared" si="431"/>
        <v>45929</v>
      </c>
      <c r="R1209" s="19" t="str">
        <f t="shared" si="455"/>
        <v/>
      </c>
      <c r="S1209" s="5">
        <f t="shared" si="452"/>
        <v>45934</v>
      </c>
      <c r="T1209" s="4">
        <v>45939</v>
      </c>
      <c r="U1209" s="19">
        <f t="shared" si="456"/>
        <v>-5</v>
      </c>
      <c r="V1209" s="5">
        <f t="shared" si="449"/>
        <v>45973</v>
      </c>
      <c r="W1209" s="6"/>
      <c r="X1209" s="19" t="str">
        <f t="shared" si="457"/>
        <v/>
      </c>
      <c r="Y1209" s="51">
        <f t="shared" si="427"/>
        <v>46001</v>
      </c>
      <c r="Z1209" s="49"/>
      <c r="AA1209" s="49" t="str">
        <f t="shared" si="458"/>
        <v/>
      </c>
      <c r="AB1209" s="51">
        <f t="shared" si="450"/>
        <v>46003</v>
      </c>
      <c r="AC1209" s="49" t="str">
        <f t="shared" si="453"/>
        <v/>
      </c>
      <c r="AD1209" s="43">
        <f t="shared" si="451"/>
        <v>46003</v>
      </c>
      <c r="AF1209" s="19" t="str">
        <f t="shared" si="428"/>
        <v/>
      </c>
      <c r="AG1209" s="10"/>
      <c r="AH1209" s="1"/>
      <c r="AI1209" s="1"/>
      <c r="AJ1209" s="1"/>
      <c r="AK1209" s="1"/>
      <c r="AL1209" s="1"/>
    </row>
    <row r="1210" spans="1:38" ht="14.45">
      <c r="A1210" s="156">
        <v>1209</v>
      </c>
      <c r="B1210" s="59">
        <v>46004</v>
      </c>
      <c r="C1210" s="34" t="s">
        <v>2519</v>
      </c>
      <c r="D1210" s="23" t="s">
        <v>38</v>
      </c>
      <c r="E1210" s="23">
        <v>667.82</v>
      </c>
      <c r="F1210" s="23" t="s">
        <v>2520</v>
      </c>
      <c r="G1210" s="14" t="s">
        <v>190</v>
      </c>
      <c r="H1210" s="23" t="s">
        <v>40</v>
      </c>
      <c r="I1210" s="23" t="s">
        <v>41</v>
      </c>
      <c r="J1210" s="97">
        <f t="shared" si="447"/>
        <v>45904</v>
      </c>
      <c r="K1210" s="4">
        <v>45904</v>
      </c>
      <c r="L1210" s="19">
        <f t="shared" si="459"/>
        <v>0</v>
      </c>
      <c r="M1210" s="5">
        <f t="shared" si="448"/>
        <v>45915</v>
      </c>
      <c r="N1210" s="4">
        <v>45915</v>
      </c>
      <c r="O1210" s="19">
        <f t="shared" si="454"/>
        <v>0</v>
      </c>
      <c r="P1210" s="5">
        <f t="shared" si="431"/>
        <v>45930</v>
      </c>
      <c r="Q1210" s="4">
        <v>45930</v>
      </c>
      <c r="R1210" s="19">
        <f t="shared" si="455"/>
        <v>0</v>
      </c>
      <c r="S1210" s="5">
        <f t="shared" si="452"/>
        <v>45935</v>
      </c>
      <c r="T1210" s="4">
        <v>45935</v>
      </c>
      <c r="U1210" s="19">
        <f t="shared" si="456"/>
        <v>0</v>
      </c>
      <c r="V1210" s="5">
        <f t="shared" si="449"/>
        <v>45974</v>
      </c>
      <c r="W1210" s="6"/>
      <c r="X1210" s="19" t="str">
        <f t="shared" si="457"/>
        <v/>
      </c>
      <c r="Y1210" s="51">
        <f t="shared" si="427"/>
        <v>46002</v>
      </c>
      <c r="Z1210" s="51"/>
      <c r="AA1210" s="49" t="str">
        <f t="shared" si="458"/>
        <v/>
      </c>
      <c r="AB1210" s="51">
        <f t="shared" si="450"/>
        <v>46004</v>
      </c>
      <c r="AC1210" s="49" t="str">
        <f t="shared" si="453"/>
        <v/>
      </c>
      <c r="AD1210" s="43">
        <f t="shared" si="451"/>
        <v>46004</v>
      </c>
      <c r="AF1210" s="19" t="str">
        <f t="shared" si="428"/>
        <v/>
      </c>
      <c r="AG1210" s="10"/>
      <c r="AH1210" s="1"/>
      <c r="AI1210" s="1"/>
      <c r="AJ1210" s="1"/>
      <c r="AK1210" s="1"/>
      <c r="AL1210" s="1"/>
    </row>
    <row r="1211" spans="1:38" ht="14.45">
      <c r="A1211" s="156">
        <v>1210</v>
      </c>
      <c r="B1211" s="59">
        <v>46004</v>
      </c>
      <c r="C1211" s="34" t="s">
        <v>2521</v>
      </c>
      <c r="D1211" s="23" t="s">
        <v>2522</v>
      </c>
      <c r="E1211" s="23">
        <v>1534.67</v>
      </c>
      <c r="F1211" s="23" t="s">
        <v>2523</v>
      </c>
      <c r="G1211" s="14" t="s">
        <v>190</v>
      </c>
      <c r="H1211" s="23" t="s">
        <v>40</v>
      </c>
      <c r="I1211" s="23" t="s">
        <v>41</v>
      </c>
      <c r="J1211" s="97">
        <f t="shared" si="447"/>
        <v>45904</v>
      </c>
      <c r="K1211" s="4">
        <v>45903</v>
      </c>
      <c r="L1211" s="19">
        <f t="shared" si="459"/>
        <v>1</v>
      </c>
      <c r="M1211" s="5">
        <f t="shared" si="448"/>
        <v>45915</v>
      </c>
      <c r="N1211" s="4">
        <v>45942</v>
      </c>
      <c r="O1211" s="19">
        <f t="shared" si="454"/>
        <v>-27</v>
      </c>
      <c r="P1211" s="5">
        <f t="shared" si="431"/>
        <v>45930</v>
      </c>
      <c r="R1211" s="19" t="str">
        <f t="shared" si="455"/>
        <v/>
      </c>
      <c r="S1211" s="5">
        <f t="shared" si="452"/>
        <v>45935</v>
      </c>
      <c r="T1211" s="4">
        <v>45942</v>
      </c>
      <c r="U1211" s="19">
        <f t="shared" si="456"/>
        <v>-7</v>
      </c>
      <c r="V1211" s="5">
        <f t="shared" si="449"/>
        <v>45974</v>
      </c>
      <c r="W1211" s="6"/>
      <c r="X1211" s="19" t="str">
        <f t="shared" si="457"/>
        <v/>
      </c>
      <c r="Y1211" s="51">
        <f t="shared" si="427"/>
        <v>46002</v>
      </c>
      <c r="Z1211" s="51"/>
      <c r="AA1211" s="49" t="str">
        <f t="shared" si="458"/>
        <v/>
      </c>
      <c r="AB1211" s="51">
        <f t="shared" si="450"/>
        <v>46004</v>
      </c>
      <c r="AC1211" s="49" t="str">
        <f t="shared" si="453"/>
        <v/>
      </c>
      <c r="AD1211" s="43">
        <f t="shared" si="451"/>
        <v>46004</v>
      </c>
      <c r="AF1211" s="19" t="str">
        <f t="shared" si="428"/>
        <v/>
      </c>
      <c r="AG1211" s="10"/>
      <c r="AH1211" s="1"/>
      <c r="AI1211" s="1"/>
      <c r="AJ1211" s="1"/>
      <c r="AK1211" s="1"/>
      <c r="AL1211" s="1"/>
    </row>
    <row r="1212" spans="1:38" ht="14.45">
      <c r="A1212" s="156">
        <v>1211</v>
      </c>
      <c r="B1212" s="59">
        <v>46005</v>
      </c>
      <c r="C1212" s="34" t="s">
        <v>2524</v>
      </c>
      <c r="D1212" s="23" t="s">
        <v>2525</v>
      </c>
      <c r="E1212" s="23">
        <v>8699.0300000000007</v>
      </c>
      <c r="F1212" s="23" t="s">
        <v>2526</v>
      </c>
      <c r="G1212" s="14" t="s">
        <v>35</v>
      </c>
      <c r="H1212" s="23" t="s">
        <v>36</v>
      </c>
      <c r="I1212" s="23" t="s">
        <v>93</v>
      </c>
      <c r="J1212" s="97">
        <f t="shared" si="447"/>
        <v>45905</v>
      </c>
      <c r="L1212" s="19" t="str">
        <f t="shared" si="459"/>
        <v/>
      </c>
      <c r="M1212" s="5">
        <f t="shared" si="448"/>
        <v>45916</v>
      </c>
      <c r="O1212" s="19" t="str">
        <f t="shared" si="454"/>
        <v/>
      </c>
      <c r="P1212" s="5">
        <f t="shared" si="431"/>
        <v>45931</v>
      </c>
      <c r="R1212" s="19" t="str">
        <f t="shared" si="455"/>
        <v/>
      </c>
      <c r="S1212" s="5">
        <f t="shared" si="452"/>
        <v>45936</v>
      </c>
      <c r="T1212" s="4">
        <v>45937</v>
      </c>
      <c r="U1212" s="19">
        <f t="shared" si="456"/>
        <v>-1</v>
      </c>
      <c r="V1212" s="5">
        <f t="shared" si="449"/>
        <v>45975</v>
      </c>
      <c r="W1212" s="6"/>
      <c r="X1212" s="19" t="str">
        <f t="shared" si="457"/>
        <v/>
      </c>
      <c r="Y1212" s="51">
        <f t="shared" si="427"/>
        <v>46003</v>
      </c>
      <c r="Z1212" s="51"/>
      <c r="AA1212" s="49" t="str">
        <f t="shared" si="458"/>
        <v/>
      </c>
      <c r="AB1212" s="51">
        <f t="shared" si="450"/>
        <v>46005</v>
      </c>
      <c r="AC1212" s="49" t="str">
        <f t="shared" si="453"/>
        <v/>
      </c>
      <c r="AD1212" s="43">
        <f t="shared" si="451"/>
        <v>46005</v>
      </c>
      <c r="AF1212" s="19" t="str">
        <f t="shared" si="428"/>
        <v/>
      </c>
      <c r="AG1212" s="10"/>
      <c r="AH1212" s="1"/>
      <c r="AI1212" s="1"/>
      <c r="AJ1212" s="1"/>
      <c r="AK1212" s="1"/>
      <c r="AL1212" s="1"/>
    </row>
    <row r="1213" spans="1:38" ht="14.45">
      <c r="A1213" s="156">
        <v>1212</v>
      </c>
      <c r="B1213" s="59">
        <v>46006</v>
      </c>
      <c r="C1213" s="34" t="s">
        <v>2527</v>
      </c>
      <c r="D1213" s="23" t="s">
        <v>38</v>
      </c>
      <c r="E1213" s="23">
        <v>1154.72</v>
      </c>
      <c r="F1213" s="23" t="s">
        <v>2528</v>
      </c>
      <c r="G1213" s="14" t="s">
        <v>190</v>
      </c>
      <c r="H1213" s="23" t="s">
        <v>40</v>
      </c>
      <c r="I1213" s="23" t="s">
        <v>41</v>
      </c>
      <c r="J1213" s="97">
        <f t="shared" si="447"/>
        <v>45906</v>
      </c>
      <c r="K1213" s="4">
        <v>45906</v>
      </c>
      <c r="L1213" s="19">
        <f t="shared" si="459"/>
        <v>0</v>
      </c>
      <c r="M1213" s="5">
        <f t="shared" si="448"/>
        <v>45917</v>
      </c>
      <c r="N1213" s="4">
        <v>45917</v>
      </c>
      <c r="O1213" s="19">
        <f t="shared" si="454"/>
        <v>0</v>
      </c>
      <c r="P1213" s="5">
        <f t="shared" si="431"/>
        <v>45932</v>
      </c>
      <c r="Q1213" s="4">
        <v>45932</v>
      </c>
      <c r="R1213" s="19">
        <f t="shared" si="455"/>
        <v>0</v>
      </c>
      <c r="S1213" s="5">
        <f t="shared" si="452"/>
        <v>45937</v>
      </c>
      <c r="T1213" s="4">
        <v>45937</v>
      </c>
      <c r="U1213" s="19">
        <f t="shared" si="456"/>
        <v>0</v>
      </c>
      <c r="V1213" s="5">
        <f t="shared" si="449"/>
        <v>45976</v>
      </c>
      <c r="W1213" s="6"/>
      <c r="X1213" s="19" t="str">
        <f t="shared" si="457"/>
        <v/>
      </c>
      <c r="Y1213" s="51">
        <f t="shared" si="427"/>
        <v>46004</v>
      </c>
      <c r="Z1213" s="51"/>
      <c r="AA1213" s="49" t="str">
        <f t="shared" si="458"/>
        <v/>
      </c>
      <c r="AB1213" s="51">
        <f t="shared" si="450"/>
        <v>46006</v>
      </c>
      <c r="AC1213" s="49" t="str">
        <f t="shared" si="453"/>
        <v/>
      </c>
      <c r="AD1213" s="43">
        <f t="shared" si="451"/>
        <v>46006</v>
      </c>
      <c r="AF1213" s="19" t="str">
        <f t="shared" si="428"/>
        <v/>
      </c>
      <c r="AG1213" s="10"/>
      <c r="AH1213" s="1"/>
      <c r="AI1213" s="1"/>
      <c r="AJ1213" s="1"/>
      <c r="AK1213" s="1"/>
      <c r="AL1213" s="1"/>
    </row>
    <row r="1214" spans="1:38" ht="14.45">
      <c r="A1214" s="156">
        <v>1213</v>
      </c>
      <c r="B1214" s="59">
        <v>46006</v>
      </c>
      <c r="C1214" s="34" t="s">
        <v>2529</v>
      </c>
      <c r="D1214" s="23" t="s">
        <v>2530</v>
      </c>
      <c r="E1214" s="23">
        <v>11885</v>
      </c>
      <c r="F1214" s="23" t="s">
        <v>2531</v>
      </c>
      <c r="G1214" s="14" t="s">
        <v>46</v>
      </c>
      <c r="H1214" s="23" t="s">
        <v>40</v>
      </c>
      <c r="I1214" s="23" t="s">
        <v>323</v>
      </c>
      <c r="J1214" s="97">
        <f t="shared" si="447"/>
        <v>45906</v>
      </c>
      <c r="K1214" s="4">
        <v>45887</v>
      </c>
      <c r="L1214" s="19">
        <f t="shared" si="459"/>
        <v>19</v>
      </c>
      <c r="M1214" s="5">
        <f t="shared" si="448"/>
        <v>45917</v>
      </c>
      <c r="N1214" s="4">
        <v>45932</v>
      </c>
      <c r="O1214" s="19">
        <f t="shared" si="454"/>
        <v>-15</v>
      </c>
      <c r="P1214" s="5">
        <f t="shared" si="431"/>
        <v>45932</v>
      </c>
      <c r="R1214" s="19" t="str">
        <f t="shared" si="455"/>
        <v/>
      </c>
      <c r="S1214" s="5">
        <f t="shared" si="452"/>
        <v>45937</v>
      </c>
      <c r="T1214" s="4">
        <v>45933</v>
      </c>
      <c r="U1214" s="19">
        <f t="shared" si="456"/>
        <v>4</v>
      </c>
      <c r="V1214" s="5">
        <f t="shared" si="449"/>
        <v>45976</v>
      </c>
      <c r="W1214" s="6"/>
      <c r="X1214" s="19" t="str">
        <f t="shared" si="457"/>
        <v/>
      </c>
      <c r="Y1214" s="51">
        <f t="shared" si="427"/>
        <v>46004</v>
      </c>
      <c r="Z1214" s="125"/>
      <c r="AA1214" s="49" t="str">
        <f t="shared" si="458"/>
        <v/>
      </c>
      <c r="AB1214" s="51">
        <f t="shared" si="450"/>
        <v>46006</v>
      </c>
      <c r="AC1214" s="49" t="str">
        <f t="shared" si="453"/>
        <v/>
      </c>
      <c r="AD1214" s="43">
        <f t="shared" si="451"/>
        <v>46006</v>
      </c>
      <c r="AF1214" s="19" t="str">
        <f t="shared" si="428"/>
        <v/>
      </c>
      <c r="AG1214" s="10"/>
      <c r="AH1214" s="1"/>
      <c r="AI1214" s="1"/>
      <c r="AJ1214" s="1"/>
      <c r="AK1214" s="1"/>
      <c r="AL1214" s="1"/>
    </row>
    <row r="1215" spans="1:38" ht="14.45">
      <c r="A1215" s="156">
        <v>1214</v>
      </c>
      <c r="B1215" s="59">
        <v>46007</v>
      </c>
      <c r="C1215" s="34" t="s">
        <v>2532</v>
      </c>
      <c r="D1215" s="23" t="s">
        <v>2533</v>
      </c>
      <c r="E1215" s="23">
        <v>1148.3599999999999</v>
      </c>
      <c r="F1215" s="23" t="s">
        <v>2523</v>
      </c>
      <c r="G1215" s="14" t="s">
        <v>120</v>
      </c>
      <c r="H1215" s="23" t="s">
        <v>40</v>
      </c>
      <c r="I1215" s="23" t="s">
        <v>41</v>
      </c>
      <c r="J1215" s="97">
        <f t="shared" si="447"/>
        <v>45907</v>
      </c>
      <c r="L1215" s="19" t="str">
        <f t="shared" si="459"/>
        <v/>
      </c>
      <c r="M1215" s="5">
        <f t="shared" si="448"/>
        <v>45918</v>
      </c>
      <c r="O1215" s="19" t="str">
        <f t="shared" si="454"/>
        <v/>
      </c>
      <c r="P1215" s="5">
        <f t="shared" si="431"/>
        <v>45933</v>
      </c>
      <c r="R1215" s="19" t="str">
        <f t="shared" si="455"/>
        <v/>
      </c>
      <c r="S1215" s="5">
        <f t="shared" si="452"/>
        <v>45938</v>
      </c>
      <c r="T1215" s="4">
        <v>45932</v>
      </c>
      <c r="U1215" s="19">
        <f t="shared" si="456"/>
        <v>6</v>
      </c>
      <c r="V1215" s="5">
        <f t="shared" si="449"/>
        <v>45977</v>
      </c>
      <c r="W1215" s="6">
        <v>45932</v>
      </c>
      <c r="X1215" s="19">
        <f t="shared" si="457"/>
        <v>45</v>
      </c>
      <c r="Y1215" s="51">
        <f t="shared" si="427"/>
        <v>46005</v>
      </c>
      <c r="Z1215" s="49"/>
      <c r="AA1215" s="49" t="str">
        <f t="shared" si="458"/>
        <v/>
      </c>
      <c r="AB1215" s="51">
        <f t="shared" si="450"/>
        <v>46007</v>
      </c>
      <c r="AC1215" s="49" t="str">
        <f t="shared" si="453"/>
        <v/>
      </c>
      <c r="AD1215" s="43">
        <f t="shared" si="451"/>
        <v>46007</v>
      </c>
      <c r="AF1215" s="19" t="str">
        <f t="shared" si="428"/>
        <v/>
      </c>
      <c r="AG1215" s="10"/>
      <c r="AH1215" s="1"/>
      <c r="AI1215" s="1"/>
      <c r="AJ1215" s="1"/>
      <c r="AK1215" s="1"/>
      <c r="AL1215" s="1"/>
    </row>
    <row r="1216" spans="1:38" ht="14.45">
      <c r="A1216" s="156">
        <v>1215</v>
      </c>
      <c r="B1216" s="59">
        <v>46007</v>
      </c>
      <c r="C1216" s="34" t="s">
        <v>2534</v>
      </c>
      <c r="D1216" s="23" t="s">
        <v>2535</v>
      </c>
      <c r="E1216" s="23">
        <v>1656.17</v>
      </c>
      <c r="F1216" s="23" t="s">
        <v>2536</v>
      </c>
      <c r="G1216" s="14" t="s">
        <v>51</v>
      </c>
      <c r="H1216" s="23" t="s">
        <v>40</v>
      </c>
      <c r="I1216" s="23" t="s">
        <v>93</v>
      </c>
      <c r="J1216" s="97">
        <f t="shared" si="447"/>
        <v>45907</v>
      </c>
      <c r="K1216" s="4">
        <v>45897</v>
      </c>
      <c r="L1216" s="19">
        <f t="shared" si="459"/>
        <v>10</v>
      </c>
      <c r="M1216" s="5">
        <f t="shared" si="448"/>
        <v>45918</v>
      </c>
      <c r="N1216" s="4">
        <v>45912</v>
      </c>
      <c r="O1216" s="19">
        <f t="shared" si="454"/>
        <v>6</v>
      </c>
      <c r="P1216" s="5">
        <f t="shared" si="431"/>
        <v>45933</v>
      </c>
      <c r="Q1216" s="4">
        <v>45917</v>
      </c>
      <c r="R1216" s="19">
        <f t="shared" si="455"/>
        <v>16</v>
      </c>
      <c r="S1216" s="5">
        <f t="shared" si="452"/>
        <v>45938</v>
      </c>
      <c r="T1216" s="4">
        <v>45939</v>
      </c>
      <c r="U1216" s="19">
        <f t="shared" si="456"/>
        <v>-1</v>
      </c>
      <c r="V1216" s="5">
        <f t="shared" si="449"/>
        <v>45977</v>
      </c>
      <c r="W1216" s="6"/>
      <c r="X1216" s="19" t="str">
        <f t="shared" si="457"/>
        <v/>
      </c>
      <c r="Y1216" s="51">
        <f t="shared" si="427"/>
        <v>46005</v>
      </c>
      <c r="Z1216" s="49"/>
      <c r="AA1216" s="49" t="str">
        <f t="shared" si="458"/>
        <v/>
      </c>
      <c r="AB1216" s="51">
        <f t="shared" si="450"/>
        <v>46007</v>
      </c>
      <c r="AC1216" s="49" t="str">
        <f t="shared" si="453"/>
        <v/>
      </c>
      <c r="AD1216" s="43">
        <f t="shared" si="451"/>
        <v>46007</v>
      </c>
      <c r="AF1216" s="19" t="str">
        <f t="shared" si="428"/>
        <v/>
      </c>
      <c r="AG1216" s="10"/>
      <c r="AH1216" s="1"/>
      <c r="AI1216" s="1"/>
      <c r="AJ1216" s="1"/>
      <c r="AK1216" s="1"/>
      <c r="AL1216" s="1"/>
    </row>
    <row r="1217" spans="1:38" ht="14.45">
      <c r="A1217" s="156">
        <v>1216</v>
      </c>
      <c r="B1217" s="59">
        <v>46008</v>
      </c>
      <c r="C1217" s="34">
        <v>645032335</v>
      </c>
      <c r="D1217" s="23" t="s">
        <v>153</v>
      </c>
      <c r="E1217" s="23">
        <v>4763.96</v>
      </c>
      <c r="F1217" s="23" t="s">
        <v>2537</v>
      </c>
      <c r="G1217" s="14" t="s">
        <v>46</v>
      </c>
      <c r="H1217" s="23" t="s">
        <v>40</v>
      </c>
      <c r="I1217" s="23" t="s">
        <v>272</v>
      </c>
      <c r="J1217" s="97">
        <f t="shared" si="447"/>
        <v>45908</v>
      </c>
      <c r="K1217" s="4">
        <v>45901</v>
      </c>
      <c r="L1217" s="19">
        <f t="shared" si="459"/>
        <v>7</v>
      </c>
      <c r="M1217" s="5">
        <f t="shared" si="448"/>
        <v>45919</v>
      </c>
      <c r="N1217" s="4">
        <v>45931</v>
      </c>
      <c r="O1217" s="19">
        <f t="shared" si="454"/>
        <v>-12</v>
      </c>
      <c r="P1217" s="5">
        <f t="shared" si="431"/>
        <v>45934</v>
      </c>
      <c r="R1217" s="19" t="str">
        <f t="shared" si="455"/>
        <v/>
      </c>
      <c r="S1217" s="5">
        <f t="shared" si="452"/>
        <v>45939</v>
      </c>
      <c r="T1217" s="4">
        <v>45933</v>
      </c>
      <c r="U1217" s="19">
        <f t="shared" si="456"/>
        <v>6</v>
      </c>
      <c r="V1217" s="5">
        <f t="shared" si="449"/>
        <v>45978</v>
      </c>
      <c r="W1217" s="6"/>
      <c r="X1217" s="19" t="str">
        <f t="shared" si="457"/>
        <v/>
      </c>
      <c r="Y1217" s="51">
        <f t="shared" ref="Y1217:Y1254" si="460">B1217-2</f>
        <v>46006</v>
      </c>
      <c r="Z1217" s="125"/>
      <c r="AA1217" s="49" t="str">
        <f t="shared" si="458"/>
        <v/>
      </c>
      <c r="AB1217" s="51">
        <f t="shared" si="450"/>
        <v>46008</v>
      </c>
      <c r="AC1217" s="49" t="str">
        <f t="shared" si="453"/>
        <v/>
      </c>
      <c r="AD1217" s="43">
        <f t="shared" si="451"/>
        <v>46008</v>
      </c>
      <c r="AF1217" s="19" t="str">
        <f t="shared" ref="AF1217:AF1268" si="461">IF(OR(AD1217="", AE1217=""), "", AD1217-AE1217)</f>
        <v/>
      </c>
      <c r="AG1217" s="10"/>
      <c r="AH1217" s="1"/>
      <c r="AI1217" s="1"/>
      <c r="AJ1217" s="1"/>
      <c r="AK1217" s="1"/>
      <c r="AL1217" s="1"/>
    </row>
    <row r="1218" spans="1:38" ht="14.45">
      <c r="A1218" s="156">
        <v>1217</v>
      </c>
      <c r="B1218" s="59">
        <v>46008</v>
      </c>
      <c r="C1218" s="34" t="s">
        <v>2538</v>
      </c>
      <c r="D1218" s="23" t="s">
        <v>211</v>
      </c>
      <c r="E1218" s="23">
        <v>166296.04</v>
      </c>
      <c r="F1218" s="23" t="s">
        <v>2539</v>
      </c>
      <c r="G1218" s="14" t="s">
        <v>35</v>
      </c>
      <c r="H1218" s="23" t="s">
        <v>36</v>
      </c>
      <c r="I1218" s="23" t="s">
        <v>37</v>
      </c>
      <c r="J1218" s="97">
        <f t="shared" si="447"/>
        <v>45908</v>
      </c>
      <c r="L1218" s="19" t="str">
        <f t="shared" si="459"/>
        <v/>
      </c>
      <c r="M1218" s="5">
        <f t="shared" si="448"/>
        <v>45919</v>
      </c>
      <c r="O1218" s="19" t="str">
        <f t="shared" si="454"/>
        <v/>
      </c>
      <c r="P1218" s="5">
        <f t="shared" si="431"/>
        <v>45934</v>
      </c>
      <c r="R1218" s="19" t="str">
        <f t="shared" si="455"/>
        <v/>
      </c>
      <c r="S1218" s="5">
        <f t="shared" si="452"/>
        <v>45939</v>
      </c>
      <c r="T1218" s="4">
        <v>45918</v>
      </c>
      <c r="U1218" s="19">
        <f t="shared" si="456"/>
        <v>21</v>
      </c>
      <c r="V1218" s="5">
        <f t="shared" si="449"/>
        <v>45978</v>
      </c>
      <c r="W1218" s="6">
        <v>45928</v>
      </c>
      <c r="X1218" s="19">
        <f t="shared" si="457"/>
        <v>50</v>
      </c>
      <c r="Y1218" s="51">
        <f t="shared" si="460"/>
        <v>46006</v>
      </c>
      <c r="Z1218" s="51"/>
      <c r="AA1218" s="49" t="str">
        <f t="shared" si="458"/>
        <v/>
      </c>
      <c r="AB1218" s="51">
        <f t="shared" si="450"/>
        <v>46008</v>
      </c>
      <c r="AC1218" s="49" t="str">
        <f t="shared" si="453"/>
        <v/>
      </c>
      <c r="AD1218" s="43">
        <f t="shared" si="451"/>
        <v>46008</v>
      </c>
      <c r="AF1218" s="19" t="str">
        <f t="shared" si="461"/>
        <v/>
      </c>
      <c r="AG1218" s="10"/>
      <c r="AH1218" s="1"/>
      <c r="AI1218" s="1"/>
      <c r="AJ1218" s="1"/>
      <c r="AK1218" s="1"/>
      <c r="AL1218" s="1"/>
    </row>
    <row r="1219" spans="1:38" ht="14.45">
      <c r="A1219" s="156">
        <v>1218</v>
      </c>
      <c r="B1219" s="59">
        <v>46008</v>
      </c>
      <c r="C1219" s="34">
        <v>10000684</v>
      </c>
      <c r="D1219" s="23" t="s">
        <v>2540</v>
      </c>
      <c r="E1219" s="23">
        <v>36800</v>
      </c>
      <c r="F1219" s="23" t="s">
        <v>2541</v>
      </c>
      <c r="G1219" s="14" t="s">
        <v>35</v>
      </c>
      <c r="H1219" s="23" t="s">
        <v>40</v>
      </c>
      <c r="I1219" s="23" t="s">
        <v>62</v>
      </c>
      <c r="J1219" s="97">
        <f t="shared" si="447"/>
        <v>45908</v>
      </c>
      <c r="L1219" s="19" t="str">
        <f t="shared" si="459"/>
        <v/>
      </c>
      <c r="M1219" s="5">
        <f t="shared" si="448"/>
        <v>45919</v>
      </c>
      <c r="O1219" s="19" t="str">
        <f t="shared" si="454"/>
        <v/>
      </c>
      <c r="P1219" s="5">
        <f t="shared" si="431"/>
        <v>45934</v>
      </c>
      <c r="R1219" s="19" t="str">
        <f t="shared" si="455"/>
        <v/>
      </c>
      <c r="S1219" s="5">
        <f t="shared" si="452"/>
        <v>45939</v>
      </c>
      <c r="T1219" s="4">
        <v>45932</v>
      </c>
      <c r="U1219" s="19">
        <f t="shared" si="456"/>
        <v>7</v>
      </c>
      <c r="V1219" s="5">
        <f t="shared" si="449"/>
        <v>45978</v>
      </c>
      <c r="W1219" s="6"/>
      <c r="X1219" s="19" t="str">
        <f t="shared" si="457"/>
        <v/>
      </c>
      <c r="Y1219" s="51">
        <f t="shared" si="460"/>
        <v>46006</v>
      </c>
      <c r="Z1219" s="51"/>
      <c r="AA1219" s="49" t="str">
        <f t="shared" si="458"/>
        <v/>
      </c>
      <c r="AB1219" s="51">
        <f t="shared" si="450"/>
        <v>46008</v>
      </c>
      <c r="AC1219" s="49" t="str">
        <f t="shared" si="453"/>
        <v/>
      </c>
      <c r="AD1219" s="43">
        <f t="shared" si="451"/>
        <v>46008</v>
      </c>
      <c r="AF1219" s="19" t="str">
        <f t="shared" si="461"/>
        <v/>
      </c>
      <c r="AG1219" s="10"/>
      <c r="AH1219" s="1"/>
      <c r="AI1219" s="1"/>
      <c r="AJ1219" s="1"/>
      <c r="AK1219" s="1"/>
      <c r="AL1219" s="1"/>
    </row>
    <row r="1220" spans="1:38" ht="14.45">
      <c r="A1220" s="156">
        <v>1219</v>
      </c>
      <c r="B1220" s="59">
        <v>46009</v>
      </c>
      <c r="C1220" s="34" t="s">
        <v>2542</v>
      </c>
      <c r="D1220" s="23" t="s">
        <v>1686</v>
      </c>
      <c r="E1220" s="23">
        <v>14050</v>
      </c>
      <c r="F1220" s="23" t="s">
        <v>2543</v>
      </c>
      <c r="G1220" s="14" t="s">
        <v>35</v>
      </c>
      <c r="H1220" s="23" t="s">
        <v>40</v>
      </c>
      <c r="I1220" s="23" t="s">
        <v>62</v>
      </c>
      <c r="J1220" s="97">
        <f t="shared" si="447"/>
        <v>45909</v>
      </c>
      <c r="L1220" s="19" t="str">
        <f t="shared" si="459"/>
        <v/>
      </c>
      <c r="M1220" s="5">
        <f t="shared" si="448"/>
        <v>45920</v>
      </c>
      <c r="O1220" s="19" t="str">
        <f t="shared" si="454"/>
        <v/>
      </c>
      <c r="P1220" s="5">
        <f t="shared" si="431"/>
        <v>45935</v>
      </c>
      <c r="R1220" s="19" t="str">
        <f t="shared" si="455"/>
        <v/>
      </c>
      <c r="S1220" s="5">
        <f t="shared" si="452"/>
        <v>45940</v>
      </c>
      <c r="T1220" s="4">
        <v>45929</v>
      </c>
      <c r="U1220" s="19">
        <f t="shared" si="456"/>
        <v>11</v>
      </c>
      <c r="V1220" s="5">
        <f t="shared" si="449"/>
        <v>45979</v>
      </c>
      <c r="W1220" s="6"/>
      <c r="X1220" s="19" t="str">
        <f t="shared" si="457"/>
        <v/>
      </c>
      <c r="Y1220" s="51">
        <f t="shared" si="460"/>
        <v>46007</v>
      </c>
      <c r="Z1220" s="51"/>
      <c r="AA1220" s="49" t="str">
        <f t="shared" si="458"/>
        <v/>
      </c>
      <c r="AB1220" s="51">
        <f t="shared" si="450"/>
        <v>46009</v>
      </c>
      <c r="AC1220" s="49" t="str">
        <f t="shared" si="453"/>
        <v/>
      </c>
      <c r="AD1220" s="43">
        <f t="shared" si="451"/>
        <v>46009</v>
      </c>
      <c r="AF1220" s="19" t="str">
        <f t="shared" si="461"/>
        <v/>
      </c>
      <c r="AG1220" s="10"/>
      <c r="AH1220" s="1"/>
      <c r="AI1220" s="1"/>
      <c r="AJ1220" s="1"/>
      <c r="AK1220" s="1"/>
      <c r="AL1220" s="1"/>
    </row>
    <row r="1221" spans="1:38" ht="14.45">
      <c r="A1221" s="156">
        <v>1220</v>
      </c>
      <c r="B1221" s="59">
        <v>46009</v>
      </c>
      <c r="C1221" s="34" t="s">
        <v>2544</v>
      </c>
      <c r="D1221" s="23" t="s">
        <v>2545</v>
      </c>
      <c r="E1221" s="23">
        <v>5619.13</v>
      </c>
      <c r="F1221" s="23" t="s">
        <v>2546</v>
      </c>
      <c r="G1221" s="14" t="s">
        <v>46</v>
      </c>
      <c r="H1221" s="23" t="s">
        <v>40</v>
      </c>
      <c r="I1221" s="23" t="s">
        <v>229</v>
      </c>
      <c r="J1221" s="97">
        <f t="shared" si="447"/>
        <v>45909</v>
      </c>
      <c r="K1221" s="4">
        <v>45901</v>
      </c>
      <c r="L1221" s="19">
        <f t="shared" si="459"/>
        <v>8</v>
      </c>
      <c r="M1221" s="5">
        <f t="shared" si="448"/>
        <v>45920</v>
      </c>
      <c r="N1221" s="4">
        <v>45932</v>
      </c>
      <c r="O1221" s="19">
        <f t="shared" si="454"/>
        <v>-12</v>
      </c>
      <c r="P1221" s="5">
        <f t="shared" si="431"/>
        <v>45935</v>
      </c>
      <c r="R1221" s="19" t="str">
        <f t="shared" si="455"/>
        <v/>
      </c>
      <c r="S1221" s="5">
        <f t="shared" si="452"/>
        <v>45940</v>
      </c>
      <c r="T1221" s="4">
        <v>45940</v>
      </c>
      <c r="U1221" s="19">
        <f t="shared" si="456"/>
        <v>0</v>
      </c>
      <c r="V1221" s="5">
        <f t="shared" si="449"/>
        <v>45979</v>
      </c>
      <c r="W1221" s="6"/>
      <c r="X1221" s="19" t="str">
        <f t="shared" si="457"/>
        <v/>
      </c>
      <c r="Y1221" s="51">
        <f t="shared" si="460"/>
        <v>46007</v>
      </c>
      <c r="Z1221" s="125"/>
      <c r="AA1221" s="49" t="str">
        <f t="shared" si="458"/>
        <v/>
      </c>
      <c r="AB1221" s="51">
        <f t="shared" si="450"/>
        <v>46009</v>
      </c>
      <c r="AC1221" s="49" t="str">
        <f t="shared" si="453"/>
        <v/>
      </c>
      <c r="AD1221" s="43">
        <f t="shared" si="451"/>
        <v>46009</v>
      </c>
      <c r="AF1221" s="19" t="str">
        <f t="shared" si="461"/>
        <v/>
      </c>
      <c r="AG1221" s="10"/>
      <c r="AH1221" s="1"/>
      <c r="AI1221" s="1"/>
      <c r="AJ1221" s="1"/>
      <c r="AK1221" s="1"/>
      <c r="AL1221" s="1"/>
    </row>
    <row r="1222" spans="1:38" ht="14.45">
      <c r="A1222" s="156">
        <v>1221</v>
      </c>
      <c r="B1222" s="59">
        <v>46009</v>
      </c>
      <c r="C1222" s="34" t="s">
        <v>2547</v>
      </c>
      <c r="D1222" s="23" t="s">
        <v>2548</v>
      </c>
      <c r="E1222" s="23">
        <v>57008.29</v>
      </c>
      <c r="F1222" s="129" t="s">
        <v>2549</v>
      </c>
      <c r="G1222" s="14" t="s">
        <v>51</v>
      </c>
      <c r="H1222" s="23" t="s">
        <v>40</v>
      </c>
      <c r="I1222" s="129" t="s">
        <v>62</v>
      </c>
      <c r="J1222" s="97">
        <f t="shared" si="447"/>
        <v>45909</v>
      </c>
      <c r="K1222" s="4">
        <v>45897</v>
      </c>
      <c r="L1222" s="19">
        <f t="shared" si="459"/>
        <v>12</v>
      </c>
      <c r="M1222" s="5">
        <f t="shared" si="448"/>
        <v>45920</v>
      </c>
      <c r="N1222" s="4">
        <v>45912</v>
      </c>
      <c r="O1222" s="19">
        <f t="shared" si="454"/>
        <v>8</v>
      </c>
      <c r="P1222" s="5">
        <f t="shared" si="431"/>
        <v>45935</v>
      </c>
      <c r="R1222" s="19" t="str">
        <f t="shared" si="455"/>
        <v/>
      </c>
      <c r="S1222" s="5">
        <f t="shared" si="452"/>
        <v>45940</v>
      </c>
      <c r="T1222" s="4">
        <v>45943</v>
      </c>
      <c r="U1222" s="19">
        <f t="shared" si="456"/>
        <v>-3</v>
      </c>
      <c r="V1222" s="5">
        <f t="shared" si="449"/>
        <v>45979</v>
      </c>
      <c r="W1222" s="6"/>
      <c r="X1222" s="19" t="str">
        <f t="shared" si="457"/>
        <v/>
      </c>
      <c r="Y1222" s="51">
        <f t="shared" si="460"/>
        <v>46007</v>
      </c>
      <c r="Z1222" s="49"/>
      <c r="AA1222" s="49" t="str">
        <f t="shared" si="458"/>
        <v/>
      </c>
      <c r="AB1222" s="51">
        <f t="shared" si="450"/>
        <v>46009</v>
      </c>
      <c r="AC1222" s="49" t="str">
        <f t="shared" si="453"/>
        <v/>
      </c>
      <c r="AD1222" s="43">
        <f t="shared" si="451"/>
        <v>46009</v>
      </c>
      <c r="AF1222" s="19" t="str">
        <f t="shared" si="461"/>
        <v/>
      </c>
      <c r="AG1222" s="10"/>
      <c r="AH1222" s="1"/>
      <c r="AI1222" s="1"/>
      <c r="AJ1222" s="1"/>
      <c r="AK1222" s="1"/>
      <c r="AL1222" s="1"/>
    </row>
    <row r="1223" spans="1:38" ht="14.45">
      <c r="A1223" s="156">
        <v>1222</v>
      </c>
      <c r="B1223" s="59">
        <v>46010</v>
      </c>
      <c r="C1223" s="34" t="s">
        <v>2550</v>
      </c>
      <c r="D1223" s="23" t="s">
        <v>49</v>
      </c>
      <c r="E1223" s="23">
        <v>114285.92</v>
      </c>
      <c r="F1223" s="23" t="s">
        <v>2551</v>
      </c>
      <c r="G1223" s="14" t="s">
        <v>51</v>
      </c>
      <c r="H1223" s="23" t="s">
        <v>40</v>
      </c>
      <c r="I1223" s="23" t="s">
        <v>62</v>
      </c>
      <c r="J1223" s="97">
        <f t="shared" si="447"/>
        <v>45910</v>
      </c>
      <c r="K1223" s="4">
        <v>45897</v>
      </c>
      <c r="L1223" s="19">
        <f t="shared" si="459"/>
        <v>13</v>
      </c>
      <c r="M1223" s="5">
        <f t="shared" si="448"/>
        <v>45921</v>
      </c>
      <c r="N1223" s="4">
        <v>45911</v>
      </c>
      <c r="O1223" s="19">
        <f t="shared" si="454"/>
        <v>10</v>
      </c>
      <c r="P1223" s="5">
        <f t="shared" si="431"/>
        <v>45936</v>
      </c>
      <c r="Q1223" s="4">
        <v>45911</v>
      </c>
      <c r="R1223" s="19">
        <f t="shared" si="455"/>
        <v>25</v>
      </c>
      <c r="S1223" s="5">
        <f t="shared" si="452"/>
        <v>45941</v>
      </c>
      <c r="T1223" s="4">
        <v>45932</v>
      </c>
      <c r="U1223" s="19">
        <f t="shared" si="456"/>
        <v>9</v>
      </c>
      <c r="V1223" s="5">
        <f t="shared" si="449"/>
        <v>45980</v>
      </c>
      <c r="W1223" s="6"/>
      <c r="X1223" s="19" t="str">
        <f t="shared" si="457"/>
        <v/>
      </c>
      <c r="Y1223" s="51">
        <f t="shared" si="460"/>
        <v>46008</v>
      </c>
      <c r="Z1223" s="49"/>
      <c r="AA1223" s="49" t="str">
        <f t="shared" si="458"/>
        <v/>
      </c>
      <c r="AB1223" s="51">
        <f t="shared" si="450"/>
        <v>46010</v>
      </c>
      <c r="AC1223" s="49" t="str">
        <f t="shared" si="453"/>
        <v/>
      </c>
      <c r="AD1223" s="43">
        <f t="shared" si="451"/>
        <v>46010</v>
      </c>
      <c r="AF1223" s="19" t="str">
        <f t="shared" si="461"/>
        <v/>
      </c>
      <c r="AG1223" s="10"/>
      <c r="AH1223" s="1"/>
      <c r="AI1223" s="1"/>
      <c r="AJ1223" s="1"/>
      <c r="AK1223" s="1"/>
      <c r="AL1223" s="1"/>
    </row>
    <row r="1224" spans="1:38" ht="14.45">
      <c r="A1224" s="156">
        <v>1223</v>
      </c>
      <c r="B1224" s="59">
        <v>46011</v>
      </c>
      <c r="C1224" s="34" t="s">
        <v>2552</v>
      </c>
      <c r="D1224" s="23" t="s">
        <v>218</v>
      </c>
      <c r="E1224" s="23">
        <v>34105.4</v>
      </c>
      <c r="F1224" s="23" t="s">
        <v>2553</v>
      </c>
      <c r="G1224" s="14" t="s">
        <v>120</v>
      </c>
      <c r="H1224" s="23" t="s">
        <v>40</v>
      </c>
      <c r="I1224" s="23" t="s">
        <v>93</v>
      </c>
      <c r="J1224" s="97">
        <f t="shared" si="447"/>
        <v>45911</v>
      </c>
      <c r="K1224" s="4">
        <v>45849</v>
      </c>
      <c r="L1224" s="19">
        <f t="shared" si="459"/>
        <v>62</v>
      </c>
      <c r="M1224" s="5">
        <f t="shared" si="448"/>
        <v>45922</v>
      </c>
      <c r="O1224" s="19" t="str">
        <f t="shared" si="454"/>
        <v/>
      </c>
      <c r="P1224" s="5">
        <f t="shared" si="431"/>
        <v>45937</v>
      </c>
      <c r="R1224" s="19" t="str">
        <f t="shared" si="455"/>
        <v/>
      </c>
      <c r="S1224" s="5">
        <f t="shared" si="452"/>
        <v>45942</v>
      </c>
      <c r="T1224" s="4">
        <v>45932</v>
      </c>
      <c r="U1224" s="19">
        <f t="shared" si="456"/>
        <v>10</v>
      </c>
      <c r="V1224" s="5">
        <f t="shared" si="449"/>
        <v>45981</v>
      </c>
      <c r="W1224" s="6">
        <v>45932</v>
      </c>
      <c r="X1224" s="19">
        <f t="shared" si="457"/>
        <v>49</v>
      </c>
      <c r="Y1224" s="51">
        <f t="shared" si="460"/>
        <v>46009</v>
      </c>
      <c r="Z1224" s="49"/>
      <c r="AA1224" s="49" t="str">
        <f t="shared" si="458"/>
        <v/>
      </c>
      <c r="AB1224" s="51">
        <f t="shared" si="450"/>
        <v>46011</v>
      </c>
      <c r="AC1224" s="49" t="str">
        <f t="shared" si="453"/>
        <v/>
      </c>
      <c r="AD1224" s="43">
        <f t="shared" si="451"/>
        <v>46011</v>
      </c>
      <c r="AF1224" s="19" t="str">
        <f t="shared" si="461"/>
        <v/>
      </c>
      <c r="AG1224" s="10"/>
      <c r="AH1224" s="1"/>
      <c r="AI1224" s="1"/>
      <c r="AJ1224" s="1"/>
      <c r="AK1224" s="1"/>
      <c r="AL1224" s="1"/>
    </row>
    <row r="1225" spans="1:38" ht="14.45">
      <c r="A1225" s="156">
        <v>1224</v>
      </c>
      <c r="B1225" s="59">
        <v>46011</v>
      </c>
      <c r="C1225" s="34">
        <v>3102400013519</v>
      </c>
      <c r="D1225" s="23" t="s">
        <v>220</v>
      </c>
      <c r="E1225" s="23">
        <v>53086.23</v>
      </c>
      <c r="F1225" s="23" t="s">
        <v>221</v>
      </c>
      <c r="G1225" s="14" t="s">
        <v>120</v>
      </c>
      <c r="H1225" s="23" t="s">
        <v>40</v>
      </c>
      <c r="I1225" s="23" t="s">
        <v>93</v>
      </c>
      <c r="J1225" s="97">
        <f t="shared" si="447"/>
        <v>45911</v>
      </c>
      <c r="K1225" s="4">
        <v>45849</v>
      </c>
      <c r="L1225" s="19">
        <f t="shared" si="459"/>
        <v>62</v>
      </c>
      <c r="M1225" s="5">
        <f t="shared" si="448"/>
        <v>45922</v>
      </c>
      <c r="O1225" s="19" t="str">
        <f t="shared" si="454"/>
        <v/>
      </c>
      <c r="P1225" s="5">
        <f t="shared" si="431"/>
        <v>45937</v>
      </c>
      <c r="R1225" s="19" t="str">
        <f t="shared" si="455"/>
        <v/>
      </c>
      <c r="S1225" s="5">
        <f t="shared" si="452"/>
        <v>45942</v>
      </c>
      <c r="T1225" s="4">
        <v>45932</v>
      </c>
      <c r="U1225" s="19">
        <f t="shared" si="456"/>
        <v>10</v>
      </c>
      <c r="V1225" s="5">
        <f t="shared" si="449"/>
        <v>45981</v>
      </c>
      <c r="W1225" s="6">
        <v>45932</v>
      </c>
      <c r="X1225" s="19">
        <f t="shared" si="457"/>
        <v>49</v>
      </c>
      <c r="Y1225" s="51">
        <f t="shared" si="460"/>
        <v>46009</v>
      </c>
      <c r="Z1225" s="49"/>
      <c r="AA1225" s="49" t="str">
        <f t="shared" si="458"/>
        <v/>
      </c>
      <c r="AB1225" s="51">
        <f t="shared" si="450"/>
        <v>46011</v>
      </c>
      <c r="AC1225" s="49" t="str">
        <f t="shared" si="453"/>
        <v/>
      </c>
      <c r="AD1225" s="43">
        <f t="shared" si="451"/>
        <v>46011</v>
      </c>
      <c r="AF1225" s="19" t="str">
        <f t="shared" si="461"/>
        <v/>
      </c>
      <c r="AG1225" s="10"/>
      <c r="AH1225" s="1"/>
      <c r="AI1225" s="1"/>
      <c r="AJ1225" s="1"/>
      <c r="AK1225" s="1"/>
      <c r="AL1225" s="1"/>
    </row>
    <row r="1226" spans="1:38" ht="14.45">
      <c r="A1226" s="156">
        <v>1225</v>
      </c>
      <c r="B1226" s="59">
        <v>46011</v>
      </c>
      <c r="C1226" s="34" t="s">
        <v>2554</v>
      </c>
      <c r="D1226" s="23" t="s">
        <v>38</v>
      </c>
      <c r="E1226" s="23">
        <v>3810.68</v>
      </c>
      <c r="F1226" s="23" t="s">
        <v>2555</v>
      </c>
      <c r="G1226" s="14" t="s">
        <v>190</v>
      </c>
      <c r="H1226" s="23" t="s">
        <v>40</v>
      </c>
      <c r="I1226" s="23" t="s">
        <v>41</v>
      </c>
      <c r="J1226" s="97">
        <f t="shared" si="447"/>
        <v>45911</v>
      </c>
      <c r="K1226" s="4">
        <v>45911</v>
      </c>
      <c r="L1226" s="19">
        <f t="shared" si="459"/>
        <v>0</v>
      </c>
      <c r="M1226" s="5">
        <f t="shared" si="448"/>
        <v>45922</v>
      </c>
      <c r="N1226" s="4">
        <v>45922</v>
      </c>
      <c r="O1226" s="19">
        <f t="shared" si="454"/>
        <v>0</v>
      </c>
      <c r="P1226" s="5">
        <f t="shared" si="431"/>
        <v>45937</v>
      </c>
      <c r="Q1226" s="4">
        <v>45937</v>
      </c>
      <c r="R1226" s="19">
        <f t="shared" si="455"/>
        <v>0</v>
      </c>
      <c r="S1226" s="5">
        <f t="shared" si="452"/>
        <v>45942</v>
      </c>
      <c r="T1226" s="4">
        <v>45942</v>
      </c>
      <c r="U1226" s="19">
        <f t="shared" si="456"/>
        <v>0</v>
      </c>
      <c r="V1226" s="5">
        <f t="shared" si="449"/>
        <v>45981</v>
      </c>
      <c r="W1226" s="6"/>
      <c r="X1226" s="19" t="str">
        <f t="shared" si="457"/>
        <v/>
      </c>
      <c r="Y1226" s="51">
        <f t="shared" si="460"/>
        <v>46009</v>
      </c>
      <c r="Z1226" s="51"/>
      <c r="AA1226" s="49" t="str">
        <f t="shared" si="458"/>
        <v/>
      </c>
      <c r="AB1226" s="51">
        <f t="shared" si="450"/>
        <v>46011</v>
      </c>
      <c r="AC1226" s="49" t="str">
        <f t="shared" si="453"/>
        <v/>
      </c>
      <c r="AD1226" s="43">
        <f t="shared" si="451"/>
        <v>46011</v>
      </c>
      <c r="AF1226" s="19" t="str">
        <f t="shared" si="461"/>
        <v/>
      </c>
      <c r="AG1226" s="10"/>
      <c r="AH1226" s="1"/>
      <c r="AI1226" s="1"/>
      <c r="AJ1226" s="1"/>
      <c r="AK1226" s="1"/>
      <c r="AL1226" s="1"/>
    </row>
    <row r="1227" spans="1:38" ht="14.45">
      <c r="A1227" s="156">
        <v>1226</v>
      </c>
      <c r="B1227" s="59">
        <v>46011</v>
      </c>
      <c r="C1227" s="34" t="s">
        <v>2556</v>
      </c>
      <c r="D1227" s="23" t="s">
        <v>38</v>
      </c>
      <c r="E1227" s="23">
        <v>201.61</v>
      </c>
      <c r="F1227" s="23" t="s">
        <v>2557</v>
      </c>
      <c r="G1227" s="14" t="s">
        <v>190</v>
      </c>
      <c r="H1227" s="23" t="s">
        <v>40</v>
      </c>
      <c r="I1227" s="23" t="s">
        <v>41</v>
      </c>
      <c r="J1227" s="97">
        <f t="shared" si="447"/>
        <v>45911</v>
      </c>
      <c r="K1227" s="4">
        <v>45911</v>
      </c>
      <c r="L1227" s="19">
        <f t="shared" si="459"/>
        <v>0</v>
      </c>
      <c r="M1227" s="5">
        <f t="shared" si="448"/>
        <v>45922</v>
      </c>
      <c r="N1227" s="4">
        <v>45922</v>
      </c>
      <c r="O1227" s="19">
        <f t="shared" si="454"/>
        <v>0</v>
      </c>
      <c r="P1227" s="5">
        <f t="shared" ref="P1227:P1254" si="462">B1227-74</f>
        <v>45937</v>
      </c>
      <c r="Q1227" s="4">
        <v>45937</v>
      </c>
      <c r="R1227" s="19">
        <f t="shared" si="455"/>
        <v>0</v>
      </c>
      <c r="S1227" s="5">
        <f t="shared" si="452"/>
        <v>45942</v>
      </c>
      <c r="T1227" s="4">
        <v>45942</v>
      </c>
      <c r="U1227" s="19">
        <f t="shared" si="456"/>
        <v>0</v>
      </c>
      <c r="V1227" s="5">
        <f t="shared" si="449"/>
        <v>45981</v>
      </c>
      <c r="W1227" s="6"/>
      <c r="X1227" s="19" t="str">
        <f t="shared" si="457"/>
        <v/>
      </c>
      <c r="Y1227" s="51">
        <f t="shared" si="460"/>
        <v>46009</v>
      </c>
      <c r="Z1227" s="51"/>
      <c r="AA1227" s="49" t="str">
        <f t="shared" si="458"/>
        <v/>
      </c>
      <c r="AB1227" s="51">
        <f t="shared" si="450"/>
        <v>46011</v>
      </c>
      <c r="AC1227" s="49" t="str">
        <f t="shared" si="453"/>
        <v/>
      </c>
      <c r="AD1227" s="43">
        <f t="shared" si="451"/>
        <v>46011</v>
      </c>
      <c r="AF1227" s="19" t="str">
        <f t="shared" si="461"/>
        <v/>
      </c>
      <c r="AG1227" s="10"/>
      <c r="AH1227" s="1"/>
      <c r="AI1227" s="1"/>
      <c r="AJ1227" s="1"/>
      <c r="AK1227" s="1"/>
      <c r="AL1227" s="1"/>
    </row>
    <row r="1228" spans="1:38" ht="14.45">
      <c r="A1228" s="156">
        <v>1227</v>
      </c>
      <c r="B1228" s="59">
        <v>46011</v>
      </c>
      <c r="C1228" s="34">
        <v>646284349</v>
      </c>
      <c r="D1228" s="23" t="s">
        <v>2558</v>
      </c>
      <c r="E1228" s="23">
        <v>3214.95</v>
      </c>
      <c r="F1228" s="23" t="s">
        <v>2559</v>
      </c>
      <c r="G1228" s="14" t="s">
        <v>46</v>
      </c>
      <c r="H1228" s="23" t="s">
        <v>36</v>
      </c>
      <c r="I1228" s="23" t="s">
        <v>62</v>
      </c>
      <c r="J1228" s="97">
        <f t="shared" si="447"/>
        <v>45911</v>
      </c>
      <c r="K1228" s="4">
        <v>45901</v>
      </c>
      <c r="L1228" s="19">
        <f t="shared" si="459"/>
        <v>10</v>
      </c>
      <c r="M1228" s="5">
        <f t="shared" si="448"/>
        <v>45922</v>
      </c>
      <c r="N1228" s="4">
        <v>45932</v>
      </c>
      <c r="O1228" s="19">
        <f t="shared" si="454"/>
        <v>-10</v>
      </c>
      <c r="P1228" s="5">
        <f t="shared" si="462"/>
        <v>45937</v>
      </c>
      <c r="R1228" s="19" t="str">
        <f t="shared" si="455"/>
        <v/>
      </c>
      <c r="S1228" s="5">
        <f t="shared" si="452"/>
        <v>45942</v>
      </c>
      <c r="T1228" s="4">
        <v>45934</v>
      </c>
      <c r="U1228" s="19">
        <f t="shared" si="456"/>
        <v>8</v>
      </c>
      <c r="V1228" s="5">
        <f t="shared" si="449"/>
        <v>45981</v>
      </c>
      <c r="W1228" s="6"/>
      <c r="X1228" s="19" t="str">
        <f t="shared" si="457"/>
        <v/>
      </c>
      <c r="Y1228" s="51">
        <f t="shared" si="460"/>
        <v>46009</v>
      </c>
      <c r="Z1228" s="125"/>
      <c r="AA1228" s="49" t="str">
        <f t="shared" si="458"/>
        <v/>
      </c>
      <c r="AB1228" s="51">
        <f t="shared" si="450"/>
        <v>46011</v>
      </c>
      <c r="AC1228" s="49" t="str">
        <f t="shared" si="453"/>
        <v/>
      </c>
      <c r="AD1228" s="43">
        <f t="shared" si="451"/>
        <v>46011</v>
      </c>
      <c r="AF1228" s="19" t="str">
        <f t="shared" si="461"/>
        <v/>
      </c>
      <c r="AG1228" s="10"/>
      <c r="AH1228" s="1"/>
      <c r="AI1228" s="1"/>
      <c r="AJ1228" s="1"/>
      <c r="AK1228" s="1"/>
      <c r="AL1228" s="1"/>
    </row>
    <row r="1229" spans="1:38" ht="14.45">
      <c r="A1229" s="156">
        <v>1228</v>
      </c>
      <c r="B1229" s="59">
        <v>46011</v>
      </c>
      <c r="C1229" s="34" t="s">
        <v>2560</v>
      </c>
      <c r="D1229" s="23" t="s">
        <v>2558</v>
      </c>
      <c r="E1229" s="23">
        <v>5753.83</v>
      </c>
      <c r="F1229" s="23" t="s">
        <v>2561</v>
      </c>
      <c r="G1229" s="14" t="s">
        <v>46</v>
      </c>
      <c r="H1229" s="23" t="s">
        <v>40</v>
      </c>
      <c r="I1229" s="23" t="s">
        <v>229</v>
      </c>
      <c r="J1229" s="97">
        <f t="shared" si="447"/>
        <v>45911</v>
      </c>
      <c r="K1229" s="4">
        <v>45901</v>
      </c>
      <c r="L1229" s="19">
        <f t="shared" si="459"/>
        <v>10</v>
      </c>
      <c r="M1229" s="5">
        <f t="shared" si="448"/>
        <v>45922</v>
      </c>
      <c r="N1229" s="4">
        <v>45932</v>
      </c>
      <c r="O1229" s="19">
        <f t="shared" si="454"/>
        <v>-10</v>
      </c>
      <c r="P1229" s="5">
        <f t="shared" si="462"/>
        <v>45937</v>
      </c>
      <c r="R1229" s="19" t="str">
        <f t="shared" si="455"/>
        <v/>
      </c>
      <c r="S1229" s="5">
        <f t="shared" si="452"/>
        <v>45942</v>
      </c>
      <c r="T1229" s="4">
        <v>45940</v>
      </c>
      <c r="U1229" s="19">
        <f t="shared" si="456"/>
        <v>2</v>
      </c>
      <c r="V1229" s="5">
        <f t="shared" si="449"/>
        <v>45981</v>
      </c>
      <c r="W1229" s="6"/>
      <c r="X1229" s="19" t="str">
        <f t="shared" si="457"/>
        <v/>
      </c>
      <c r="Y1229" s="51">
        <f t="shared" si="460"/>
        <v>46009</v>
      </c>
      <c r="Z1229" s="125"/>
      <c r="AA1229" s="49" t="str">
        <f t="shared" si="458"/>
        <v/>
      </c>
      <c r="AB1229" s="51">
        <f t="shared" si="450"/>
        <v>46011</v>
      </c>
      <c r="AC1229" s="49" t="str">
        <f t="shared" si="453"/>
        <v/>
      </c>
      <c r="AD1229" s="43">
        <f t="shared" si="451"/>
        <v>46011</v>
      </c>
      <c r="AF1229" s="19" t="str">
        <f t="shared" si="461"/>
        <v/>
      </c>
      <c r="AG1229" s="10"/>
      <c r="AH1229" s="1"/>
      <c r="AI1229" s="1"/>
      <c r="AJ1229" s="1"/>
      <c r="AK1229" s="1"/>
      <c r="AL1229" s="1"/>
    </row>
    <row r="1230" spans="1:38" ht="14.45">
      <c r="A1230" s="156">
        <v>1229</v>
      </c>
      <c r="B1230" s="59">
        <v>46011</v>
      </c>
      <c r="C1230" s="34" t="s">
        <v>2562</v>
      </c>
      <c r="D1230" s="23" t="s">
        <v>833</v>
      </c>
      <c r="E1230" s="23">
        <v>4269.76</v>
      </c>
      <c r="F1230" s="23" t="s">
        <v>2563</v>
      </c>
      <c r="G1230" s="14" t="s">
        <v>46</v>
      </c>
      <c r="H1230" s="23" t="s">
        <v>40</v>
      </c>
      <c r="I1230" s="23" t="s">
        <v>323</v>
      </c>
      <c r="J1230" s="97">
        <f t="shared" si="447"/>
        <v>45911</v>
      </c>
      <c r="K1230" s="4">
        <v>45901</v>
      </c>
      <c r="L1230" s="19">
        <f t="shared" si="459"/>
        <v>10</v>
      </c>
      <c r="M1230" s="5">
        <f t="shared" si="448"/>
        <v>45922</v>
      </c>
      <c r="N1230" s="4">
        <v>45932</v>
      </c>
      <c r="O1230" s="19">
        <f t="shared" si="454"/>
        <v>-10</v>
      </c>
      <c r="P1230" s="5">
        <f t="shared" si="462"/>
        <v>45937</v>
      </c>
      <c r="R1230" s="19" t="str">
        <f t="shared" si="455"/>
        <v/>
      </c>
      <c r="S1230" s="5">
        <f t="shared" si="452"/>
        <v>45942</v>
      </c>
      <c r="T1230" s="4">
        <v>45940</v>
      </c>
      <c r="U1230" s="19">
        <f t="shared" si="456"/>
        <v>2</v>
      </c>
      <c r="V1230" s="5">
        <f t="shared" si="449"/>
        <v>45981</v>
      </c>
      <c r="W1230" s="6"/>
      <c r="X1230" s="19" t="str">
        <f t="shared" si="457"/>
        <v/>
      </c>
      <c r="Y1230" s="51">
        <f t="shared" si="460"/>
        <v>46009</v>
      </c>
      <c r="Z1230" s="125"/>
      <c r="AA1230" s="49" t="str">
        <f t="shared" si="458"/>
        <v/>
      </c>
      <c r="AB1230" s="51">
        <f t="shared" si="450"/>
        <v>46011</v>
      </c>
      <c r="AC1230" s="49" t="str">
        <f t="shared" si="453"/>
        <v/>
      </c>
      <c r="AD1230" s="43">
        <f t="shared" si="451"/>
        <v>46011</v>
      </c>
      <c r="AF1230" s="19" t="str">
        <f t="shared" si="461"/>
        <v/>
      </c>
      <c r="AG1230" s="10"/>
      <c r="AH1230" s="1"/>
      <c r="AI1230" s="1"/>
      <c r="AJ1230" s="1"/>
      <c r="AK1230" s="1"/>
      <c r="AL1230" s="1"/>
    </row>
    <row r="1231" spans="1:38" ht="14.45">
      <c r="A1231" s="156">
        <v>1230</v>
      </c>
      <c r="B1231" s="59">
        <v>46011</v>
      </c>
      <c r="C1231" s="34" t="s">
        <v>2564</v>
      </c>
      <c r="D1231" s="23" t="s">
        <v>833</v>
      </c>
      <c r="E1231" s="23">
        <v>9379.52</v>
      </c>
      <c r="F1231" s="23" t="s">
        <v>2565</v>
      </c>
      <c r="G1231" s="14" t="s">
        <v>46</v>
      </c>
      <c r="H1231" s="23" t="s">
        <v>40</v>
      </c>
      <c r="I1231" s="23" t="s">
        <v>323</v>
      </c>
      <c r="J1231" s="97">
        <f t="shared" si="447"/>
        <v>45911</v>
      </c>
      <c r="K1231" s="4">
        <v>45901</v>
      </c>
      <c r="L1231" s="19">
        <f t="shared" si="459"/>
        <v>10</v>
      </c>
      <c r="M1231" s="5">
        <f t="shared" si="448"/>
        <v>45922</v>
      </c>
      <c r="N1231" s="4">
        <v>45932</v>
      </c>
      <c r="O1231" s="19">
        <f t="shared" si="454"/>
        <v>-10</v>
      </c>
      <c r="P1231" s="5">
        <f t="shared" si="462"/>
        <v>45937</v>
      </c>
      <c r="R1231" s="19" t="str">
        <f t="shared" si="455"/>
        <v/>
      </c>
      <c r="S1231" s="5">
        <f t="shared" si="452"/>
        <v>45942</v>
      </c>
      <c r="T1231" s="4">
        <v>45940</v>
      </c>
      <c r="U1231" s="19">
        <f t="shared" si="456"/>
        <v>2</v>
      </c>
      <c r="V1231" s="5">
        <f t="shared" si="449"/>
        <v>45981</v>
      </c>
      <c r="W1231" s="6"/>
      <c r="X1231" s="19" t="str">
        <f t="shared" si="457"/>
        <v/>
      </c>
      <c r="Y1231" s="51">
        <f t="shared" si="460"/>
        <v>46009</v>
      </c>
      <c r="Z1231" s="125"/>
      <c r="AA1231" s="49" t="str">
        <f t="shared" si="458"/>
        <v/>
      </c>
      <c r="AB1231" s="51">
        <f t="shared" si="450"/>
        <v>46011</v>
      </c>
      <c r="AC1231" s="49" t="str">
        <f t="shared" si="453"/>
        <v/>
      </c>
      <c r="AD1231" s="43">
        <f t="shared" si="451"/>
        <v>46011</v>
      </c>
      <c r="AF1231" s="19" t="str">
        <f t="shared" si="461"/>
        <v/>
      </c>
      <c r="AG1231" s="10"/>
      <c r="AH1231" s="1"/>
      <c r="AI1231" s="1"/>
      <c r="AJ1231" s="1"/>
      <c r="AK1231" s="1"/>
      <c r="AL1231" s="1"/>
    </row>
    <row r="1232" spans="1:38" ht="14.45">
      <c r="A1232" s="156">
        <v>1231</v>
      </c>
      <c r="B1232" s="59">
        <v>46012</v>
      </c>
      <c r="C1232" s="34" t="s">
        <v>2566</v>
      </c>
      <c r="D1232" s="23" t="s">
        <v>38</v>
      </c>
      <c r="E1232" s="23">
        <v>6759.4</v>
      </c>
      <c r="F1232" s="23" t="s">
        <v>2567</v>
      </c>
      <c r="G1232" s="14" t="s">
        <v>190</v>
      </c>
      <c r="H1232" s="23" t="s">
        <v>40</v>
      </c>
      <c r="I1232" s="23" t="s">
        <v>41</v>
      </c>
      <c r="J1232" s="97">
        <f t="shared" ref="J1232:J1269" si="463">B1232-100</f>
        <v>45912</v>
      </c>
      <c r="K1232" s="4">
        <v>45912</v>
      </c>
      <c r="L1232" s="19">
        <f t="shared" si="459"/>
        <v>0</v>
      </c>
      <c r="M1232" s="5">
        <f t="shared" ref="M1232:M1269" si="464">B1232-89</f>
        <v>45923</v>
      </c>
      <c r="N1232" s="4">
        <v>45923</v>
      </c>
      <c r="O1232" s="19">
        <f t="shared" si="454"/>
        <v>0</v>
      </c>
      <c r="P1232" s="5">
        <f t="shared" si="462"/>
        <v>45938</v>
      </c>
      <c r="Q1232" s="4">
        <v>45938</v>
      </c>
      <c r="R1232" s="19">
        <f t="shared" si="455"/>
        <v>0</v>
      </c>
      <c r="S1232" s="5">
        <f t="shared" si="452"/>
        <v>45943</v>
      </c>
      <c r="T1232" s="4">
        <v>45943</v>
      </c>
      <c r="U1232" s="19">
        <f t="shared" si="456"/>
        <v>0</v>
      </c>
      <c r="V1232" s="5">
        <f t="shared" ref="V1232:V1254" si="465">B1232-30</f>
        <v>45982</v>
      </c>
      <c r="W1232" s="6"/>
      <c r="X1232" s="19" t="str">
        <f t="shared" si="457"/>
        <v/>
      </c>
      <c r="Y1232" s="51">
        <f t="shared" si="460"/>
        <v>46010</v>
      </c>
      <c r="Z1232" s="51"/>
      <c r="AA1232" s="49" t="str">
        <f t="shared" si="458"/>
        <v/>
      </c>
      <c r="AB1232" s="51">
        <f t="shared" si="450"/>
        <v>46012</v>
      </c>
      <c r="AC1232" s="49" t="str">
        <f t="shared" si="453"/>
        <v/>
      </c>
      <c r="AD1232" s="43">
        <f t="shared" ref="AD1232:AD1254" si="466">IF(B1232&lt;&gt;"", B1232, "")</f>
        <v>46012</v>
      </c>
      <c r="AF1232" s="19" t="str">
        <f t="shared" si="461"/>
        <v/>
      </c>
      <c r="AG1232" s="10"/>
      <c r="AH1232" s="1"/>
      <c r="AI1232" s="1"/>
      <c r="AJ1232" s="1"/>
      <c r="AK1232" s="1"/>
      <c r="AL1232" s="1"/>
    </row>
    <row r="1233" spans="1:38" ht="14.45">
      <c r="A1233" s="156">
        <v>1232</v>
      </c>
      <c r="B1233" s="131">
        <v>46013</v>
      </c>
      <c r="C1233" s="132" t="s">
        <v>2568</v>
      </c>
      <c r="D1233" s="133" t="s">
        <v>38</v>
      </c>
      <c r="E1233" s="133">
        <v>618.39</v>
      </c>
      <c r="F1233" s="133" t="s">
        <v>2569</v>
      </c>
      <c r="G1233" s="14" t="s">
        <v>190</v>
      </c>
      <c r="H1233" s="23" t="s">
        <v>40</v>
      </c>
      <c r="I1233" s="23" t="s">
        <v>41</v>
      </c>
      <c r="J1233" s="97">
        <f t="shared" si="463"/>
        <v>45913</v>
      </c>
      <c r="K1233" s="4">
        <v>45913</v>
      </c>
      <c r="L1233" s="19">
        <f t="shared" si="459"/>
        <v>0</v>
      </c>
      <c r="M1233" s="5">
        <f t="shared" si="464"/>
        <v>45924</v>
      </c>
      <c r="N1233" s="4">
        <v>45924</v>
      </c>
      <c r="O1233" s="19">
        <f t="shared" si="454"/>
        <v>0</v>
      </c>
      <c r="P1233" s="5">
        <f t="shared" si="462"/>
        <v>45939</v>
      </c>
      <c r="Q1233" s="4">
        <v>45939</v>
      </c>
      <c r="R1233" s="19">
        <f t="shared" si="455"/>
        <v>0</v>
      </c>
      <c r="S1233" s="5">
        <f t="shared" si="452"/>
        <v>45944</v>
      </c>
      <c r="T1233" s="4">
        <v>45944</v>
      </c>
      <c r="U1233" s="19">
        <f t="shared" si="456"/>
        <v>0</v>
      </c>
      <c r="V1233" s="5">
        <f t="shared" si="465"/>
        <v>45983</v>
      </c>
      <c r="W1233" s="6"/>
      <c r="X1233" s="19" t="str">
        <f t="shared" si="457"/>
        <v/>
      </c>
      <c r="Y1233" s="51">
        <f t="shared" si="460"/>
        <v>46011</v>
      </c>
      <c r="Z1233" s="51"/>
      <c r="AA1233" s="49" t="str">
        <f t="shared" si="458"/>
        <v/>
      </c>
      <c r="AB1233" s="51">
        <f t="shared" ref="AB1233:AB1254" si="467">IF(B1233&lt;&gt;"", B1233, "")</f>
        <v>46013</v>
      </c>
      <c r="AC1233" s="49" t="str">
        <f t="shared" ref="AC1233:AC1268" si="468">IF(OR(AB1233="", Z1233=""), "", AB1233-Z1233)</f>
        <v/>
      </c>
      <c r="AD1233" s="43">
        <f t="shared" si="466"/>
        <v>46013</v>
      </c>
      <c r="AF1233" s="19" t="str">
        <f t="shared" si="461"/>
        <v/>
      </c>
      <c r="AG1233" s="10"/>
      <c r="AH1233" s="1"/>
      <c r="AI1233" s="1"/>
      <c r="AJ1233" s="1"/>
      <c r="AK1233" s="1"/>
      <c r="AL1233" s="1"/>
    </row>
    <row r="1234" spans="1:38" ht="14.45">
      <c r="A1234" s="156">
        <v>1233</v>
      </c>
      <c r="B1234" s="134">
        <v>46013</v>
      </c>
      <c r="C1234" s="135" t="s">
        <v>2570</v>
      </c>
      <c r="D1234" s="136" t="s">
        <v>38</v>
      </c>
      <c r="E1234" s="136">
        <v>2245.9699999999998</v>
      </c>
      <c r="F1234" s="136" t="s">
        <v>2571</v>
      </c>
      <c r="G1234" s="21" t="s">
        <v>190</v>
      </c>
      <c r="H1234" s="23" t="s">
        <v>40</v>
      </c>
      <c r="I1234" s="23" t="s">
        <v>41</v>
      </c>
      <c r="J1234" s="97">
        <f t="shared" si="463"/>
        <v>45913</v>
      </c>
      <c r="K1234" s="4">
        <v>45913</v>
      </c>
      <c r="L1234" s="19">
        <f t="shared" si="459"/>
        <v>0</v>
      </c>
      <c r="M1234" s="5">
        <f t="shared" si="464"/>
        <v>45924</v>
      </c>
      <c r="N1234" s="4">
        <v>45924</v>
      </c>
      <c r="O1234" s="19">
        <f t="shared" si="454"/>
        <v>0</v>
      </c>
      <c r="P1234" s="5">
        <f t="shared" si="462"/>
        <v>45939</v>
      </c>
      <c r="Q1234" s="4">
        <v>45939</v>
      </c>
      <c r="R1234" s="19">
        <f t="shared" si="455"/>
        <v>0</v>
      </c>
      <c r="S1234" s="5">
        <f t="shared" si="452"/>
        <v>45944</v>
      </c>
      <c r="T1234" s="4">
        <v>45944</v>
      </c>
      <c r="U1234" s="19">
        <f t="shared" si="456"/>
        <v>0</v>
      </c>
      <c r="V1234" s="5">
        <f t="shared" si="465"/>
        <v>45983</v>
      </c>
      <c r="W1234" s="6"/>
      <c r="X1234" s="19" t="str">
        <f t="shared" si="457"/>
        <v/>
      </c>
      <c r="Y1234" s="51">
        <f t="shared" si="460"/>
        <v>46011</v>
      </c>
      <c r="Z1234" s="51"/>
      <c r="AA1234" s="49" t="str">
        <f t="shared" si="458"/>
        <v/>
      </c>
      <c r="AB1234" s="51">
        <f t="shared" si="467"/>
        <v>46013</v>
      </c>
      <c r="AC1234" s="49" t="str">
        <f t="shared" si="468"/>
        <v/>
      </c>
      <c r="AD1234" s="43">
        <f t="shared" si="466"/>
        <v>46013</v>
      </c>
      <c r="AF1234" s="19" t="str">
        <f t="shared" si="461"/>
        <v/>
      </c>
      <c r="AG1234" s="10"/>
      <c r="AH1234" s="1"/>
      <c r="AI1234" s="1"/>
      <c r="AJ1234" s="1"/>
      <c r="AK1234" s="1"/>
      <c r="AL1234" s="1"/>
    </row>
    <row r="1235" spans="1:38" ht="14.45">
      <c r="A1235" s="156">
        <v>1234</v>
      </c>
      <c r="B1235" s="134">
        <v>46013</v>
      </c>
      <c r="C1235" s="135" t="s">
        <v>2572</v>
      </c>
      <c r="D1235" s="137" t="s">
        <v>38</v>
      </c>
      <c r="E1235" s="136">
        <v>2296.9699999999998</v>
      </c>
      <c r="F1235" s="136" t="s">
        <v>2573</v>
      </c>
      <c r="G1235" s="21" t="s">
        <v>190</v>
      </c>
      <c r="H1235" s="23" t="s">
        <v>40</v>
      </c>
      <c r="I1235" s="38" t="s">
        <v>41</v>
      </c>
      <c r="J1235" s="97">
        <f t="shared" si="463"/>
        <v>45913</v>
      </c>
      <c r="K1235" s="4">
        <v>45913</v>
      </c>
      <c r="L1235" s="19">
        <f t="shared" si="459"/>
        <v>0</v>
      </c>
      <c r="M1235" s="5">
        <f t="shared" si="464"/>
        <v>45924</v>
      </c>
      <c r="N1235" s="4">
        <v>45924</v>
      </c>
      <c r="O1235" s="19">
        <f t="shared" si="454"/>
        <v>0</v>
      </c>
      <c r="P1235" s="5">
        <f t="shared" si="462"/>
        <v>45939</v>
      </c>
      <c r="Q1235" s="4">
        <v>45939</v>
      </c>
      <c r="R1235" s="19">
        <f t="shared" si="455"/>
        <v>0</v>
      </c>
      <c r="S1235" s="5">
        <f t="shared" ref="S1235:S1254" si="469">B1235-69</f>
        <v>45944</v>
      </c>
      <c r="T1235" s="4">
        <v>45944</v>
      </c>
      <c r="U1235" s="19">
        <f t="shared" si="456"/>
        <v>0</v>
      </c>
      <c r="V1235" s="5">
        <f t="shared" si="465"/>
        <v>45983</v>
      </c>
      <c r="W1235" s="6"/>
      <c r="X1235" s="19" t="str">
        <f t="shared" si="457"/>
        <v/>
      </c>
      <c r="Y1235" s="51">
        <f t="shared" si="460"/>
        <v>46011</v>
      </c>
      <c r="Z1235" s="51"/>
      <c r="AA1235" s="49" t="str">
        <f t="shared" si="458"/>
        <v/>
      </c>
      <c r="AB1235" s="51">
        <f t="shared" si="467"/>
        <v>46013</v>
      </c>
      <c r="AC1235" s="49" t="str">
        <f t="shared" si="468"/>
        <v/>
      </c>
      <c r="AD1235" s="43">
        <f t="shared" si="466"/>
        <v>46013</v>
      </c>
      <c r="AF1235" s="19" t="str">
        <f t="shared" si="461"/>
        <v/>
      </c>
      <c r="AG1235" s="10"/>
      <c r="AH1235" s="1"/>
      <c r="AI1235" s="1"/>
      <c r="AJ1235" s="1"/>
      <c r="AK1235" s="1"/>
      <c r="AL1235" s="1"/>
    </row>
    <row r="1236" spans="1:38" ht="14.45">
      <c r="A1236" s="156">
        <v>1235</v>
      </c>
      <c r="B1236" s="134">
        <v>46013</v>
      </c>
      <c r="C1236" s="135" t="s">
        <v>2574</v>
      </c>
      <c r="D1236" s="136" t="s">
        <v>38</v>
      </c>
      <c r="E1236" s="136">
        <v>206.22</v>
      </c>
      <c r="F1236" s="136" t="s">
        <v>2575</v>
      </c>
      <c r="G1236" s="21" t="s">
        <v>190</v>
      </c>
      <c r="H1236" s="23" t="s">
        <v>40</v>
      </c>
      <c r="I1236" s="38" t="s">
        <v>41</v>
      </c>
      <c r="J1236" s="97">
        <f t="shared" si="463"/>
        <v>45913</v>
      </c>
      <c r="K1236" s="4">
        <v>45913</v>
      </c>
      <c r="L1236" s="19">
        <f t="shared" si="459"/>
        <v>0</v>
      </c>
      <c r="M1236" s="5">
        <f t="shared" si="464"/>
        <v>45924</v>
      </c>
      <c r="N1236" s="4">
        <v>45924</v>
      </c>
      <c r="O1236" s="19">
        <f t="shared" si="454"/>
        <v>0</v>
      </c>
      <c r="P1236" s="5">
        <f t="shared" si="462"/>
        <v>45939</v>
      </c>
      <c r="Q1236" s="4">
        <v>45939</v>
      </c>
      <c r="R1236" s="19">
        <f t="shared" si="455"/>
        <v>0</v>
      </c>
      <c r="S1236" s="5">
        <f t="shared" si="469"/>
        <v>45944</v>
      </c>
      <c r="T1236" s="4">
        <v>45944</v>
      </c>
      <c r="U1236" s="19">
        <f t="shared" si="456"/>
        <v>0</v>
      </c>
      <c r="V1236" s="5">
        <f t="shared" si="465"/>
        <v>45983</v>
      </c>
      <c r="W1236" s="6"/>
      <c r="X1236" s="19" t="str">
        <f t="shared" si="457"/>
        <v/>
      </c>
      <c r="Y1236" s="51">
        <f t="shared" si="460"/>
        <v>46011</v>
      </c>
      <c r="Z1236" s="51"/>
      <c r="AA1236" s="49" t="str">
        <f t="shared" si="458"/>
        <v/>
      </c>
      <c r="AB1236" s="51">
        <f t="shared" si="467"/>
        <v>46013</v>
      </c>
      <c r="AC1236" s="49" t="str">
        <f t="shared" si="468"/>
        <v/>
      </c>
      <c r="AD1236" s="43">
        <f t="shared" si="466"/>
        <v>46013</v>
      </c>
      <c r="AF1236" s="19" t="str">
        <f t="shared" si="461"/>
        <v/>
      </c>
      <c r="AG1236" s="10"/>
      <c r="AH1236" s="1"/>
      <c r="AI1236" s="1"/>
      <c r="AJ1236" s="1"/>
      <c r="AK1236" s="1"/>
      <c r="AL1236" s="1"/>
    </row>
    <row r="1237" spans="1:38" ht="14.45">
      <c r="A1237" s="156">
        <v>1236</v>
      </c>
      <c r="B1237" s="134">
        <v>46013</v>
      </c>
      <c r="C1237" s="135" t="s">
        <v>2576</v>
      </c>
      <c r="D1237" s="136" t="s">
        <v>246</v>
      </c>
      <c r="E1237" s="136">
        <v>20522.150000000001</v>
      </c>
      <c r="F1237" s="136" t="s">
        <v>2577</v>
      </c>
      <c r="G1237" s="21" t="s">
        <v>35</v>
      </c>
      <c r="H1237" s="23" t="s">
        <v>36</v>
      </c>
      <c r="I1237" s="38" t="s">
        <v>41</v>
      </c>
      <c r="J1237" s="97">
        <f t="shared" si="463"/>
        <v>45913</v>
      </c>
      <c r="L1237" s="19" t="str">
        <f t="shared" si="459"/>
        <v/>
      </c>
      <c r="M1237" s="5">
        <f t="shared" si="464"/>
        <v>45924</v>
      </c>
      <c r="N1237" s="4">
        <v>45945</v>
      </c>
      <c r="O1237" s="19">
        <f t="shared" si="454"/>
        <v>-21</v>
      </c>
      <c r="P1237" s="5">
        <f t="shared" si="462"/>
        <v>45939</v>
      </c>
      <c r="R1237" s="19" t="str">
        <f t="shared" si="455"/>
        <v/>
      </c>
      <c r="S1237" s="5">
        <f t="shared" si="469"/>
        <v>45944</v>
      </c>
      <c r="U1237" s="19" t="str">
        <f t="shared" si="456"/>
        <v/>
      </c>
      <c r="V1237" s="5">
        <f t="shared" si="465"/>
        <v>45983</v>
      </c>
      <c r="W1237" s="6"/>
      <c r="X1237" s="19" t="str">
        <f t="shared" si="457"/>
        <v/>
      </c>
      <c r="Y1237" s="51">
        <f t="shared" si="460"/>
        <v>46011</v>
      </c>
      <c r="Z1237" s="51"/>
      <c r="AA1237" s="49" t="str">
        <f t="shared" si="458"/>
        <v/>
      </c>
      <c r="AB1237" s="51">
        <f t="shared" si="467"/>
        <v>46013</v>
      </c>
      <c r="AC1237" s="49" t="str">
        <f t="shared" si="468"/>
        <v/>
      </c>
      <c r="AD1237" s="43">
        <f t="shared" si="466"/>
        <v>46013</v>
      </c>
      <c r="AF1237" s="19" t="str">
        <f t="shared" si="461"/>
        <v/>
      </c>
      <c r="AG1237" s="10"/>
      <c r="AH1237" s="1"/>
      <c r="AI1237" s="1"/>
      <c r="AJ1237" s="1"/>
      <c r="AK1237" s="1"/>
      <c r="AL1237" s="1"/>
    </row>
    <row r="1238" spans="1:38" ht="14.45">
      <c r="A1238" s="156">
        <v>1237</v>
      </c>
      <c r="B1238" s="134">
        <v>46013</v>
      </c>
      <c r="C1238" s="135" t="s">
        <v>2578</v>
      </c>
      <c r="D1238" s="136" t="s">
        <v>2579</v>
      </c>
      <c r="E1238" s="136">
        <v>188198.18</v>
      </c>
      <c r="F1238" s="136" t="s">
        <v>2580</v>
      </c>
      <c r="G1238" s="23" t="s">
        <v>35</v>
      </c>
      <c r="H1238" s="23" t="s">
        <v>40</v>
      </c>
      <c r="I1238" s="38" t="s">
        <v>52</v>
      </c>
      <c r="J1238" s="97">
        <f t="shared" si="463"/>
        <v>45913</v>
      </c>
      <c r="L1238" s="19" t="str">
        <f t="shared" si="459"/>
        <v/>
      </c>
      <c r="M1238" s="5">
        <f t="shared" si="464"/>
        <v>45924</v>
      </c>
      <c r="O1238" s="19" t="str">
        <f t="shared" si="454"/>
        <v/>
      </c>
      <c r="P1238" s="5">
        <f t="shared" si="462"/>
        <v>45939</v>
      </c>
      <c r="R1238" s="19" t="str">
        <f t="shared" si="455"/>
        <v/>
      </c>
      <c r="S1238" s="5">
        <f t="shared" si="469"/>
        <v>45944</v>
      </c>
      <c r="U1238" s="19" t="str">
        <f t="shared" si="456"/>
        <v/>
      </c>
      <c r="V1238" s="5">
        <f t="shared" si="465"/>
        <v>45983</v>
      </c>
      <c r="W1238" s="6"/>
      <c r="X1238" s="19" t="str">
        <f t="shared" si="457"/>
        <v/>
      </c>
      <c r="Y1238" s="51">
        <f t="shared" si="460"/>
        <v>46011</v>
      </c>
      <c r="Z1238" s="51"/>
      <c r="AA1238" s="49" t="str">
        <f t="shared" si="458"/>
        <v/>
      </c>
      <c r="AB1238" s="51">
        <f t="shared" si="467"/>
        <v>46013</v>
      </c>
      <c r="AC1238" s="49" t="str">
        <f t="shared" si="468"/>
        <v/>
      </c>
      <c r="AD1238" s="43">
        <f t="shared" si="466"/>
        <v>46013</v>
      </c>
      <c r="AF1238" s="19" t="str">
        <f t="shared" si="461"/>
        <v/>
      </c>
      <c r="AG1238" s="10" t="s">
        <v>367</v>
      </c>
      <c r="AH1238" s="1"/>
      <c r="AI1238" s="1"/>
      <c r="AJ1238" s="1"/>
      <c r="AK1238" s="1"/>
      <c r="AL1238" s="1"/>
    </row>
    <row r="1239" spans="1:38" ht="14.45">
      <c r="A1239" s="156">
        <v>1238</v>
      </c>
      <c r="B1239" s="134">
        <v>46013</v>
      </c>
      <c r="C1239" s="135" t="s">
        <v>2581</v>
      </c>
      <c r="D1239" s="136" t="s">
        <v>2579</v>
      </c>
      <c r="E1239" s="136">
        <v>158482.68</v>
      </c>
      <c r="F1239" s="136" t="s">
        <v>2582</v>
      </c>
      <c r="G1239" s="23" t="s">
        <v>35</v>
      </c>
      <c r="H1239" s="23" t="s">
        <v>40</v>
      </c>
      <c r="I1239" s="38" t="s">
        <v>52</v>
      </c>
      <c r="J1239" s="97">
        <f t="shared" si="463"/>
        <v>45913</v>
      </c>
      <c r="L1239" s="19" t="str">
        <f t="shared" si="459"/>
        <v/>
      </c>
      <c r="M1239" s="5">
        <f t="shared" si="464"/>
        <v>45924</v>
      </c>
      <c r="O1239" s="19" t="str">
        <f t="shared" si="454"/>
        <v/>
      </c>
      <c r="P1239" s="5">
        <f t="shared" si="462"/>
        <v>45939</v>
      </c>
      <c r="R1239" s="19" t="str">
        <f t="shared" si="455"/>
        <v/>
      </c>
      <c r="S1239" s="5">
        <f t="shared" si="469"/>
        <v>45944</v>
      </c>
      <c r="U1239" s="19" t="str">
        <f t="shared" si="456"/>
        <v/>
      </c>
      <c r="V1239" s="5">
        <f t="shared" si="465"/>
        <v>45983</v>
      </c>
      <c r="W1239" s="6"/>
      <c r="X1239" s="19" t="str">
        <f t="shared" si="457"/>
        <v/>
      </c>
      <c r="Y1239" s="51">
        <f t="shared" si="460"/>
        <v>46011</v>
      </c>
      <c r="Z1239" s="51"/>
      <c r="AA1239" s="49" t="str">
        <f t="shared" si="458"/>
        <v/>
      </c>
      <c r="AB1239" s="51">
        <f t="shared" si="467"/>
        <v>46013</v>
      </c>
      <c r="AC1239" s="49" t="str">
        <f t="shared" si="468"/>
        <v/>
      </c>
      <c r="AD1239" s="43">
        <f t="shared" si="466"/>
        <v>46013</v>
      </c>
      <c r="AF1239" s="19" t="str">
        <f t="shared" si="461"/>
        <v/>
      </c>
      <c r="AG1239" s="10" t="s">
        <v>367</v>
      </c>
      <c r="AH1239" s="1"/>
      <c r="AI1239" s="1"/>
      <c r="AJ1239" s="1"/>
      <c r="AK1239" s="1"/>
      <c r="AL1239" s="1"/>
    </row>
    <row r="1240" spans="1:38" ht="14.45">
      <c r="A1240" s="156">
        <v>1239</v>
      </c>
      <c r="B1240" s="134">
        <v>46013</v>
      </c>
      <c r="C1240" s="135" t="s">
        <v>2583</v>
      </c>
      <c r="D1240" s="136" t="s">
        <v>2579</v>
      </c>
      <c r="E1240" s="136">
        <v>148577.51</v>
      </c>
      <c r="F1240" s="136" t="s">
        <v>2582</v>
      </c>
      <c r="G1240" s="23" t="s">
        <v>35</v>
      </c>
      <c r="H1240" s="23" t="s">
        <v>40</v>
      </c>
      <c r="I1240" s="38" t="s">
        <v>52</v>
      </c>
      <c r="J1240" s="97">
        <f t="shared" si="463"/>
        <v>45913</v>
      </c>
      <c r="L1240" s="19" t="str">
        <f t="shared" si="459"/>
        <v/>
      </c>
      <c r="M1240" s="5">
        <f t="shared" si="464"/>
        <v>45924</v>
      </c>
      <c r="O1240" s="19" t="str">
        <f t="shared" si="454"/>
        <v/>
      </c>
      <c r="P1240" s="5">
        <f t="shared" si="462"/>
        <v>45939</v>
      </c>
      <c r="R1240" s="19" t="str">
        <f t="shared" si="455"/>
        <v/>
      </c>
      <c r="S1240" s="5">
        <f t="shared" si="469"/>
        <v>45944</v>
      </c>
      <c r="U1240" s="19" t="str">
        <f t="shared" si="456"/>
        <v/>
      </c>
      <c r="V1240" s="5">
        <f t="shared" si="465"/>
        <v>45983</v>
      </c>
      <c r="W1240" s="6"/>
      <c r="X1240" s="19" t="str">
        <f t="shared" si="457"/>
        <v/>
      </c>
      <c r="Y1240" s="51">
        <f t="shared" si="460"/>
        <v>46011</v>
      </c>
      <c r="Z1240" s="51"/>
      <c r="AA1240" s="49" t="str">
        <f t="shared" si="458"/>
        <v/>
      </c>
      <c r="AB1240" s="51">
        <f t="shared" si="467"/>
        <v>46013</v>
      </c>
      <c r="AC1240" s="49" t="str">
        <f t="shared" si="468"/>
        <v/>
      </c>
      <c r="AD1240" s="43">
        <f t="shared" si="466"/>
        <v>46013</v>
      </c>
      <c r="AF1240" s="19" t="str">
        <f t="shared" si="461"/>
        <v/>
      </c>
      <c r="AG1240" s="10" t="s">
        <v>367</v>
      </c>
      <c r="AH1240" s="1"/>
      <c r="AI1240" s="1"/>
      <c r="AJ1240" s="1"/>
      <c r="AK1240" s="1"/>
      <c r="AL1240" s="1"/>
    </row>
    <row r="1241" spans="1:38" ht="14.45">
      <c r="A1241" s="156">
        <v>1240</v>
      </c>
      <c r="B1241" s="134">
        <v>46013</v>
      </c>
      <c r="C1241" s="135" t="s">
        <v>2584</v>
      </c>
      <c r="D1241" s="136" t="s">
        <v>2585</v>
      </c>
      <c r="E1241" s="136">
        <v>56126.46</v>
      </c>
      <c r="F1241" s="136" t="s">
        <v>2586</v>
      </c>
      <c r="G1241" s="21" t="s">
        <v>120</v>
      </c>
      <c r="H1241" s="23" t="s">
        <v>40</v>
      </c>
      <c r="I1241" s="38" t="s">
        <v>52</v>
      </c>
      <c r="J1241" s="97">
        <f t="shared" si="463"/>
        <v>45913</v>
      </c>
      <c r="L1241" s="19" t="str">
        <f t="shared" si="459"/>
        <v/>
      </c>
      <c r="M1241" s="5">
        <f t="shared" si="464"/>
        <v>45924</v>
      </c>
      <c r="O1241" s="19" t="str">
        <f t="shared" si="454"/>
        <v/>
      </c>
      <c r="P1241" s="5">
        <f t="shared" si="462"/>
        <v>45939</v>
      </c>
      <c r="R1241" s="19" t="str">
        <f t="shared" si="455"/>
        <v/>
      </c>
      <c r="S1241" s="5">
        <f t="shared" si="469"/>
        <v>45944</v>
      </c>
      <c r="T1241" s="4">
        <v>45944</v>
      </c>
      <c r="U1241" s="19">
        <f t="shared" si="456"/>
        <v>0</v>
      </c>
      <c r="V1241" s="5">
        <f t="shared" si="465"/>
        <v>45983</v>
      </c>
      <c r="W1241" s="6"/>
      <c r="X1241" s="19" t="str">
        <f t="shared" si="457"/>
        <v/>
      </c>
      <c r="Y1241" s="51">
        <f t="shared" si="460"/>
        <v>46011</v>
      </c>
      <c r="Z1241" s="49"/>
      <c r="AA1241" s="49" t="str">
        <f t="shared" si="458"/>
        <v/>
      </c>
      <c r="AB1241" s="51">
        <f t="shared" si="467"/>
        <v>46013</v>
      </c>
      <c r="AC1241" s="49" t="str">
        <f t="shared" si="468"/>
        <v/>
      </c>
      <c r="AD1241" s="43">
        <f t="shared" si="466"/>
        <v>46013</v>
      </c>
      <c r="AF1241" s="19" t="str">
        <f t="shared" si="461"/>
        <v/>
      </c>
      <c r="AG1241" s="10"/>
      <c r="AH1241" s="1"/>
      <c r="AI1241" s="1"/>
      <c r="AJ1241" s="1"/>
      <c r="AK1241" s="1"/>
      <c r="AL1241" s="1"/>
    </row>
    <row r="1242" spans="1:38" ht="14.45">
      <c r="A1242" s="156">
        <v>1241</v>
      </c>
      <c r="B1242" s="134">
        <v>46014</v>
      </c>
      <c r="C1242" s="135" t="s">
        <v>2587</v>
      </c>
      <c r="D1242" s="136" t="s">
        <v>227</v>
      </c>
      <c r="E1242" s="136">
        <v>39283.629999999997</v>
      </c>
      <c r="F1242" s="136" t="s">
        <v>2588</v>
      </c>
      <c r="G1242" s="21" t="s">
        <v>120</v>
      </c>
      <c r="H1242" s="23" t="s">
        <v>40</v>
      </c>
      <c r="I1242" s="38" t="s">
        <v>52</v>
      </c>
      <c r="J1242" s="97">
        <f t="shared" si="463"/>
        <v>45914</v>
      </c>
      <c r="K1242" s="4">
        <v>45849</v>
      </c>
      <c r="L1242" s="19">
        <f t="shared" si="459"/>
        <v>65</v>
      </c>
      <c r="M1242" s="5">
        <f t="shared" si="464"/>
        <v>45925</v>
      </c>
      <c r="O1242" s="19" t="str">
        <f t="shared" ref="O1242:O1254" si="470">IF(OR(M1242="", N1242=""), "", M1242-N1242)</f>
        <v/>
      </c>
      <c r="P1242" s="5">
        <f t="shared" si="462"/>
        <v>45940</v>
      </c>
      <c r="R1242" s="19" t="str">
        <f t="shared" ref="R1242:R1268" si="471">IF(OR(P1242="", Q1242=""), "", P1242-Q1242)</f>
        <v/>
      </c>
      <c r="S1242" s="5">
        <f t="shared" si="469"/>
        <v>45945</v>
      </c>
      <c r="T1242" s="4">
        <v>45944</v>
      </c>
      <c r="U1242" s="19">
        <f t="shared" ref="U1242:U1268" si="472">IF(OR(S1242="", T1242=""), "", S1242-T1242)</f>
        <v>1</v>
      </c>
      <c r="V1242" s="5">
        <f t="shared" si="465"/>
        <v>45984</v>
      </c>
      <c r="W1242" s="6"/>
      <c r="X1242" s="19" t="str">
        <f t="shared" ref="X1242:X1268" si="473">IF(OR(V1242="", W1242=""), "", V1242-W1242)</f>
        <v/>
      </c>
      <c r="Y1242" s="51">
        <f t="shared" si="460"/>
        <v>46012</v>
      </c>
      <c r="Z1242" s="49"/>
      <c r="AA1242" s="49" t="str">
        <f t="shared" ref="AA1242:AA1268" si="474">IF(OR(Y1242="", Z1242=""), "", Y1242-Z1242)</f>
        <v/>
      </c>
      <c r="AB1242" s="51">
        <f t="shared" si="467"/>
        <v>46014</v>
      </c>
      <c r="AC1242" s="49" t="str">
        <f t="shared" si="468"/>
        <v/>
      </c>
      <c r="AD1242" s="43">
        <f t="shared" si="466"/>
        <v>46014</v>
      </c>
      <c r="AF1242" s="19" t="str">
        <f t="shared" si="461"/>
        <v/>
      </c>
      <c r="AG1242" s="10"/>
      <c r="AH1242" s="1"/>
      <c r="AI1242" s="1"/>
      <c r="AJ1242" s="1"/>
      <c r="AK1242" s="1"/>
      <c r="AL1242" s="1"/>
    </row>
    <row r="1243" spans="1:38" ht="14.45">
      <c r="A1243" s="156">
        <v>1242</v>
      </c>
      <c r="B1243" s="134">
        <v>46015</v>
      </c>
      <c r="C1243" s="135">
        <v>647347293</v>
      </c>
      <c r="D1243" s="136" t="s">
        <v>227</v>
      </c>
      <c r="E1243" s="136">
        <v>2401.02</v>
      </c>
      <c r="F1243" s="136" t="s">
        <v>228</v>
      </c>
      <c r="G1243" s="21" t="s">
        <v>46</v>
      </c>
      <c r="H1243" s="23" t="s">
        <v>40</v>
      </c>
      <c r="I1243" s="38" t="s">
        <v>229</v>
      </c>
      <c r="J1243" s="97">
        <f t="shared" si="463"/>
        <v>45915</v>
      </c>
      <c r="K1243" s="4">
        <v>45901</v>
      </c>
      <c r="L1243" s="19">
        <f t="shared" si="459"/>
        <v>14</v>
      </c>
      <c r="M1243" s="5">
        <f t="shared" si="464"/>
        <v>45926</v>
      </c>
      <c r="N1243" s="4">
        <v>45932</v>
      </c>
      <c r="O1243" s="19">
        <f t="shared" si="470"/>
        <v>-6</v>
      </c>
      <c r="P1243" s="5">
        <f t="shared" si="462"/>
        <v>45941</v>
      </c>
      <c r="R1243" s="19" t="str">
        <f t="shared" si="471"/>
        <v/>
      </c>
      <c r="S1243" s="5">
        <f t="shared" si="469"/>
        <v>45946</v>
      </c>
      <c r="T1243" s="4">
        <v>45933</v>
      </c>
      <c r="U1243" s="19">
        <f t="shared" si="472"/>
        <v>13</v>
      </c>
      <c r="V1243" s="5">
        <f t="shared" si="465"/>
        <v>45985</v>
      </c>
      <c r="W1243" s="6"/>
      <c r="X1243" s="19" t="str">
        <f t="shared" si="473"/>
        <v/>
      </c>
      <c r="Y1243" s="51">
        <f t="shared" si="460"/>
        <v>46013</v>
      </c>
      <c r="Z1243" s="125"/>
      <c r="AA1243" s="49" t="str">
        <f t="shared" si="474"/>
        <v/>
      </c>
      <c r="AB1243" s="51">
        <f t="shared" si="467"/>
        <v>46015</v>
      </c>
      <c r="AC1243" s="49" t="str">
        <f t="shared" si="468"/>
        <v/>
      </c>
      <c r="AD1243" s="43">
        <f t="shared" si="466"/>
        <v>46015</v>
      </c>
      <c r="AF1243" s="19" t="str">
        <f t="shared" si="461"/>
        <v/>
      </c>
      <c r="AG1243" s="10"/>
      <c r="AH1243" s="1"/>
      <c r="AI1243" s="1"/>
      <c r="AJ1243" s="1"/>
      <c r="AK1243" s="1"/>
      <c r="AL1243" s="1"/>
    </row>
    <row r="1244" spans="1:38" ht="14.45">
      <c r="A1244" s="156">
        <v>1243</v>
      </c>
      <c r="B1244" s="134">
        <v>46015</v>
      </c>
      <c r="C1244" s="135" t="s">
        <v>2589</v>
      </c>
      <c r="D1244" s="136" t="s">
        <v>227</v>
      </c>
      <c r="E1244" s="136">
        <v>8632</v>
      </c>
      <c r="F1244" s="136" t="s">
        <v>2590</v>
      </c>
      <c r="G1244" s="21" t="s">
        <v>46</v>
      </c>
      <c r="H1244" s="23" t="s">
        <v>40</v>
      </c>
      <c r="I1244" s="38" t="s">
        <v>229</v>
      </c>
      <c r="J1244" s="97">
        <f t="shared" si="463"/>
        <v>45915</v>
      </c>
      <c r="K1244" s="4">
        <v>45901</v>
      </c>
      <c r="L1244" s="19">
        <f t="shared" si="459"/>
        <v>14</v>
      </c>
      <c r="M1244" s="5">
        <f t="shared" si="464"/>
        <v>45926</v>
      </c>
      <c r="N1244" s="4">
        <v>45932</v>
      </c>
      <c r="O1244" s="19">
        <f t="shared" si="470"/>
        <v>-6</v>
      </c>
      <c r="P1244" s="5">
        <f t="shared" si="462"/>
        <v>45941</v>
      </c>
      <c r="R1244" s="19" t="str">
        <f t="shared" si="471"/>
        <v/>
      </c>
      <c r="S1244" s="5">
        <f t="shared" si="469"/>
        <v>45946</v>
      </c>
      <c r="T1244" s="4">
        <v>45940</v>
      </c>
      <c r="U1244" s="19">
        <f t="shared" si="472"/>
        <v>6</v>
      </c>
      <c r="V1244" s="5">
        <f t="shared" si="465"/>
        <v>45985</v>
      </c>
      <c r="W1244" s="6"/>
      <c r="X1244" s="19" t="str">
        <f t="shared" si="473"/>
        <v/>
      </c>
      <c r="Y1244" s="51">
        <f t="shared" si="460"/>
        <v>46013</v>
      </c>
      <c r="Z1244" s="125"/>
      <c r="AA1244" s="49" t="str">
        <f t="shared" si="474"/>
        <v/>
      </c>
      <c r="AB1244" s="51">
        <f t="shared" si="467"/>
        <v>46015</v>
      </c>
      <c r="AC1244" s="49" t="str">
        <f t="shared" si="468"/>
        <v/>
      </c>
      <c r="AD1244" s="43">
        <f t="shared" si="466"/>
        <v>46015</v>
      </c>
      <c r="AF1244" s="19" t="str">
        <f t="shared" si="461"/>
        <v/>
      </c>
      <c r="AG1244" s="10"/>
      <c r="AH1244" s="1"/>
      <c r="AI1244" s="1"/>
      <c r="AJ1244" s="1"/>
      <c r="AK1244" s="1"/>
      <c r="AL1244" s="1"/>
    </row>
    <row r="1245" spans="1:38" ht="14.45">
      <c r="A1245" s="156">
        <v>1244</v>
      </c>
      <c r="B1245" s="59">
        <v>46015</v>
      </c>
      <c r="C1245" s="34" t="s">
        <v>2591</v>
      </c>
      <c r="D1245" s="23" t="s">
        <v>38</v>
      </c>
      <c r="E1245" s="25">
        <v>5343.27</v>
      </c>
      <c r="F1245" s="25" t="s">
        <v>2592</v>
      </c>
      <c r="G1245" s="14" t="s">
        <v>190</v>
      </c>
      <c r="H1245" s="23" t="s">
        <v>40</v>
      </c>
      <c r="I1245" s="38" t="s">
        <v>41</v>
      </c>
      <c r="J1245" s="97">
        <f t="shared" si="463"/>
        <v>45915</v>
      </c>
      <c r="K1245" s="4">
        <v>45915</v>
      </c>
      <c r="L1245" s="19">
        <f t="shared" si="459"/>
        <v>0</v>
      </c>
      <c r="M1245" s="5">
        <f t="shared" si="464"/>
        <v>45926</v>
      </c>
      <c r="N1245" s="4">
        <v>45926</v>
      </c>
      <c r="O1245" s="19">
        <f t="shared" si="470"/>
        <v>0</v>
      </c>
      <c r="P1245" s="5">
        <f t="shared" si="462"/>
        <v>45941</v>
      </c>
      <c r="Q1245" s="4">
        <v>45941</v>
      </c>
      <c r="R1245" s="19">
        <f t="shared" si="471"/>
        <v>0</v>
      </c>
      <c r="S1245" s="5">
        <f t="shared" si="469"/>
        <v>45946</v>
      </c>
      <c r="T1245" s="4">
        <v>45946</v>
      </c>
      <c r="U1245" s="19">
        <f t="shared" si="472"/>
        <v>0</v>
      </c>
      <c r="V1245" s="5">
        <f t="shared" si="465"/>
        <v>45985</v>
      </c>
      <c r="W1245" s="6"/>
      <c r="X1245" s="19" t="str">
        <f t="shared" si="473"/>
        <v/>
      </c>
      <c r="Y1245" s="51">
        <f t="shared" si="460"/>
        <v>46013</v>
      </c>
      <c r="Z1245" s="51"/>
      <c r="AA1245" s="49" t="str">
        <f t="shared" si="474"/>
        <v/>
      </c>
      <c r="AB1245" s="51">
        <f t="shared" si="467"/>
        <v>46015</v>
      </c>
      <c r="AC1245" s="49" t="str">
        <f t="shared" si="468"/>
        <v/>
      </c>
      <c r="AD1245" s="43">
        <f t="shared" si="466"/>
        <v>46015</v>
      </c>
      <c r="AF1245" s="19" t="str">
        <f t="shared" si="461"/>
        <v/>
      </c>
      <c r="AG1245" s="10"/>
      <c r="AH1245" s="1"/>
      <c r="AI1245" s="1"/>
      <c r="AJ1245" s="1"/>
      <c r="AK1245" s="1"/>
      <c r="AL1245" s="1"/>
    </row>
    <row r="1246" spans="1:38" ht="14.45">
      <c r="A1246" s="156">
        <v>1245</v>
      </c>
      <c r="B1246" s="59">
        <v>46015</v>
      </c>
      <c r="C1246" s="34" t="s">
        <v>2593</v>
      </c>
      <c r="D1246" s="23" t="s">
        <v>2594</v>
      </c>
      <c r="E1246" s="25">
        <v>3501</v>
      </c>
      <c r="F1246" s="25" t="s">
        <v>2595</v>
      </c>
      <c r="G1246" s="14" t="s">
        <v>35</v>
      </c>
      <c r="H1246" s="23" t="s">
        <v>40</v>
      </c>
      <c r="I1246" s="38" t="s">
        <v>62</v>
      </c>
      <c r="J1246" s="97">
        <f t="shared" si="463"/>
        <v>45915</v>
      </c>
      <c r="L1246" s="19" t="str">
        <f t="shared" si="459"/>
        <v/>
      </c>
      <c r="M1246" s="5">
        <f t="shared" si="464"/>
        <v>45926</v>
      </c>
      <c r="O1246" s="19" t="str">
        <f t="shared" si="470"/>
        <v/>
      </c>
      <c r="P1246" s="5">
        <f t="shared" si="462"/>
        <v>45941</v>
      </c>
      <c r="R1246" s="19" t="str">
        <f t="shared" si="471"/>
        <v/>
      </c>
      <c r="S1246" s="5">
        <f t="shared" si="469"/>
        <v>45946</v>
      </c>
      <c r="U1246" s="19" t="str">
        <f t="shared" si="472"/>
        <v/>
      </c>
      <c r="V1246" s="5">
        <f t="shared" si="465"/>
        <v>45985</v>
      </c>
      <c r="W1246" s="6"/>
      <c r="X1246" s="19" t="str">
        <f t="shared" si="473"/>
        <v/>
      </c>
      <c r="Y1246" s="51">
        <f t="shared" si="460"/>
        <v>46013</v>
      </c>
      <c r="Z1246" s="51"/>
      <c r="AA1246" s="49" t="str">
        <f t="shared" si="474"/>
        <v/>
      </c>
      <c r="AB1246" s="51">
        <f t="shared" si="467"/>
        <v>46015</v>
      </c>
      <c r="AC1246" s="49" t="str">
        <f t="shared" si="468"/>
        <v/>
      </c>
      <c r="AD1246" s="43">
        <f t="shared" si="466"/>
        <v>46015</v>
      </c>
      <c r="AF1246" s="19" t="str">
        <f t="shared" si="461"/>
        <v/>
      </c>
      <c r="AG1246" s="10" t="s">
        <v>367</v>
      </c>
      <c r="AH1246" s="1"/>
      <c r="AI1246" s="1"/>
      <c r="AJ1246" s="1"/>
      <c r="AK1246" s="1"/>
      <c r="AL1246" s="1"/>
    </row>
    <row r="1247" spans="1:38" ht="14.45">
      <c r="A1247" s="156">
        <v>1246</v>
      </c>
      <c r="B1247" s="59">
        <v>46017</v>
      </c>
      <c r="C1247" s="34" t="s">
        <v>2596</v>
      </c>
      <c r="D1247" s="23" t="s">
        <v>2597</v>
      </c>
      <c r="E1247" s="25">
        <v>12180</v>
      </c>
      <c r="F1247" s="25" t="s">
        <v>2598</v>
      </c>
      <c r="G1247" s="14" t="s">
        <v>35</v>
      </c>
      <c r="H1247" s="23" t="s">
        <v>40</v>
      </c>
      <c r="I1247" s="38" t="s">
        <v>62</v>
      </c>
      <c r="J1247" s="97">
        <f t="shared" si="463"/>
        <v>45917</v>
      </c>
      <c r="L1247" s="19" t="str">
        <f t="shared" si="459"/>
        <v/>
      </c>
      <c r="M1247" s="5">
        <f t="shared" si="464"/>
        <v>45928</v>
      </c>
      <c r="N1247" s="4">
        <v>45945</v>
      </c>
      <c r="O1247" s="19">
        <f t="shared" si="470"/>
        <v>-17</v>
      </c>
      <c r="P1247" s="5">
        <f t="shared" si="462"/>
        <v>45943</v>
      </c>
      <c r="R1247" s="19" t="str">
        <f t="shared" si="471"/>
        <v/>
      </c>
      <c r="S1247" s="5">
        <f t="shared" si="469"/>
        <v>45948</v>
      </c>
      <c r="T1247" s="4">
        <v>45945</v>
      </c>
      <c r="U1247" s="19">
        <f t="shared" si="472"/>
        <v>3</v>
      </c>
      <c r="V1247" s="5">
        <f t="shared" si="465"/>
        <v>45987</v>
      </c>
      <c r="W1247" s="6"/>
      <c r="X1247" s="19" t="str">
        <f t="shared" si="473"/>
        <v/>
      </c>
      <c r="Y1247" s="51">
        <f t="shared" si="460"/>
        <v>46015</v>
      </c>
      <c r="Z1247" s="51"/>
      <c r="AA1247" s="49" t="str">
        <f t="shared" si="474"/>
        <v/>
      </c>
      <c r="AB1247" s="51">
        <f t="shared" si="467"/>
        <v>46017</v>
      </c>
      <c r="AC1247" s="49" t="str">
        <f t="shared" si="468"/>
        <v/>
      </c>
      <c r="AD1247" s="43">
        <f t="shared" si="466"/>
        <v>46017</v>
      </c>
      <c r="AF1247" s="19" t="str">
        <f t="shared" si="461"/>
        <v/>
      </c>
      <c r="AG1247" s="10"/>
      <c r="AH1247" s="1"/>
      <c r="AI1247" s="1"/>
      <c r="AJ1247" s="1"/>
      <c r="AK1247" s="1"/>
      <c r="AL1247" s="1"/>
    </row>
    <row r="1248" spans="1:38" ht="14.45">
      <c r="A1248" s="156">
        <v>1247</v>
      </c>
      <c r="B1248" s="59">
        <v>46018</v>
      </c>
      <c r="C1248" s="34" t="s">
        <v>2599</v>
      </c>
      <c r="D1248" s="23" t="s">
        <v>232</v>
      </c>
      <c r="E1248" s="25">
        <v>27268.799999999999</v>
      </c>
      <c r="F1248" s="130" t="s">
        <v>233</v>
      </c>
      <c r="G1248" s="14" t="s">
        <v>35</v>
      </c>
      <c r="H1248" s="129" t="s">
        <v>40</v>
      </c>
      <c r="I1248" s="38" t="s">
        <v>235</v>
      </c>
      <c r="J1248" s="97">
        <f t="shared" si="463"/>
        <v>45918</v>
      </c>
      <c r="L1248" s="19" t="str">
        <f t="shared" si="459"/>
        <v/>
      </c>
      <c r="M1248" s="5">
        <f t="shared" si="464"/>
        <v>45929</v>
      </c>
      <c r="N1248" s="4">
        <v>45945</v>
      </c>
      <c r="O1248" s="19">
        <f t="shared" si="470"/>
        <v>-16</v>
      </c>
      <c r="P1248" s="5">
        <f t="shared" si="462"/>
        <v>45944</v>
      </c>
      <c r="R1248" s="19" t="str">
        <f t="shared" si="471"/>
        <v/>
      </c>
      <c r="S1248" s="5">
        <f t="shared" si="469"/>
        <v>45949</v>
      </c>
      <c r="U1248" s="19" t="str">
        <f t="shared" si="472"/>
        <v/>
      </c>
      <c r="V1248" s="5">
        <f t="shared" si="465"/>
        <v>45988</v>
      </c>
      <c r="W1248" s="6"/>
      <c r="X1248" s="19" t="str">
        <f t="shared" si="473"/>
        <v/>
      </c>
      <c r="Y1248" s="51">
        <f t="shared" si="460"/>
        <v>46016</v>
      </c>
      <c r="Z1248" s="51"/>
      <c r="AA1248" s="49" t="str">
        <f t="shared" si="474"/>
        <v/>
      </c>
      <c r="AB1248" s="51">
        <f t="shared" si="467"/>
        <v>46018</v>
      </c>
      <c r="AC1248" s="49" t="str">
        <f t="shared" si="468"/>
        <v/>
      </c>
      <c r="AD1248" s="43">
        <f t="shared" si="466"/>
        <v>46018</v>
      </c>
      <c r="AF1248" s="19" t="str">
        <f t="shared" si="461"/>
        <v/>
      </c>
      <c r="AG1248" s="10"/>
      <c r="AH1248" s="1"/>
      <c r="AI1248" s="1"/>
      <c r="AJ1248" s="1"/>
      <c r="AK1248" s="1"/>
      <c r="AL1248" s="1"/>
    </row>
    <row r="1249" spans="1:38" ht="14.45">
      <c r="A1249" s="156">
        <v>1248</v>
      </c>
      <c r="B1249" s="59">
        <v>46018</v>
      </c>
      <c r="C1249" s="34" t="s">
        <v>2600</v>
      </c>
      <c r="D1249" s="23" t="s">
        <v>232</v>
      </c>
      <c r="E1249" s="25">
        <v>1031.24</v>
      </c>
      <c r="F1249" s="130" t="s">
        <v>2601</v>
      </c>
      <c r="G1249" s="14" t="s">
        <v>35</v>
      </c>
      <c r="H1249" s="23" t="s">
        <v>40</v>
      </c>
      <c r="I1249" s="38" t="s">
        <v>62</v>
      </c>
      <c r="J1249" s="97">
        <f t="shared" si="463"/>
        <v>45918</v>
      </c>
      <c r="L1249" s="19" t="str">
        <f t="shared" si="459"/>
        <v/>
      </c>
      <c r="M1249" s="5">
        <f t="shared" si="464"/>
        <v>45929</v>
      </c>
      <c r="O1249" s="19" t="str">
        <f t="shared" si="470"/>
        <v/>
      </c>
      <c r="P1249" s="5">
        <f t="shared" si="462"/>
        <v>45944</v>
      </c>
      <c r="R1249" s="19" t="str">
        <f t="shared" si="471"/>
        <v/>
      </c>
      <c r="S1249" s="5">
        <f t="shared" si="469"/>
        <v>45949</v>
      </c>
      <c r="U1249" s="19" t="str">
        <f t="shared" si="472"/>
        <v/>
      </c>
      <c r="V1249" s="5">
        <f t="shared" si="465"/>
        <v>45988</v>
      </c>
      <c r="W1249" s="6"/>
      <c r="X1249" s="19" t="str">
        <f t="shared" si="473"/>
        <v/>
      </c>
      <c r="Y1249" s="51">
        <f t="shared" si="460"/>
        <v>46016</v>
      </c>
      <c r="Z1249" s="51"/>
      <c r="AA1249" s="49" t="str">
        <f t="shared" si="474"/>
        <v/>
      </c>
      <c r="AB1249" s="51">
        <f t="shared" si="467"/>
        <v>46018</v>
      </c>
      <c r="AC1249" s="49" t="str">
        <f t="shared" si="468"/>
        <v/>
      </c>
      <c r="AD1249" s="43">
        <f t="shared" si="466"/>
        <v>46018</v>
      </c>
      <c r="AF1249" s="19" t="str">
        <f t="shared" si="461"/>
        <v/>
      </c>
      <c r="AG1249" s="10" t="s">
        <v>367</v>
      </c>
      <c r="AH1249" s="1"/>
      <c r="AI1249" s="1"/>
      <c r="AJ1249" s="1"/>
      <c r="AK1249" s="1"/>
      <c r="AL1249" s="1"/>
    </row>
    <row r="1250" spans="1:38" ht="14.45">
      <c r="A1250" s="156">
        <v>1249</v>
      </c>
      <c r="B1250" s="59">
        <v>46018</v>
      </c>
      <c r="C1250" s="34" t="s">
        <v>2602</v>
      </c>
      <c r="D1250" s="23" t="s">
        <v>236</v>
      </c>
      <c r="E1250" s="25">
        <v>11432.67</v>
      </c>
      <c r="F1250" s="25" t="s">
        <v>237</v>
      </c>
      <c r="G1250" s="14" t="s">
        <v>35</v>
      </c>
      <c r="H1250" s="23" t="s">
        <v>36</v>
      </c>
      <c r="I1250" s="38" t="s">
        <v>93</v>
      </c>
      <c r="J1250" s="97">
        <f t="shared" si="463"/>
        <v>45918</v>
      </c>
      <c r="L1250" s="19" t="str">
        <f t="shared" si="459"/>
        <v/>
      </c>
      <c r="M1250" s="5">
        <f t="shared" si="464"/>
        <v>45929</v>
      </c>
      <c r="O1250" s="19" t="str">
        <f t="shared" si="470"/>
        <v/>
      </c>
      <c r="P1250" s="5">
        <f t="shared" si="462"/>
        <v>45944</v>
      </c>
      <c r="R1250" s="19" t="str">
        <f t="shared" si="471"/>
        <v/>
      </c>
      <c r="S1250" s="5">
        <f t="shared" si="469"/>
        <v>45949</v>
      </c>
      <c r="T1250" s="4">
        <v>45945</v>
      </c>
      <c r="U1250" s="19">
        <f t="shared" si="472"/>
        <v>4</v>
      </c>
      <c r="V1250" s="5">
        <f t="shared" si="465"/>
        <v>45988</v>
      </c>
      <c r="W1250" s="6"/>
      <c r="X1250" s="19" t="str">
        <f t="shared" si="473"/>
        <v/>
      </c>
      <c r="Y1250" s="51">
        <f t="shared" si="460"/>
        <v>46016</v>
      </c>
      <c r="Z1250" s="51"/>
      <c r="AA1250" s="49" t="str">
        <f t="shared" si="474"/>
        <v/>
      </c>
      <c r="AB1250" s="51">
        <f t="shared" si="467"/>
        <v>46018</v>
      </c>
      <c r="AC1250" s="49" t="str">
        <f t="shared" si="468"/>
        <v/>
      </c>
      <c r="AD1250" s="43">
        <f t="shared" si="466"/>
        <v>46018</v>
      </c>
      <c r="AF1250" s="19" t="str">
        <f t="shared" si="461"/>
        <v/>
      </c>
      <c r="AG1250" s="10"/>
      <c r="AH1250" s="1"/>
      <c r="AI1250" s="1"/>
      <c r="AJ1250" s="1"/>
      <c r="AK1250" s="1"/>
      <c r="AL1250" s="1"/>
    </row>
    <row r="1251" spans="1:38" ht="14.45">
      <c r="A1251" s="156">
        <v>1250</v>
      </c>
      <c r="B1251" s="59">
        <v>46019</v>
      </c>
      <c r="C1251" s="34">
        <v>111848695</v>
      </c>
      <c r="D1251" s="23" t="s">
        <v>238</v>
      </c>
      <c r="E1251" s="25">
        <v>1067.23</v>
      </c>
      <c r="F1251" s="25" t="s">
        <v>2603</v>
      </c>
      <c r="G1251" s="14" t="s">
        <v>35</v>
      </c>
      <c r="H1251" s="23" t="s">
        <v>40</v>
      </c>
      <c r="I1251" s="38" t="s">
        <v>93</v>
      </c>
      <c r="J1251" s="97">
        <f t="shared" si="463"/>
        <v>45919</v>
      </c>
      <c r="L1251" s="19" t="str">
        <f t="shared" si="459"/>
        <v/>
      </c>
      <c r="M1251" s="5">
        <f t="shared" si="464"/>
        <v>45930</v>
      </c>
      <c r="O1251" s="19" t="str">
        <f t="shared" si="470"/>
        <v/>
      </c>
      <c r="P1251" s="5">
        <f t="shared" si="462"/>
        <v>45945</v>
      </c>
      <c r="R1251" s="19" t="str">
        <f t="shared" si="471"/>
        <v/>
      </c>
      <c r="S1251" s="5">
        <f t="shared" si="469"/>
        <v>45950</v>
      </c>
      <c r="T1251" s="4">
        <v>45945</v>
      </c>
      <c r="U1251" s="19">
        <f t="shared" si="472"/>
        <v>5</v>
      </c>
      <c r="V1251" s="5">
        <f t="shared" si="465"/>
        <v>45989</v>
      </c>
      <c r="W1251" s="6"/>
      <c r="X1251" s="19" t="str">
        <f t="shared" si="473"/>
        <v/>
      </c>
      <c r="Y1251" s="51">
        <f t="shared" si="460"/>
        <v>46017</v>
      </c>
      <c r="Z1251" s="51"/>
      <c r="AA1251" s="49" t="str">
        <f t="shared" si="474"/>
        <v/>
      </c>
      <c r="AB1251" s="51">
        <f t="shared" si="467"/>
        <v>46019</v>
      </c>
      <c r="AC1251" s="49" t="str">
        <f t="shared" si="468"/>
        <v/>
      </c>
      <c r="AD1251" s="43">
        <f t="shared" si="466"/>
        <v>46019</v>
      </c>
      <c r="AF1251" s="19" t="str">
        <f t="shared" si="461"/>
        <v/>
      </c>
      <c r="AG1251" s="10"/>
      <c r="AH1251" s="1"/>
      <c r="AI1251" s="1"/>
      <c r="AJ1251" s="1"/>
      <c r="AK1251" s="1"/>
      <c r="AL1251" s="1"/>
    </row>
    <row r="1252" spans="1:38" ht="14.45">
      <c r="A1252" s="156">
        <v>1251</v>
      </c>
      <c r="B1252" s="59">
        <v>46020</v>
      </c>
      <c r="C1252" s="34" t="s">
        <v>2604</v>
      </c>
      <c r="D1252" s="23" t="s">
        <v>240</v>
      </c>
      <c r="E1252" s="25">
        <v>874.14</v>
      </c>
      <c r="F1252" s="25" t="s">
        <v>2523</v>
      </c>
      <c r="G1252" s="14" t="s">
        <v>120</v>
      </c>
      <c r="H1252" s="23" t="s">
        <v>40</v>
      </c>
      <c r="I1252" s="38" t="s">
        <v>41</v>
      </c>
      <c r="J1252" s="97">
        <f t="shared" si="463"/>
        <v>45920</v>
      </c>
      <c r="K1252" s="4">
        <v>45849</v>
      </c>
      <c r="L1252" s="19">
        <f t="shared" ref="L1252:L1269" si="475">IF(OR(J1252="", K1252=""), "", J1252-K1252)</f>
        <v>71</v>
      </c>
      <c r="M1252" s="5">
        <f t="shared" si="464"/>
        <v>45931</v>
      </c>
      <c r="O1252" s="19" t="str">
        <f t="shared" si="470"/>
        <v/>
      </c>
      <c r="P1252" s="5">
        <f t="shared" si="462"/>
        <v>45946</v>
      </c>
      <c r="R1252" s="19" t="str">
        <f t="shared" si="471"/>
        <v/>
      </c>
      <c r="S1252" s="5">
        <f t="shared" si="469"/>
        <v>45951</v>
      </c>
      <c r="T1252" s="4">
        <v>45936</v>
      </c>
      <c r="U1252" s="19">
        <f t="shared" si="472"/>
        <v>15</v>
      </c>
      <c r="V1252" s="5">
        <f t="shared" si="465"/>
        <v>45990</v>
      </c>
      <c r="W1252" s="6">
        <v>45936</v>
      </c>
      <c r="X1252" s="19">
        <f t="shared" si="473"/>
        <v>54</v>
      </c>
      <c r="Y1252" s="51">
        <f t="shared" si="460"/>
        <v>46018</v>
      </c>
      <c r="Z1252" s="49"/>
      <c r="AA1252" s="49" t="str">
        <f t="shared" si="474"/>
        <v/>
      </c>
      <c r="AB1252" s="51">
        <f t="shared" si="467"/>
        <v>46020</v>
      </c>
      <c r="AC1252" s="49" t="str">
        <f t="shared" si="468"/>
        <v/>
      </c>
      <c r="AD1252" s="43">
        <f t="shared" si="466"/>
        <v>46020</v>
      </c>
      <c r="AF1252" s="19" t="str">
        <f t="shared" si="461"/>
        <v/>
      </c>
      <c r="AG1252" s="10"/>
      <c r="AH1252" s="1"/>
      <c r="AI1252" s="1"/>
      <c r="AJ1252" s="1"/>
      <c r="AK1252" s="1"/>
      <c r="AL1252" s="1"/>
    </row>
    <row r="1253" spans="1:38" ht="14.45">
      <c r="A1253" s="156">
        <v>1252</v>
      </c>
      <c r="B1253" s="59">
        <v>46020</v>
      </c>
      <c r="C1253" s="34" t="s">
        <v>2605</v>
      </c>
      <c r="D1253" s="23" t="s">
        <v>240</v>
      </c>
      <c r="E1253" s="25">
        <v>33518.42</v>
      </c>
      <c r="F1253" s="25" t="s">
        <v>241</v>
      </c>
      <c r="G1253" s="14" t="s">
        <v>120</v>
      </c>
      <c r="H1253" s="23" t="s">
        <v>40</v>
      </c>
      <c r="I1253" s="38" t="s">
        <v>93</v>
      </c>
      <c r="J1253" s="97">
        <f t="shared" si="463"/>
        <v>45920</v>
      </c>
      <c r="L1253" s="19" t="str">
        <f t="shared" si="475"/>
        <v/>
      </c>
      <c r="M1253" s="5">
        <f t="shared" si="464"/>
        <v>45931</v>
      </c>
      <c r="O1253" s="19" t="str">
        <f t="shared" si="470"/>
        <v/>
      </c>
      <c r="P1253" s="5">
        <f t="shared" si="462"/>
        <v>45946</v>
      </c>
      <c r="R1253" s="19" t="str">
        <f t="shared" si="471"/>
        <v/>
      </c>
      <c r="S1253" s="5">
        <f t="shared" si="469"/>
        <v>45951</v>
      </c>
      <c r="T1253" s="4">
        <v>45936</v>
      </c>
      <c r="U1253" s="19">
        <f t="shared" si="472"/>
        <v>15</v>
      </c>
      <c r="V1253" s="5">
        <f t="shared" si="465"/>
        <v>45990</v>
      </c>
      <c r="W1253" s="6">
        <v>45936</v>
      </c>
      <c r="X1253" s="19">
        <f t="shared" si="473"/>
        <v>54</v>
      </c>
      <c r="Y1253" s="51">
        <f t="shared" si="460"/>
        <v>46018</v>
      </c>
      <c r="Z1253" s="49"/>
      <c r="AA1253" s="49" t="str">
        <f t="shared" si="474"/>
        <v/>
      </c>
      <c r="AB1253" s="51">
        <f t="shared" si="467"/>
        <v>46020</v>
      </c>
      <c r="AC1253" s="49" t="str">
        <f t="shared" si="468"/>
        <v/>
      </c>
      <c r="AD1253" s="43">
        <f t="shared" si="466"/>
        <v>46020</v>
      </c>
      <c r="AF1253" s="19" t="str">
        <f t="shared" si="461"/>
        <v/>
      </c>
      <c r="AG1253" s="10"/>
      <c r="AH1253" s="1"/>
      <c r="AI1253" s="1"/>
      <c r="AJ1253" s="1"/>
      <c r="AK1253" s="1"/>
      <c r="AL1253" s="1"/>
    </row>
    <row r="1254" spans="1:38" ht="14.45">
      <c r="A1254" s="156">
        <v>1253</v>
      </c>
      <c r="B1254" s="59">
        <v>46020</v>
      </c>
      <c r="C1254" s="34" t="s">
        <v>2606</v>
      </c>
      <c r="D1254" s="23" t="s">
        <v>2607</v>
      </c>
      <c r="E1254" s="25">
        <v>678.79</v>
      </c>
      <c r="F1254" s="25" t="s">
        <v>2608</v>
      </c>
      <c r="G1254" s="14" t="s">
        <v>51</v>
      </c>
      <c r="H1254" s="23" t="s">
        <v>40</v>
      </c>
      <c r="I1254" s="38" t="s">
        <v>41</v>
      </c>
      <c r="J1254" s="97">
        <f t="shared" si="463"/>
        <v>45920</v>
      </c>
      <c r="K1254" s="4">
        <v>45897</v>
      </c>
      <c r="L1254" s="19">
        <f t="shared" si="475"/>
        <v>23</v>
      </c>
      <c r="M1254" s="5">
        <f t="shared" si="464"/>
        <v>45931</v>
      </c>
      <c r="O1254" s="19" t="str">
        <f t="shared" si="470"/>
        <v/>
      </c>
      <c r="P1254" s="5">
        <f t="shared" si="462"/>
        <v>45946</v>
      </c>
      <c r="R1254" s="19" t="str">
        <f t="shared" si="471"/>
        <v/>
      </c>
      <c r="S1254" s="5">
        <f t="shared" si="469"/>
        <v>45951</v>
      </c>
      <c r="T1254" s="4">
        <v>45957</v>
      </c>
      <c r="U1254" s="19">
        <f t="shared" si="472"/>
        <v>-6</v>
      </c>
      <c r="V1254" s="5">
        <f t="shared" si="465"/>
        <v>45990</v>
      </c>
      <c r="W1254" s="6"/>
      <c r="X1254" s="19" t="str">
        <f t="shared" si="473"/>
        <v/>
      </c>
      <c r="Y1254" s="51">
        <f t="shared" si="460"/>
        <v>46018</v>
      </c>
      <c r="Z1254" s="49"/>
      <c r="AA1254" s="49" t="str">
        <f t="shared" si="474"/>
        <v/>
      </c>
      <c r="AB1254" s="51">
        <f t="shared" si="467"/>
        <v>46020</v>
      </c>
      <c r="AC1254" s="49" t="str">
        <f t="shared" si="468"/>
        <v/>
      </c>
      <c r="AD1254" s="43">
        <f t="shared" si="466"/>
        <v>46020</v>
      </c>
      <c r="AF1254" s="19" t="str">
        <f t="shared" si="461"/>
        <v/>
      </c>
      <c r="AG1254" s="10"/>
      <c r="AH1254" s="1"/>
      <c r="AI1254" s="1"/>
      <c r="AJ1254" s="1"/>
      <c r="AK1254" s="1"/>
      <c r="AL1254" s="1"/>
    </row>
    <row r="1255" spans="1:38" ht="14.45">
      <c r="A1255" s="156">
        <v>1254</v>
      </c>
      <c r="B1255" s="60">
        <v>46020</v>
      </c>
      <c r="C1255" s="41" t="s">
        <v>2609</v>
      </c>
      <c r="D1255" s="24" t="s">
        <v>308</v>
      </c>
      <c r="E1255" s="127">
        <v>2074.4</v>
      </c>
      <c r="F1255" s="127" t="s">
        <v>2610</v>
      </c>
      <c r="G1255" s="16" t="s">
        <v>46</v>
      </c>
      <c r="H1255" s="24" t="s">
        <v>40</v>
      </c>
      <c r="I1255" s="128" t="s">
        <v>93</v>
      </c>
      <c r="J1255" s="98">
        <f>B1255-100</f>
        <v>45920</v>
      </c>
      <c r="K1255" s="7">
        <v>45901</v>
      </c>
      <c r="L1255" s="99">
        <f>IF(OR(J1255="", K1255=""), "", J1255-K1255)</f>
        <v>19</v>
      </c>
      <c r="M1255" s="20">
        <f>B1255-89</f>
        <v>45931</v>
      </c>
      <c r="N1255" s="4">
        <v>45932</v>
      </c>
      <c r="O1255" s="19">
        <f t="shared" ref="O1255:O1268" si="476">IF(OR(M1256="", N1255=""), "", M1256-N1255)</f>
        <v>0</v>
      </c>
      <c r="P1255" s="5">
        <f t="shared" ref="P1255:P1268" si="477">B1256-74</f>
        <v>45947</v>
      </c>
      <c r="Q1255" s="4">
        <v>45947</v>
      </c>
      <c r="R1255" s="19">
        <f t="shared" si="471"/>
        <v>0</v>
      </c>
      <c r="S1255" s="5">
        <f t="shared" ref="S1255:S1268" si="478">B1256-69</f>
        <v>45952</v>
      </c>
      <c r="U1255" s="19" t="str">
        <f t="shared" si="472"/>
        <v/>
      </c>
      <c r="V1255" s="5">
        <f t="shared" ref="V1255:V1268" si="479">B1256-30</f>
        <v>45991</v>
      </c>
      <c r="W1255" s="6"/>
      <c r="X1255" s="19" t="str">
        <f t="shared" si="473"/>
        <v/>
      </c>
      <c r="Y1255" s="51">
        <f t="shared" ref="Y1255:Y1268" si="480">B1256-2</f>
        <v>46019</v>
      </c>
      <c r="Z1255" s="51"/>
      <c r="AA1255" s="49" t="str">
        <f t="shared" si="474"/>
        <v/>
      </c>
      <c r="AB1255" s="51">
        <f t="shared" ref="AB1255:AB1268" si="481">IF(B1256&lt;&gt;"", B1256, "")</f>
        <v>46021</v>
      </c>
      <c r="AC1255" s="49" t="str">
        <f t="shared" si="468"/>
        <v/>
      </c>
      <c r="AD1255" s="43">
        <f t="shared" ref="AD1255:AD1268" si="482">IF(B1256&lt;&gt;"", B1256, "")</f>
        <v>46021</v>
      </c>
      <c r="AF1255" s="19" t="str">
        <f t="shared" si="461"/>
        <v/>
      </c>
      <c r="AG1255" s="10" t="s">
        <v>367</v>
      </c>
      <c r="AH1255" s="1"/>
      <c r="AI1255" s="1"/>
      <c r="AJ1255" s="1"/>
      <c r="AK1255" s="1"/>
      <c r="AL1255" s="1"/>
    </row>
    <row r="1256" spans="1:38" ht="14.45">
      <c r="A1256" s="156">
        <v>1255</v>
      </c>
      <c r="B1256" s="59">
        <v>46021</v>
      </c>
      <c r="C1256" s="34" t="s">
        <v>2611</v>
      </c>
      <c r="D1256" s="23" t="s">
        <v>38</v>
      </c>
      <c r="E1256" s="25">
        <v>84.64</v>
      </c>
      <c r="F1256" s="25" t="s">
        <v>2612</v>
      </c>
      <c r="G1256" s="14" t="s">
        <v>190</v>
      </c>
      <c r="H1256" s="23" t="s">
        <v>40</v>
      </c>
      <c r="I1256" s="38" t="s">
        <v>41</v>
      </c>
      <c r="J1256" s="97">
        <f t="shared" si="463"/>
        <v>45921</v>
      </c>
      <c r="K1256" s="4">
        <v>45921</v>
      </c>
      <c r="L1256" s="19">
        <f t="shared" si="475"/>
        <v>0</v>
      </c>
      <c r="M1256" s="5">
        <f t="shared" si="464"/>
        <v>45932</v>
      </c>
      <c r="N1256" s="4">
        <v>45932</v>
      </c>
      <c r="O1256" s="19">
        <f t="shared" si="476"/>
        <v>0</v>
      </c>
      <c r="P1256" s="5">
        <f t="shared" si="477"/>
        <v>45947</v>
      </c>
      <c r="Q1256" s="4">
        <v>45947</v>
      </c>
      <c r="R1256" s="19">
        <f t="shared" si="471"/>
        <v>0</v>
      </c>
      <c r="S1256" s="5">
        <f t="shared" si="478"/>
        <v>45952</v>
      </c>
      <c r="T1256" s="4">
        <v>45952</v>
      </c>
      <c r="U1256" s="19">
        <f t="shared" si="472"/>
        <v>0</v>
      </c>
      <c r="V1256" s="5">
        <f t="shared" si="479"/>
        <v>45991</v>
      </c>
      <c r="W1256" s="6"/>
      <c r="X1256" s="19" t="str">
        <f t="shared" si="473"/>
        <v/>
      </c>
      <c r="Y1256" s="51">
        <f t="shared" si="480"/>
        <v>46019</v>
      </c>
      <c r="Z1256" s="51"/>
      <c r="AA1256" s="49" t="str">
        <f t="shared" si="474"/>
        <v/>
      </c>
      <c r="AB1256" s="51">
        <f t="shared" si="481"/>
        <v>46021</v>
      </c>
      <c r="AC1256" s="49" t="str">
        <f t="shared" si="468"/>
        <v/>
      </c>
      <c r="AD1256" s="43">
        <f t="shared" si="482"/>
        <v>46021</v>
      </c>
      <c r="AF1256" s="19" t="str">
        <f t="shared" si="461"/>
        <v/>
      </c>
      <c r="AG1256" s="10"/>
      <c r="AH1256" s="1"/>
      <c r="AI1256" s="1"/>
      <c r="AJ1256" s="1"/>
      <c r="AK1256" s="1"/>
      <c r="AL1256" s="1"/>
    </row>
    <row r="1257" spans="1:38" ht="14.45">
      <c r="A1257" s="156">
        <v>1256</v>
      </c>
      <c r="B1257" s="59">
        <v>46021</v>
      </c>
      <c r="C1257" s="34" t="s">
        <v>2613</v>
      </c>
      <c r="D1257" s="23" t="s">
        <v>38</v>
      </c>
      <c r="E1257" s="25">
        <v>1373.46</v>
      </c>
      <c r="F1257" s="25" t="s">
        <v>2614</v>
      </c>
      <c r="G1257" s="14" t="s">
        <v>190</v>
      </c>
      <c r="H1257" s="23" t="s">
        <v>40</v>
      </c>
      <c r="I1257" s="38" t="s">
        <v>41</v>
      </c>
      <c r="J1257" s="97">
        <f t="shared" si="463"/>
        <v>45921</v>
      </c>
      <c r="K1257" s="4">
        <v>45921</v>
      </c>
      <c r="L1257" s="19">
        <f t="shared" si="475"/>
        <v>0</v>
      </c>
      <c r="M1257" s="5">
        <f t="shared" si="464"/>
        <v>45932</v>
      </c>
      <c r="N1257" s="4">
        <v>45933</v>
      </c>
      <c r="O1257" s="19">
        <f t="shared" si="476"/>
        <v>0</v>
      </c>
      <c r="P1257" s="5">
        <f t="shared" si="477"/>
        <v>45948</v>
      </c>
      <c r="Q1257" s="4">
        <v>45948</v>
      </c>
      <c r="R1257" s="19">
        <f t="shared" si="471"/>
        <v>0</v>
      </c>
      <c r="S1257" s="5">
        <f t="shared" si="478"/>
        <v>45953</v>
      </c>
      <c r="T1257" s="4">
        <v>45953</v>
      </c>
      <c r="U1257" s="19">
        <f t="shared" si="472"/>
        <v>0</v>
      </c>
      <c r="V1257" s="5">
        <f t="shared" si="479"/>
        <v>45992</v>
      </c>
      <c r="W1257" s="6"/>
      <c r="X1257" s="19" t="str">
        <f t="shared" si="473"/>
        <v/>
      </c>
      <c r="Y1257" s="51">
        <f t="shared" si="480"/>
        <v>46020</v>
      </c>
      <c r="Z1257" s="51"/>
      <c r="AA1257" s="49" t="str">
        <f t="shared" si="474"/>
        <v/>
      </c>
      <c r="AB1257" s="51">
        <f t="shared" si="481"/>
        <v>46022</v>
      </c>
      <c r="AC1257" s="49" t="str">
        <f t="shared" si="468"/>
        <v/>
      </c>
      <c r="AD1257" s="43">
        <f t="shared" si="482"/>
        <v>46022</v>
      </c>
      <c r="AF1257" s="19" t="str">
        <f t="shared" si="461"/>
        <v/>
      </c>
      <c r="AG1257" s="10"/>
      <c r="AH1257" s="1"/>
      <c r="AI1257" s="1"/>
      <c r="AJ1257" s="1"/>
      <c r="AK1257" s="1"/>
      <c r="AL1257" s="1"/>
    </row>
    <row r="1258" spans="1:38" ht="14.45">
      <c r="A1258" s="156">
        <v>1257</v>
      </c>
      <c r="B1258" s="59">
        <v>46022</v>
      </c>
      <c r="C1258" s="34" t="s">
        <v>2615</v>
      </c>
      <c r="D1258" s="23" t="s">
        <v>38</v>
      </c>
      <c r="E1258" s="25">
        <v>3922.85</v>
      </c>
      <c r="F1258" s="25" t="s">
        <v>2616</v>
      </c>
      <c r="G1258" s="14" t="s">
        <v>190</v>
      </c>
      <c r="H1258" s="23" t="s">
        <v>40</v>
      </c>
      <c r="I1258" s="38" t="s">
        <v>41</v>
      </c>
      <c r="J1258" s="97">
        <f t="shared" si="463"/>
        <v>45922</v>
      </c>
      <c r="K1258" s="4">
        <v>45922</v>
      </c>
      <c r="L1258" s="19">
        <f t="shared" si="475"/>
        <v>0</v>
      </c>
      <c r="M1258" s="5">
        <f t="shared" si="464"/>
        <v>45933</v>
      </c>
      <c r="N1258" s="4">
        <v>45933</v>
      </c>
      <c r="O1258" s="19">
        <f t="shared" si="476"/>
        <v>0</v>
      </c>
      <c r="P1258" s="5">
        <f t="shared" si="477"/>
        <v>45948</v>
      </c>
      <c r="Q1258" s="4">
        <v>45948</v>
      </c>
      <c r="R1258" s="19">
        <f t="shared" si="471"/>
        <v>0</v>
      </c>
      <c r="S1258" s="5">
        <f t="shared" si="478"/>
        <v>45953</v>
      </c>
      <c r="T1258" s="4">
        <v>45953</v>
      </c>
      <c r="U1258" s="19">
        <f t="shared" si="472"/>
        <v>0</v>
      </c>
      <c r="V1258" s="5">
        <f t="shared" si="479"/>
        <v>45992</v>
      </c>
      <c r="W1258" s="6"/>
      <c r="X1258" s="19" t="str">
        <f t="shared" si="473"/>
        <v/>
      </c>
      <c r="Y1258" s="51">
        <f t="shared" si="480"/>
        <v>46020</v>
      </c>
      <c r="Z1258" s="51"/>
      <c r="AA1258" s="49" t="str">
        <f t="shared" si="474"/>
        <v/>
      </c>
      <c r="AB1258" s="51">
        <f t="shared" si="481"/>
        <v>46022</v>
      </c>
      <c r="AC1258" s="49" t="str">
        <f t="shared" si="468"/>
        <v/>
      </c>
      <c r="AD1258" s="43">
        <f t="shared" si="482"/>
        <v>46022</v>
      </c>
      <c r="AF1258" s="19" t="str">
        <f t="shared" si="461"/>
        <v/>
      </c>
      <c r="AG1258" s="10"/>
      <c r="AH1258" s="1"/>
      <c r="AI1258" s="1"/>
      <c r="AJ1258" s="1"/>
      <c r="AK1258" s="1"/>
      <c r="AL1258" s="1"/>
    </row>
    <row r="1259" spans="1:38" ht="14.45">
      <c r="A1259" s="156">
        <v>1258</v>
      </c>
      <c r="B1259" s="59">
        <v>46022</v>
      </c>
      <c r="C1259" s="34" t="s">
        <v>2617</v>
      </c>
      <c r="D1259" s="23" t="s">
        <v>38</v>
      </c>
      <c r="E1259" s="25">
        <v>300.91000000000003</v>
      </c>
      <c r="F1259" s="25" t="s">
        <v>2618</v>
      </c>
      <c r="G1259" s="14" t="s">
        <v>190</v>
      </c>
      <c r="H1259" s="23" t="s">
        <v>40</v>
      </c>
      <c r="I1259" s="38" t="s">
        <v>41</v>
      </c>
      <c r="J1259" s="97">
        <f t="shared" si="463"/>
        <v>45922</v>
      </c>
      <c r="K1259" s="4">
        <v>45922</v>
      </c>
      <c r="L1259" s="19">
        <f t="shared" si="475"/>
        <v>0</v>
      </c>
      <c r="M1259" s="5">
        <f t="shared" si="464"/>
        <v>45933</v>
      </c>
      <c r="N1259" s="4">
        <v>45933</v>
      </c>
      <c r="O1259" s="19">
        <f t="shared" si="476"/>
        <v>0</v>
      </c>
      <c r="P1259" s="5">
        <f t="shared" si="477"/>
        <v>45948</v>
      </c>
      <c r="Q1259" s="4">
        <v>45948</v>
      </c>
      <c r="R1259" s="19">
        <f t="shared" si="471"/>
        <v>0</v>
      </c>
      <c r="S1259" s="5">
        <f t="shared" si="478"/>
        <v>45953</v>
      </c>
      <c r="T1259" s="4">
        <v>45953</v>
      </c>
      <c r="U1259" s="19">
        <f t="shared" si="472"/>
        <v>0</v>
      </c>
      <c r="V1259" s="5">
        <f t="shared" si="479"/>
        <v>45992</v>
      </c>
      <c r="W1259" s="6"/>
      <c r="X1259" s="19" t="str">
        <f t="shared" si="473"/>
        <v/>
      </c>
      <c r="Y1259" s="51">
        <f t="shared" si="480"/>
        <v>46020</v>
      </c>
      <c r="Z1259" s="51"/>
      <c r="AA1259" s="49" t="str">
        <f t="shared" si="474"/>
        <v/>
      </c>
      <c r="AB1259" s="51">
        <f t="shared" si="481"/>
        <v>46022</v>
      </c>
      <c r="AC1259" s="49" t="str">
        <f t="shared" si="468"/>
        <v/>
      </c>
      <c r="AD1259" s="43">
        <f t="shared" si="482"/>
        <v>46022</v>
      </c>
      <c r="AF1259" s="19" t="str">
        <f t="shared" si="461"/>
        <v/>
      </c>
      <c r="AG1259" s="10"/>
      <c r="AH1259" s="1"/>
      <c r="AI1259" s="1"/>
      <c r="AJ1259" s="1"/>
      <c r="AK1259" s="1"/>
      <c r="AL1259" s="1"/>
    </row>
    <row r="1260" spans="1:38" ht="14.45">
      <c r="A1260" s="156">
        <v>1259</v>
      </c>
      <c r="B1260" s="131">
        <v>46022</v>
      </c>
      <c r="C1260" s="132" t="s">
        <v>2619</v>
      </c>
      <c r="D1260" s="133" t="s">
        <v>38</v>
      </c>
      <c r="E1260" s="139">
        <v>197.94</v>
      </c>
      <c r="F1260" s="139" t="s">
        <v>2620</v>
      </c>
      <c r="G1260" s="14" t="s">
        <v>190</v>
      </c>
      <c r="H1260" s="23" t="s">
        <v>40</v>
      </c>
      <c r="I1260" s="38" t="s">
        <v>41</v>
      </c>
      <c r="J1260" s="97">
        <f t="shared" si="463"/>
        <v>45922</v>
      </c>
      <c r="K1260" s="4">
        <v>45922</v>
      </c>
      <c r="L1260" s="19">
        <f t="shared" si="475"/>
        <v>0</v>
      </c>
      <c r="M1260" s="5">
        <f t="shared" si="464"/>
        <v>45933</v>
      </c>
      <c r="O1260" s="19" t="str">
        <f t="shared" si="476"/>
        <v/>
      </c>
      <c r="P1260" s="5">
        <f t="shared" si="477"/>
        <v>45948</v>
      </c>
      <c r="R1260" s="19" t="str">
        <f t="shared" si="471"/>
        <v/>
      </c>
      <c r="S1260" s="5">
        <f t="shared" si="478"/>
        <v>45953</v>
      </c>
      <c r="T1260" s="4">
        <v>45953</v>
      </c>
      <c r="U1260" s="19">
        <f t="shared" si="472"/>
        <v>0</v>
      </c>
      <c r="V1260" s="5">
        <f t="shared" si="479"/>
        <v>45992</v>
      </c>
      <c r="W1260" s="6"/>
      <c r="X1260" s="19" t="str">
        <f t="shared" si="473"/>
        <v/>
      </c>
      <c r="Y1260" s="51">
        <f t="shared" si="480"/>
        <v>46020</v>
      </c>
      <c r="Z1260" s="51"/>
      <c r="AA1260" s="49" t="str">
        <f t="shared" si="474"/>
        <v/>
      </c>
      <c r="AB1260" s="51">
        <f t="shared" si="481"/>
        <v>46022</v>
      </c>
      <c r="AC1260" s="49" t="str">
        <f t="shared" si="468"/>
        <v/>
      </c>
      <c r="AD1260" s="43">
        <f t="shared" si="482"/>
        <v>46022</v>
      </c>
      <c r="AF1260" s="19" t="str">
        <f t="shared" si="461"/>
        <v/>
      </c>
      <c r="AG1260" s="10"/>
      <c r="AH1260" s="1"/>
      <c r="AI1260" s="1"/>
      <c r="AJ1260" s="1"/>
      <c r="AK1260" s="1"/>
      <c r="AL1260" s="1"/>
    </row>
    <row r="1261" spans="1:38" ht="14.45">
      <c r="A1261" s="156">
        <v>1260</v>
      </c>
      <c r="B1261" s="134">
        <v>46022</v>
      </c>
      <c r="C1261" s="135" t="s">
        <v>2621</v>
      </c>
      <c r="D1261" s="136" t="s">
        <v>253</v>
      </c>
      <c r="E1261" s="136">
        <v>291085.76</v>
      </c>
      <c r="F1261" s="136" t="s">
        <v>2622</v>
      </c>
      <c r="G1261" s="21" t="s">
        <v>35</v>
      </c>
      <c r="H1261" s="23" t="s">
        <v>36</v>
      </c>
      <c r="I1261" s="38" t="s">
        <v>37</v>
      </c>
      <c r="J1261" s="97">
        <f t="shared" si="463"/>
        <v>45922</v>
      </c>
      <c r="L1261" s="19" t="str">
        <f t="shared" si="475"/>
        <v/>
      </c>
      <c r="M1261" s="5">
        <f t="shared" si="464"/>
        <v>45933</v>
      </c>
      <c r="O1261" s="19" t="str">
        <f t="shared" si="476"/>
        <v/>
      </c>
      <c r="P1261" s="5">
        <f t="shared" si="477"/>
        <v>45948</v>
      </c>
      <c r="R1261" s="19" t="str">
        <f t="shared" si="471"/>
        <v/>
      </c>
      <c r="S1261" s="5">
        <f t="shared" si="478"/>
        <v>45953</v>
      </c>
      <c r="T1261" s="4">
        <v>45957</v>
      </c>
      <c r="U1261" s="19">
        <f t="shared" si="472"/>
        <v>-4</v>
      </c>
      <c r="V1261" s="5">
        <f t="shared" si="479"/>
        <v>45992</v>
      </c>
      <c r="W1261" s="6"/>
      <c r="X1261" s="19" t="str">
        <f t="shared" si="473"/>
        <v/>
      </c>
      <c r="Y1261" s="51">
        <f t="shared" si="480"/>
        <v>46020</v>
      </c>
      <c r="Z1261" s="49"/>
      <c r="AA1261" s="49" t="str">
        <f t="shared" si="474"/>
        <v/>
      </c>
      <c r="AB1261" s="51">
        <f t="shared" si="481"/>
        <v>46022</v>
      </c>
      <c r="AC1261" s="49" t="str">
        <f t="shared" si="468"/>
        <v/>
      </c>
      <c r="AD1261" s="43">
        <f t="shared" si="482"/>
        <v>46022</v>
      </c>
      <c r="AF1261" s="19" t="str">
        <f t="shared" si="461"/>
        <v/>
      </c>
      <c r="AG1261" s="10"/>
      <c r="AH1261" s="1"/>
      <c r="AI1261" s="1"/>
      <c r="AJ1261" s="1"/>
      <c r="AK1261" s="1"/>
      <c r="AL1261" s="1"/>
    </row>
    <row r="1262" spans="1:38" ht="14.45">
      <c r="A1262" s="156">
        <v>1261</v>
      </c>
      <c r="B1262" s="134">
        <v>46022</v>
      </c>
      <c r="C1262" s="140" t="s">
        <v>2623</v>
      </c>
      <c r="D1262" s="136" t="s">
        <v>254</v>
      </c>
      <c r="E1262" s="136">
        <v>24125.18</v>
      </c>
      <c r="F1262" s="136" t="s">
        <v>37</v>
      </c>
      <c r="G1262" s="138" t="s">
        <v>120</v>
      </c>
      <c r="H1262" s="23" t="s">
        <v>40</v>
      </c>
      <c r="I1262" s="38" t="s">
        <v>37</v>
      </c>
      <c r="J1262" s="97">
        <f t="shared" si="463"/>
        <v>45922</v>
      </c>
      <c r="K1262" s="4">
        <v>45849</v>
      </c>
      <c r="L1262" s="19">
        <f t="shared" si="475"/>
        <v>73</v>
      </c>
      <c r="M1262" s="5">
        <f t="shared" si="464"/>
        <v>45933</v>
      </c>
      <c r="O1262" s="19" t="str">
        <f t="shared" si="476"/>
        <v/>
      </c>
      <c r="P1262" s="5">
        <f t="shared" si="477"/>
        <v>45948</v>
      </c>
      <c r="R1262" s="19" t="str">
        <f t="shared" si="471"/>
        <v/>
      </c>
      <c r="S1262" s="5">
        <f t="shared" si="478"/>
        <v>45953</v>
      </c>
      <c r="T1262" s="4">
        <v>45951</v>
      </c>
      <c r="U1262" s="19">
        <f t="shared" si="472"/>
        <v>2</v>
      </c>
      <c r="V1262" s="5">
        <f t="shared" si="479"/>
        <v>45992</v>
      </c>
      <c r="W1262" s="6"/>
      <c r="X1262" s="19" t="str">
        <f t="shared" si="473"/>
        <v/>
      </c>
      <c r="Y1262" s="51">
        <f t="shared" si="480"/>
        <v>46020</v>
      </c>
      <c r="Z1262" s="49"/>
      <c r="AA1262" s="49" t="str">
        <f t="shared" si="474"/>
        <v/>
      </c>
      <c r="AB1262" s="51">
        <f t="shared" si="481"/>
        <v>46022</v>
      </c>
      <c r="AC1262" s="49" t="str">
        <f t="shared" si="468"/>
        <v/>
      </c>
      <c r="AD1262" s="43">
        <f t="shared" si="482"/>
        <v>46022</v>
      </c>
      <c r="AF1262" s="19" t="str">
        <f t="shared" si="461"/>
        <v/>
      </c>
      <c r="AG1262" s="10"/>
      <c r="AH1262" s="1"/>
      <c r="AI1262" s="1"/>
      <c r="AJ1262" s="1"/>
      <c r="AK1262" s="1"/>
      <c r="AL1262" s="1"/>
    </row>
    <row r="1263" spans="1:38" ht="14.45">
      <c r="A1263" s="156">
        <v>1262</v>
      </c>
      <c r="B1263" s="134">
        <v>46022</v>
      </c>
      <c r="C1263" s="140" t="s">
        <v>2624</v>
      </c>
      <c r="D1263" s="136" t="s">
        <v>254</v>
      </c>
      <c r="E1263" s="136">
        <v>32887.39</v>
      </c>
      <c r="F1263" s="136" t="s">
        <v>37</v>
      </c>
      <c r="G1263" s="138" t="s">
        <v>120</v>
      </c>
      <c r="H1263" s="23" t="s">
        <v>40</v>
      </c>
      <c r="I1263" s="38" t="s">
        <v>37</v>
      </c>
      <c r="J1263" s="97">
        <f t="shared" si="463"/>
        <v>45922</v>
      </c>
      <c r="K1263" s="4">
        <v>45849</v>
      </c>
      <c r="L1263" s="19">
        <f t="shared" si="475"/>
        <v>73</v>
      </c>
      <c r="M1263" s="5">
        <f t="shared" si="464"/>
        <v>45933</v>
      </c>
      <c r="O1263" s="19" t="str">
        <f t="shared" si="476"/>
        <v/>
      </c>
      <c r="P1263" s="5">
        <f t="shared" si="477"/>
        <v>45948</v>
      </c>
      <c r="R1263" s="19" t="str">
        <f t="shared" si="471"/>
        <v/>
      </c>
      <c r="S1263" s="5">
        <f t="shared" si="478"/>
        <v>45953</v>
      </c>
      <c r="T1263" s="4">
        <v>45951</v>
      </c>
      <c r="U1263" s="19">
        <f t="shared" si="472"/>
        <v>2</v>
      </c>
      <c r="V1263" s="5">
        <f t="shared" si="479"/>
        <v>45992</v>
      </c>
      <c r="W1263" s="6"/>
      <c r="X1263" s="19" t="str">
        <f t="shared" si="473"/>
        <v/>
      </c>
      <c r="Y1263" s="51">
        <f t="shared" si="480"/>
        <v>46020</v>
      </c>
      <c r="Z1263" s="49"/>
      <c r="AA1263" s="49" t="str">
        <f t="shared" si="474"/>
        <v/>
      </c>
      <c r="AB1263" s="51">
        <f t="shared" si="481"/>
        <v>46022</v>
      </c>
      <c r="AC1263" s="49" t="str">
        <f t="shared" si="468"/>
        <v/>
      </c>
      <c r="AD1263" s="43">
        <f t="shared" si="482"/>
        <v>46022</v>
      </c>
      <c r="AF1263" s="19" t="str">
        <f t="shared" si="461"/>
        <v/>
      </c>
      <c r="AG1263" s="10"/>
      <c r="AH1263" s="1"/>
      <c r="AI1263" s="1"/>
      <c r="AJ1263" s="1"/>
      <c r="AK1263" s="1"/>
      <c r="AL1263" s="1"/>
    </row>
    <row r="1264" spans="1:38" ht="14.45">
      <c r="A1264" s="156">
        <v>1263</v>
      </c>
      <c r="B1264" s="134">
        <v>46022</v>
      </c>
      <c r="C1264" s="140" t="s">
        <v>2625</v>
      </c>
      <c r="D1264" s="136" t="s">
        <v>254</v>
      </c>
      <c r="E1264" s="136">
        <v>26315.25</v>
      </c>
      <c r="F1264" s="136" t="s">
        <v>37</v>
      </c>
      <c r="G1264" s="138" t="s">
        <v>120</v>
      </c>
      <c r="H1264" s="23" t="s">
        <v>40</v>
      </c>
      <c r="I1264" s="38" t="s">
        <v>37</v>
      </c>
      <c r="J1264" s="97">
        <f t="shared" si="463"/>
        <v>45922</v>
      </c>
      <c r="K1264" s="4">
        <v>45849</v>
      </c>
      <c r="L1264" s="19">
        <f t="shared" si="475"/>
        <v>73</v>
      </c>
      <c r="M1264" s="5">
        <f t="shared" si="464"/>
        <v>45933</v>
      </c>
      <c r="O1264" s="19" t="str">
        <f t="shared" si="476"/>
        <v/>
      </c>
      <c r="P1264" s="5">
        <f t="shared" si="477"/>
        <v>45948</v>
      </c>
      <c r="R1264" s="19" t="str">
        <f t="shared" si="471"/>
        <v/>
      </c>
      <c r="S1264" s="5">
        <f t="shared" si="478"/>
        <v>45953</v>
      </c>
      <c r="T1264" s="4">
        <v>45951</v>
      </c>
      <c r="U1264" s="19">
        <f t="shared" si="472"/>
        <v>2</v>
      </c>
      <c r="V1264" s="5">
        <f t="shared" si="479"/>
        <v>45992</v>
      </c>
      <c r="W1264" s="6"/>
      <c r="X1264" s="19" t="str">
        <f t="shared" si="473"/>
        <v/>
      </c>
      <c r="Y1264" s="51">
        <f t="shared" si="480"/>
        <v>46020</v>
      </c>
      <c r="Z1264" s="49"/>
      <c r="AA1264" s="49" t="str">
        <f t="shared" si="474"/>
        <v/>
      </c>
      <c r="AB1264" s="51">
        <f t="shared" si="481"/>
        <v>46022</v>
      </c>
      <c r="AC1264" s="49" t="str">
        <f t="shared" si="468"/>
        <v/>
      </c>
      <c r="AD1264" s="43">
        <f t="shared" si="482"/>
        <v>46022</v>
      </c>
      <c r="AF1264" s="19" t="str">
        <f t="shared" si="461"/>
        <v/>
      </c>
      <c r="AG1264" s="10"/>
      <c r="AH1264" s="1"/>
      <c r="AI1264" s="1"/>
      <c r="AJ1264" s="1"/>
      <c r="AK1264" s="1"/>
      <c r="AL1264" s="1"/>
    </row>
    <row r="1265" spans="1:38" ht="14.45">
      <c r="A1265" s="156">
        <v>1264</v>
      </c>
      <c r="B1265" s="134">
        <v>46022</v>
      </c>
      <c r="C1265" s="140" t="s">
        <v>2626</v>
      </c>
      <c r="D1265" s="136" t="s">
        <v>254</v>
      </c>
      <c r="E1265" s="136">
        <v>26672.02</v>
      </c>
      <c r="F1265" s="136" t="s">
        <v>37</v>
      </c>
      <c r="G1265" s="138" t="s">
        <v>120</v>
      </c>
      <c r="H1265" s="23" t="s">
        <v>40</v>
      </c>
      <c r="I1265" s="38" t="s">
        <v>37</v>
      </c>
      <c r="J1265" s="97">
        <f t="shared" si="463"/>
        <v>45922</v>
      </c>
      <c r="K1265" s="4">
        <v>45849</v>
      </c>
      <c r="L1265" s="19">
        <f t="shared" si="475"/>
        <v>73</v>
      </c>
      <c r="M1265" s="5">
        <f t="shared" si="464"/>
        <v>45933</v>
      </c>
      <c r="O1265" s="19" t="str">
        <f t="shared" si="476"/>
        <v/>
      </c>
      <c r="P1265" s="5">
        <f t="shared" si="477"/>
        <v>45948</v>
      </c>
      <c r="R1265" s="19" t="str">
        <f t="shared" si="471"/>
        <v/>
      </c>
      <c r="S1265" s="5">
        <f t="shared" si="478"/>
        <v>45953</v>
      </c>
      <c r="T1265" s="4">
        <v>45951</v>
      </c>
      <c r="U1265" s="19">
        <f t="shared" si="472"/>
        <v>2</v>
      </c>
      <c r="V1265" s="5">
        <f t="shared" si="479"/>
        <v>45992</v>
      </c>
      <c r="W1265" s="6"/>
      <c r="X1265" s="19" t="str">
        <f t="shared" si="473"/>
        <v/>
      </c>
      <c r="Y1265" s="51">
        <f t="shared" si="480"/>
        <v>46020</v>
      </c>
      <c r="Z1265" s="49"/>
      <c r="AA1265" s="49" t="str">
        <f t="shared" si="474"/>
        <v/>
      </c>
      <c r="AB1265" s="51">
        <f t="shared" si="481"/>
        <v>46022</v>
      </c>
      <c r="AC1265" s="49" t="str">
        <f t="shared" si="468"/>
        <v/>
      </c>
      <c r="AD1265" s="43">
        <f t="shared" si="482"/>
        <v>46022</v>
      </c>
      <c r="AF1265" s="19" t="str">
        <f t="shared" si="461"/>
        <v/>
      </c>
      <c r="AG1265" s="10"/>
      <c r="AH1265" s="1"/>
      <c r="AI1265" s="1"/>
      <c r="AJ1265" s="1"/>
      <c r="AK1265" s="1"/>
      <c r="AL1265" s="1"/>
    </row>
    <row r="1266" spans="1:38" ht="14.45">
      <c r="A1266" s="156">
        <v>1265</v>
      </c>
      <c r="B1266" s="134">
        <v>46022</v>
      </c>
      <c r="C1266" s="140" t="s">
        <v>2627</v>
      </c>
      <c r="D1266" s="136" t="s">
        <v>254</v>
      </c>
      <c r="E1266" s="136">
        <v>430.31</v>
      </c>
      <c r="F1266" s="136" t="s">
        <v>37</v>
      </c>
      <c r="G1266" s="138" t="s">
        <v>120</v>
      </c>
      <c r="H1266" s="23" t="s">
        <v>40</v>
      </c>
      <c r="I1266" s="38" t="s">
        <v>272</v>
      </c>
      <c r="J1266" s="97">
        <f t="shared" si="463"/>
        <v>45922</v>
      </c>
      <c r="K1266" s="4">
        <v>45849</v>
      </c>
      <c r="L1266" s="19">
        <f t="shared" si="475"/>
        <v>73</v>
      </c>
      <c r="M1266" s="5">
        <f t="shared" si="464"/>
        <v>45933</v>
      </c>
      <c r="O1266" s="19" t="str">
        <f t="shared" si="476"/>
        <v/>
      </c>
      <c r="P1266" s="5">
        <f t="shared" si="477"/>
        <v>45948</v>
      </c>
      <c r="R1266" s="19" t="str">
        <f t="shared" si="471"/>
        <v/>
      </c>
      <c r="S1266" s="5">
        <f t="shared" si="478"/>
        <v>45953</v>
      </c>
      <c r="T1266" s="4">
        <v>45951</v>
      </c>
      <c r="U1266" s="19">
        <f t="shared" si="472"/>
        <v>2</v>
      </c>
      <c r="V1266" s="5">
        <f t="shared" si="479"/>
        <v>45992</v>
      </c>
      <c r="W1266" s="6"/>
      <c r="X1266" s="19" t="str">
        <f t="shared" si="473"/>
        <v/>
      </c>
      <c r="Y1266" s="51">
        <f t="shared" si="480"/>
        <v>46020</v>
      </c>
      <c r="Z1266" s="49"/>
      <c r="AA1266" s="49" t="str">
        <f t="shared" si="474"/>
        <v/>
      </c>
      <c r="AB1266" s="51">
        <f t="shared" si="481"/>
        <v>46022</v>
      </c>
      <c r="AC1266" s="49" t="str">
        <f t="shared" si="468"/>
        <v/>
      </c>
      <c r="AD1266" s="43">
        <f t="shared" si="482"/>
        <v>46022</v>
      </c>
      <c r="AF1266" s="19" t="str">
        <f t="shared" si="461"/>
        <v/>
      </c>
      <c r="AG1266" s="10"/>
      <c r="AH1266" s="1"/>
      <c r="AI1266" s="1"/>
      <c r="AJ1266" s="1"/>
      <c r="AK1266" s="1"/>
      <c r="AL1266" s="1"/>
    </row>
    <row r="1267" spans="1:38" ht="14.45">
      <c r="A1267" s="156">
        <v>1266</v>
      </c>
      <c r="B1267" s="134">
        <v>46022</v>
      </c>
      <c r="C1267" s="140" t="s">
        <v>2628</v>
      </c>
      <c r="D1267" s="136" t="s">
        <v>254</v>
      </c>
      <c r="E1267" s="136">
        <v>430.31</v>
      </c>
      <c r="F1267" s="136" t="s">
        <v>37</v>
      </c>
      <c r="G1267" s="138" t="s">
        <v>120</v>
      </c>
      <c r="H1267" s="23" t="s">
        <v>40</v>
      </c>
      <c r="I1267" s="38" t="s">
        <v>272</v>
      </c>
      <c r="J1267" s="97">
        <f t="shared" si="463"/>
        <v>45922</v>
      </c>
      <c r="K1267" s="4">
        <v>45849</v>
      </c>
      <c r="L1267" s="19">
        <f t="shared" si="475"/>
        <v>73</v>
      </c>
      <c r="M1267" s="5">
        <f t="shared" si="464"/>
        <v>45933</v>
      </c>
      <c r="O1267" s="19" t="str">
        <f t="shared" si="476"/>
        <v/>
      </c>
      <c r="P1267" s="5">
        <f t="shared" si="477"/>
        <v>45948</v>
      </c>
      <c r="R1267" s="19" t="str">
        <f t="shared" si="471"/>
        <v/>
      </c>
      <c r="S1267" s="5">
        <f t="shared" si="478"/>
        <v>45953</v>
      </c>
      <c r="T1267" s="4">
        <v>45951</v>
      </c>
      <c r="U1267" s="19">
        <f t="shared" si="472"/>
        <v>2</v>
      </c>
      <c r="V1267" s="5">
        <f t="shared" si="479"/>
        <v>45992</v>
      </c>
      <c r="W1267" s="6"/>
      <c r="X1267" s="19" t="str">
        <f t="shared" si="473"/>
        <v/>
      </c>
      <c r="Y1267" s="51">
        <f t="shared" si="480"/>
        <v>46020</v>
      </c>
      <c r="Z1267" s="49"/>
      <c r="AA1267" s="49" t="str">
        <f t="shared" si="474"/>
        <v/>
      </c>
      <c r="AB1267" s="51">
        <f t="shared" si="481"/>
        <v>46022</v>
      </c>
      <c r="AC1267" s="49" t="str">
        <f t="shared" si="468"/>
        <v/>
      </c>
      <c r="AD1267" s="43">
        <f t="shared" si="482"/>
        <v>46022</v>
      </c>
      <c r="AF1267" s="19" t="str">
        <f t="shared" si="461"/>
        <v/>
      </c>
      <c r="AG1267" s="10"/>
      <c r="AH1267" s="1"/>
      <c r="AI1267" s="1"/>
      <c r="AJ1267" s="1"/>
      <c r="AK1267" s="1"/>
      <c r="AL1267" s="1"/>
    </row>
    <row r="1268" spans="1:38" ht="14.45">
      <c r="A1268" s="156">
        <v>1267</v>
      </c>
      <c r="B1268" s="134">
        <v>46022</v>
      </c>
      <c r="C1268" s="140" t="s">
        <v>2629</v>
      </c>
      <c r="D1268" s="136" t="s">
        <v>254</v>
      </c>
      <c r="E1268" s="136">
        <v>430.31</v>
      </c>
      <c r="F1268" s="136" t="s">
        <v>37</v>
      </c>
      <c r="G1268" s="138" t="s">
        <v>120</v>
      </c>
      <c r="H1268" s="23" t="s">
        <v>40</v>
      </c>
      <c r="I1268" s="38" t="s">
        <v>272</v>
      </c>
      <c r="J1268" s="97">
        <f t="shared" si="463"/>
        <v>45922</v>
      </c>
      <c r="K1268" s="4">
        <v>45849</v>
      </c>
      <c r="L1268" s="19">
        <f t="shared" si="475"/>
        <v>73</v>
      </c>
      <c r="M1268" s="5">
        <f t="shared" si="464"/>
        <v>45933</v>
      </c>
      <c r="O1268" s="19" t="str">
        <f t="shared" si="476"/>
        <v/>
      </c>
      <c r="P1268" s="5">
        <f t="shared" si="477"/>
        <v>45948</v>
      </c>
      <c r="R1268" s="19" t="str">
        <f t="shared" si="471"/>
        <v/>
      </c>
      <c r="S1268" s="5">
        <f t="shared" si="478"/>
        <v>45953</v>
      </c>
      <c r="T1268" s="4">
        <v>45951</v>
      </c>
      <c r="U1268" s="19">
        <f t="shared" si="472"/>
        <v>2</v>
      </c>
      <c r="V1268" s="5">
        <f t="shared" si="479"/>
        <v>45992</v>
      </c>
      <c r="W1268" s="6"/>
      <c r="X1268" s="19" t="str">
        <f t="shared" si="473"/>
        <v/>
      </c>
      <c r="Y1268" s="51">
        <f t="shared" si="480"/>
        <v>46020</v>
      </c>
      <c r="Z1268" s="49"/>
      <c r="AA1268" s="49" t="str">
        <f t="shared" si="474"/>
        <v/>
      </c>
      <c r="AB1268" s="51">
        <f t="shared" si="481"/>
        <v>46022</v>
      </c>
      <c r="AC1268" s="49" t="str">
        <f t="shared" si="468"/>
        <v/>
      </c>
      <c r="AD1268" s="43">
        <f t="shared" si="482"/>
        <v>46022</v>
      </c>
      <c r="AF1268" s="19" t="str">
        <f t="shared" si="461"/>
        <v/>
      </c>
      <c r="AG1268" s="10"/>
      <c r="AH1268" s="1"/>
      <c r="AI1268" s="1"/>
      <c r="AJ1268" s="1"/>
      <c r="AK1268" s="1"/>
      <c r="AL1268" s="1"/>
    </row>
    <row r="1269" spans="1:38" ht="14.45">
      <c r="A1269" s="156">
        <v>1268</v>
      </c>
      <c r="B1269" s="134">
        <v>46022</v>
      </c>
      <c r="C1269" s="140" t="s">
        <v>2630</v>
      </c>
      <c r="D1269" s="136" t="s">
        <v>254</v>
      </c>
      <c r="E1269" s="136">
        <v>430.31</v>
      </c>
      <c r="F1269" s="136" t="s">
        <v>37</v>
      </c>
      <c r="G1269" s="138" t="s">
        <v>120</v>
      </c>
      <c r="H1269" s="23" t="s">
        <v>40</v>
      </c>
      <c r="I1269" s="38" t="s">
        <v>272</v>
      </c>
      <c r="J1269" s="97">
        <f t="shared" si="463"/>
        <v>45922</v>
      </c>
      <c r="K1269" s="4">
        <v>45849</v>
      </c>
      <c r="L1269" s="19">
        <f t="shared" si="475"/>
        <v>73</v>
      </c>
      <c r="M1269" s="5">
        <f t="shared" si="464"/>
        <v>45933</v>
      </c>
      <c r="N1269" s="4">
        <v>45909</v>
      </c>
      <c r="O1269" s="19">
        <f>IF(OR(M1174="", N1269=""), "", M1174-N1269)</f>
        <v>-4</v>
      </c>
      <c r="P1269" s="5">
        <f>B1174-74</f>
        <v>45920</v>
      </c>
      <c r="R1269" s="19" t="str">
        <f>IF(OR(P1269="", Q1269=""), "", P1269-Q1269)</f>
        <v/>
      </c>
      <c r="S1269" s="5">
        <f>B1174-69</f>
        <v>45925</v>
      </c>
      <c r="T1269" s="4">
        <v>45932</v>
      </c>
      <c r="U1269" s="19">
        <f>IF(OR(S1269="", T1269=""), "", S1269-T1269)</f>
        <v>-7</v>
      </c>
      <c r="V1269" s="5">
        <f>B1174-30</f>
        <v>45964</v>
      </c>
      <c r="W1269" s="6"/>
      <c r="X1269" s="19" t="str">
        <f>IF(OR(V1269="", W1269=""), "", V1269-W1269)</f>
        <v/>
      </c>
      <c r="Y1269" s="51">
        <f>B1174-2</f>
        <v>45992</v>
      </c>
      <c r="Z1269" s="49"/>
      <c r="AA1269" s="49" t="str">
        <f>IF(OR(Y1269="", Z1269=""), "", Y1269-Z1269)</f>
        <v/>
      </c>
      <c r="AB1269" s="51">
        <f>IF(B1270&lt;&gt;"", B1270, "")</f>
        <v>46022</v>
      </c>
      <c r="AC1269" s="49" t="str">
        <f>IF(OR(AB1269="", Z1269=""), "", AB1269-Z1269)</f>
        <v/>
      </c>
      <c r="AD1269" s="43">
        <f>IF(B1174&lt;&gt;"", B1174, "")</f>
        <v>45994</v>
      </c>
      <c r="AF1269" s="19" t="str">
        <f>IF(OR(AD1269="", AE1269=""), "", AD1269-AE1269)</f>
        <v/>
      </c>
      <c r="AG1269" s="10"/>
      <c r="AH1269" s="1"/>
      <c r="AI1269" s="1"/>
      <c r="AJ1269" s="1"/>
      <c r="AK1269" s="1"/>
      <c r="AL1269" s="1"/>
    </row>
    <row r="1270" spans="1:38" ht="15" customHeight="1">
      <c r="A1270" s="156">
        <v>1269</v>
      </c>
      <c r="B1270" s="134">
        <v>46022</v>
      </c>
      <c r="C1270" s="140" t="s">
        <v>1446</v>
      </c>
      <c r="D1270" s="136" t="s">
        <v>1447</v>
      </c>
      <c r="E1270" s="136">
        <v>159550.43</v>
      </c>
      <c r="F1270" s="136" t="s">
        <v>1448</v>
      </c>
      <c r="G1270" s="138" t="s">
        <v>120</v>
      </c>
      <c r="H1270" s="23" t="s">
        <v>36</v>
      </c>
      <c r="I1270" s="38" t="s">
        <v>52</v>
      </c>
      <c r="J1270" s="97">
        <f>B1270-100</f>
        <v>45922</v>
      </c>
      <c r="K1270" s="4">
        <v>45964</v>
      </c>
      <c r="L1270" s="19">
        <f>IF(OR(J1270="", K1270=""), "", J1270-K1270)</f>
        <v>-42</v>
      </c>
      <c r="M1270" s="5">
        <f>B1270-89</f>
        <v>45933</v>
      </c>
      <c r="O1270" s="19" t="str">
        <f>IF(OR(M1175="", N1270=""), "", M1175-N1270)</f>
        <v/>
      </c>
      <c r="P1270" s="5">
        <f>B1175-74</f>
        <v>45918</v>
      </c>
      <c r="R1270" s="19" t="str">
        <f>IF(OR(P1270="", Q1270=""), "", P1270-Q1270)</f>
        <v/>
      </c>
      <c r="S1270" s="5">
        <f>B1175-69</f>
        <v>45923</v>
      </c>
      <c r="U1270" s="19" t="str">
        <f>IF(OR(S1270="", T1270=""), "", S1270-T1270)</f>
        <v/>
      </c>
      <c r="V1270" s="5">
        <f>B1175-30</f>
        <v>45962</v>
      </c>
      <c r="W1270" s="6"/>
      <c r="X1270" s="19" t="str">
        <f>IF(OR(V1270="", W1270=""), "", V1270-W1270)</f>
        <v/>
      </c>
      <c r="Y1270" s="51">
        <f>B1175-2</f>
        <v>45990</v>
      </c>
      <c r="Z1270" s="49"/>
      <c r="AA1270" s="49" t="str">
        <f>IF(OR(Y1270="", Z1270=""), "", Y1270-Z1270)</f>
        <v/>
      </c>
      <c r="AB1270" s="51">
        <f>IF(B1271&lt;&gt;"", B1271, "")</f>
        <v>46022</v>
      </c>
      <c r="AC1270" s="49" t="str">
        <f>IF(OR(AB1270="", Z1270=""), "", AB1270-Z1270)</f>
        <v/>
      </c>
      <c r="AD1270" s="43">
        <f>IF(B1175&lt;&gt;"", B1175, "")</f>
        <v>45992</v>
      </c>
      <c r="AF1270" s="19" t="str">
        <f>IF(OR(AD1270="", AE1270=""), "", AD1270-AE1270)</f>
        <v/>
      </c>
      <c r="AG1270" s="10"/>
      <c r="AH1270" s="1"/>
      <c r="AI1270" s="1"/>
      <c r="AJ1270" s="1"/>
      <c r="AK1270" s="1"/>
      <c r="AL1270" s="1"/>
    </row>
    <row r="1271" spans="1:38" ht="15" customHeight="1">
      <c r="A1271" s="156">
        <v>1270</v>
      </c>
      <c r="B1271" s="134">
        <v>46022</v>
      </c>
      <c r="C1271" s="140" t="s">
        <v>1449</v>
      </c>
      <c r="D1271" s="136" t="s">
        <v>1447</v>
      </c>
      <c r="E1271" s="136">
        <v>288294.09000000003</v>
      </c>
      <c r="F1271" s="136" t="s">
        <v>1450</v>
      </c>
      <c r="G1271" s="138" t="s">
        <v>120</v>
      </c>
      <c r="H1271" s="23" t="s">
        <v>36</v>
      </c>
      <c r="I1271" s="38" t="s">
        <v>52</v>
      </c>
      <c r="J1271" s="97">
        <f>B1271-100</f>
        <v>45922</v>
      </c>
      <c r="K1271" s="4">
        <v>45964</v>
      </c>
      <c r="L1271" s="19">
        <f>IF(OR(J1271="", K1271=""), "", J1271-K1271)</f>
        <v>-42</v>
      </c>
      <c r="M1271" s="5">
        <f>B1271-89</f>
        <v>45933</v>
      </c>
      <c r="O1271" s="19" t="str">
        <f>IF(OR(M1176="", N1271=""), "", M1176-N1271)</f>
        <v/>
      </c>
      <c r="P1271" s="5">
        <f>B1176-74</f>
        <v>45918</v>
      </c>
      <c r="R1271" s="19" t="str">
        <f>IF(OR(P1271="", Q1271=""), "", P1271-Q1271)</f>
        <v/>
      </c>
      <c r="S1271" s="5">
        <f>B1176-69</f>
        <v>45923</v>
      </c>
      <c r="U1271" s="19" t="str">
        <f>IF(OR(S1271="", T1271=""), "", S1271-T1271)</f>
        <v/>
      </c>
      <c r="V1271" s="5">
        <f>B1176-30</f>
        <v>45962</v>
      </c>
      <c r="W1271" s="6"/>
      <c r="X1271" s="19" t="str">
        <f>IF(OR(V1271="", W1271=""), "", V1271-W1271)</f>
        <v/>
      </c>
      <c r="Y1271" s="51">
        <f>B1176-2</f>
        <v>45990</v>
      </c>
      <c r="Z1271" s="49"/>
      <c r="AA1271" s="49" t="str">
        <f>IF(OR(Y1271="", Z1271=""), "", Y1271-Z1271)</f>
        <v/>
      </c>
      <c r="AB1271" s="51">
        <f>IF(B1272&lt;&gt;"", B1272, "")</f>
        <v>46023</v>
      </c>
      <c r="AC1271" s="49" t="str">
        <f>IF(OR(AB1271="", Z1271=""), "", AB1271-Z1271)</f>
        <v/>
      </c>
      <c r="AD1271" s="43">
        <f>IF(B1176&lt;&gt;"", B1176, "")</f>
        <v>45992</v>
      </c>
      <c r="AF1271" s="19" t="str">
        <f>IF(OR(AD1271="", AE1271=""), "", AD1271-AE1271)</f>
        <v/>
      </c>
      <c r="AG1271" s="10"/>
      <c r="AH1271" s="1"/>
      <c r="AI1271" s="1"/>
      <c r="AJ1271" s="1"/>
      <c r="AK1271" s="1"/>
      <c r="AL1271" s="1"/>
    </row>
    <row r="1272" spans="1:38" ht="15" customHeight="1">
      <c r="A1272" s="156">
        <v>1271</v>
      </c>
      <c r="B1272" s="134">
        <v>46023</v>
      </c>
      <c r="C1272" s="140" t="s">
        <v>2631</v>
      </c>
      <c r="D1272" s="136" t="s">
        <v>257</v>
      </c>
      <c r="E1272" s="136">
        <v>24001.17</v>
      </c>
      <c r="F1272" s="136" t="s">
        <v>37</v>
      </c>
      <c r="G1272" s="138" t="s">
        <v>35</v>
      </c>
      <c r="H1272" s="23" t="s">
        <v>36</v>
      </c>
      <c r="I1272" s="38" t="s">
        <v>37</v>
      </c>
      <c r="J1272" s="97">
        <f>B1272-100</f>
        <v>45923</v>
      </c>
      <c r="K1272" s="4">
        <v>45964</v>
      </c>
      <c r="L1272" s="19">
        <f>IF(OR(J1272="", K1272=""), "", J1272-K1272)</f>
        <v>-41</v>
      </c>
      <c r="M1272" s="5">
        <f>B1272-89</f>
        <v>45934</v>
      </c>
      <c r="O1272" s="19" t="str">
        <f>IF(OR(M1177="", N1272=""), "", M1177-N1272)</f>
        <v/>
      </c>
      <c r="P1272" s="5">
        <f>B1177-74</f>
        <v>45918</v>
      </c>
      <c r="R1272" s="19" t="str">
        <f>IF(OR(P1272="", Q1272=""), "", P1272-Q1272)</f>
        <v/>
      </c>
      <c r="S1272" s="5">
        <f>B1177-69</f>
        <v>45923</v>
      </c>
      <c r="U1272" s="19" t="str">
        <f>IF(OR(S1272="", T1272=""), "", S1272-T1272)</f>
        <v/>
      </c>
      <c r="V1272" s="5">
        <f>B1177-30</f>
        <v>45962</v>
      </c>
      <c r="W1272" s="6"/>
      <c r="X1272" s="19" t="str">
        <f>IF(OR(V1272="", W1272=""), "", V1272-W1272)</f>
        <v/>
      </c>
      <c r="Y1272" s="51">
        <f>B1177-2</f>
        <v>45990</v>
      </c>
      <c r="Z1272" s="49"/>
      <c r="AA1272" s="49" t="str">
        <f>IF(OR(Y1272="", Z1272=""), "", Y1272-Z1272)</f>
        <v/>
      </c>
      <c r="AB1272" s="51">
        <f>IF(B1273&lt;&gt;"", B1273, "")</f>
        <v>46023</v>
      </c>
      <c r="AC1272" s="49" t="str">
        <f>IF(OR(AB1272="", Z1272=""), "", AB1272-Z1272)</f>
        <v/>
      </c>
      <c r="AD1272" s="43">
        <f>IF(B1177&lt;&gt;"", B1177, "")</f>
        <v>45992</v>
      </c>
      <c r="AF1272" s="19" t="str">
        <f>IF(OR(AD1272="", AE1272=""), "", AD1272-AE1272)</f>
        <v/>
      </c>
      <c r="AG1272" s="10"/>
      <c r="AH1272" s="1"/>
      <c r="AI1272" s="1"/>
      <c r="AJ1272" s="1"/>
      <c r="AK1272" s="1"/>
      <c r="AL1272" s="1"/>
    </row>
    <row r="1273" spans="1:38" ht="15" customHeight="1">
      <c r="A1273" s="156">
        <v>1272</v>
      </c>
      <c r="B1273" s="134">
        <v>46023</v>
      </c>
      <c r="C1273" s="140">
        <v>111850827</v>
      </c>
      <c r="D1273" s="136" t="s">
        <v>343</v>
      </c>
      <c r="E1273" s="136">
        <v>5115.47</v>
      </c>
      <c r="F1273" s="136" t="s">
        <v>2632</v>
      </c>
      <c r="G1273" s="138" t="s">
        <v>35</v>
      </c>
      <c r="H1273" s="23" t="s">
        <v>36</v>
      </c>
      <c r="I1273" s="38" t="s">
        <v>93</v>
      </c>
      <c r="J1273" s="97">
        <f>B1273-100</f>
        <v>45923</v>
      </c>
      <c r="K1273" s="4">
        <v>45964</v>
      </c>
      <c r="L1273" s="19">
        <f>IF(OR(J1273="", K1273=""), "", J1273-K1273)</f>
        <v>-41</v>
      </c>
      <c r="M1273" s="5">
        <f>B1273-89</f>
        <v>45934</v>
      </c>
      <c r="O1273" s="19" t="str">
        <f>IF(OR(M1178="", N1273=""), "", M1178-N1273)</f>
        <v/>
      </c>
      <c r="P1273" s="5">
        <f>B1178-74</f>
        <v>45918</v>
      </c>
      <c r="R1273" s="19" t="str">
        <f>IF(OR(P1273="", Q1273=""), "", P1273-Q1273)</f>
        <v/>
      </c>
      <c r="S1273" s="5">
        <f>B1178-69</f>
        <v>45923</v>
      </c>
      <c r="U1273" s="19" t="str">
        <f>IF(OR(S1273="", T1273=""), "", S1273-T1273)</f>
        <v/>
      </c>
      <c r="V1273" s="5">
        <f>B1178-30</f>
        <v>45962</v>
      </c>
      <c r="W1273" s="6"/>
      <c r="X1273" s="19" t="str">
        <f>IF(OR(V1273="", W1273=""), "", V1273-W1273)</f>
        <v/>
      </c>
      <c r="Y1273" s="51">
        <f>B1178-2</f>
        <v>45990</v>
      </c>
      <c r="Z1273" s="49"/>
      <c r="AA1273" s="49" t="str">
        <f>IF(OR(Y1273="", Z1273=""), "", Y1273-Z1273)</f>
        <v/>
      </c>
      <c r="AB1273" s="51">
        <f>IF(B1274&lt;&gt;"", B1274, "")</f>
        <v>46023</v>
      </c>
      <c r="AC1273" s="49" t="str">
        <f>IF(OR(AB1273="", Z1273=""), "", AB1273-Z1273)</f>
        <v/>
      </c>
      <c r="AD1273" s="43">
        <f>IF(B1178&lt;&gt;"", B1178, "")</f>
        <v>45992</v>
      </c>
      <c r="AF1273" s="19" t="str">
        <f>IF(OR(AD1273="", AE1273=""), "", AD1273-AE1273)</f>
        <v/>
      </c>
      <c r="AG1273" s="10"/>
      <c r="AH1273" s="1"/>
      <c r="AI1273" s="1"/>
      <c r="AJ1273" s="1"/>
      <c r="AK1273" s="1"/>
      <c r="AL1273" s="1"/>
    </row>
    <row r="1274" spans="1:38" ht="15" customHeight="1">
      <c r="A1274" s="156">
        <v>1273</v>
      </c>
      <c r="B1274" s="134">
        <v>46023</v>
      </c>
      <c r="C1274" s="140" t="s">
        <v>2633</v>
      </c>
      <c r="D1274" s="136" t="s">
        <v>38</v>
      </c>
      <c r="E1274" s="136">
        <v>1465.82</v>
      </c>
      <c r="F1274" s="136" t="s">
        <v>898</v>
      </c>
      <c r="G1274" s="138" t="s">
        <v>190</v>
      </c>
      <c r="H1274" s="23" t="s">
        <v>40</v>
      </c>
      <c r="I1274" s="38" t="s">
        <v>41</v>
      </c>
      <c r="J1274" s="97">
        <f>B1274-100</f>
        <v>45923</v>
      </c>
      <c r="K1274" s="4">
        <v>45964</v>
      </c>
      <c r="L1274" s="19">
        <f>IF(OR(J1274="", K1274=""), "", J1274-K1274)</f>
        <v>-41</v>
      </c>
      <c r="M1274" s="5">
        <f>B1274-89</f>
        <v>45934</v>
      </c>
      <c r="O1274" s="19" t="str">
        <f>IF(OR(M1179="", N1274=""), "", M1179-N1274)</f>
        <v/>
      </c>
      <c r="P1274" s="5">
        <f>B1179-74</f>
        <v>45918</v>
      </c>
      <c r="R1274" s="19" t="str">
        <f>IF(OR(P1274="", Q1274=""), "", P1274-Q1274)</f>
        <v/>
      </c>
      <c r="S1274" s="5">
        <f>B1179-69</f>
        <v>45923</v>
      </c>
      <c r="U1274" s="19" t="str">
        <f>IF(OR(S1274="", T1274=""), "", S1274-T1274)</f>
        <v/>
      </c>
      <c r="V1274" s="5">
        <f>B1179-30</f>
        <v>45962</v>
      </c>
      <c r="W1274" s="6"/>
      <c r="X1274" s="19" t="str">
        <f>IF(OR(V1274="", W1274=""), "", V1274-W1274)</f>
        <v/>
      </c>
      <c r="Y1274" s="51">
        <f>B1179-2</f>
        <v>45990</v>
      </c>
      <c r="Z1274" s="49"/>
      <c r="AA1274" s="49" t="str">
        <f>IF(OR(Y1274="", Z1274=""), "", Y1274-Z1274)</f>
        <v/>
      </c>
      <c r="AB1274" s="51">
        <f>IF(B1275&lt;&gt;"", B1275, "")</f>
        <v>46023</v>
      </c>
      <c r="AC1274" s="49" t="str">
        <f>IF(OR(AB1274="", Z1274=""), "", AB1274-Z1274)</f>
        <v/>
      </c>
      <c r="AD1274" s="43">
        <f>IF(B1179&lt;&gt;"", B1179, "")</f>
        <v>45992</v>
      </c>
      <c r="AF1274" s="19" t="str">
        <f>IF(OR(AD1274="", AE1274=""), "", AD1274-AE1274)</f>
        <v/>
      </c>
      <c r="AG1274" s="10"/>
      <c r="AH1274" s="1"/>
      <c r="AI1274" s="1"/>
      <c r="AJ1274" s="1"/>
      <c r="AK1274" s="1"/>
      <c r="AL1274" s="1"/>
    </row>
    <row r="1275" spans="1:38" ht="15" customHeight="1">
      <c r="A1275" s="156">
        <v>1274</v>
      </c>
      <c r="B1275" s="134">
        <v>46023</v>
      </c>
      <c r="C1275" s="140" t="s">
        <v>2634</v>
      </c>
      <c r="D1275" s="136" t="s">
        <v>38</v>
      </c>
      <c r="E1275" s="136">
        <v>129.12</v>
      </c>
      <c r="F1275" s="136" t="s">
        <v>493</v>
      </c>
      <c r="G1275" s="138" t="s">
        <v>190</v>
      </c>
      <c r="H1275" s="23" t="s">
        <v>40</v>
      </c>
      <c r="I1275" s="38" t="s">
        <v>41</v>
      </c>
      <c r="J1275" s="97">
        <f>B1275-100</f>
        <v>45923</v>
      </c>
      <c r="K1275" s="4">
        <v>45964</v>
      </c>
      <c r="L1275" s="19">
        <f>IF(OR(J1275="", K1275=""), "", J1275-K1275)</f>
        <v>-41</v>
      </c>
      <c r="M1275" s="5">
        <f>B1275-89</f>
        <v>45934</v>
      </c>
      <c r="O1275" s="19" t="str">
        <f>IF(OR(M1180="", N1275=""), "", M1180-N1275)</f>
        <v/>
      </c>
      <c r="P1275" s="5">
        <f>B1180-74</f>
        <v>45919</v>
      </c>
      <c r="R1275" s="19" t="str">
        <f>IF(OR(P1275="", Q1275=""), "", P1275-Q1275)</f>
        <v/>
      </c>
      <c r="S1275" s="5">
        <f>B1180-69</f>
        <v>45924</v>
      </c>
      <c r="U1275" s="19" t="str">
        <f>IF(OR(S1275="", T1275=""), "", S1275-T1275)</f>
        <v/>
      </c>
      <c r="V1275" s="5">
        <f>B1180-30</f>
        <v>45963</v>
      </c>
      <c r="W1275" s="6"/>
      <c r="X1275" s="19" t="str">
        <f>IF(OR(V1275="", W1275=""), "", V1275-W1275)</f>
        <v/>
      </c>
      <c r="Y1275" s="51">
        <f>B1180-2</f>
        <v>45991</v>
      </c>
      <c r="Z1275" s="49"/>
      <c r="AA1275" s="49" t="str">
        <f>IF(OR(Y1275="", Z1275=""), "", Y1275-Z1275)</f>
        <v/>
      </c>
      <c r="AB1275" s="51">
        <f>IF(B1276&lt;&gt;"", B1276, "")</f>
        <v>46023</v>
      </c>
      <c r="AC1275" s="49" t="str">
        <f>IF(OR(AB1275="", Z1275=""), "", AB1275-Z1275)</f>
        <v/>
      </c>
      <c r="AD1275" s="43">
        <f>IF(B1180&lt;&gt;"", B1180, "")</f>
        <v>45993</v>
      </c>
      <c r="AF1275" s="19" t="str">
        <f>IF(OR(AD1275="", AE1275=""), "", AD1275-AE1275)</f>
        <v/>
      </c>
      <c r="AG1275" s="10"/>
      <c r="AH1275" s="1"/>
      <c r="AI1275" s="1"/>
      <c r="AJ1275" s="1"/>
      <c r="AK1275" s="1"/>
      <c r="AL1275" s="1"/>
    </row>
    <row r="1276" spans="1:38" ht="15" customHeight="1">
      <c r="A1276" s="156">
        <v>1275</v>
      </c>
      <c r="B1276" s="134">
        <v>46023</v>
      </c>
      <c r="C1276" s="140" t="s">
        <v>2635</v>
      </c>
      <c r="D1276" s="136" t="s">
        <v>38</v>
      </c>
      <c r="E1276" s="136">
        <v>1024.42</v>
      </c>
      <c r="F1276" s="136" t="s">
        <v>42</v>
      </c>
      <c r="G1276" s="138" t="s">
        <v>190</v>
      </c>
      <c r="H1276" s="23" t="s">
        <v>40</v>
      </c>
      <c r="I1276" s="38" t="s">
        <v>41</v>
      </c>
      <c r="J1276" s="97">
        <f>B1276-100</f>
        <v>45923</v>
      </c>
      <c r="K1276" s="4">
        <v>45964</v>
      </c>
      <c r="L1276" s="19">
        <f>IF(OR(J1276="", K1276=""), "", J1276-K1276)</f>
        <v>-41</v>
      </c>
      <c r="M1276" s="5">
        <f>B1276-89</f>
        <v>45934</v>
      </c>
      <c r="O1276" s="19" t="str">
        <f>IF(OR(M1181="", N1276=""), "", M1181-N1276)</f>
        <v/>
      </c>
      <c r="P1276" s="5">
        <f>B1181-74</f>
        <v>45920</v>
      </c>
      <c r="R1276" s="19" t="str">
        <f>IF(OR(P1276="", Q1276=""), "", P1276-Q1276)</f>
        <v/>
      </c>
      <c r="S1276" s="5">
        <f>B1181-69</f>
        <v>45925</v>
      </c>
      <c r="U1276" s="19" t="str">
        <f>IF(OR(S1276="", T1276=""), "", S1276-T1276)</f>
        <v/>
      </c>
      <c r="V1276" s="5">
        <f>B1181-30</f>
        <v>45964</v>
      </c>
      <c r="W1276" s="6"/>
      <c r="X1276" s="19" t="str">
        <f>IF(OR(V1276="", W1276=""), "", V1276-W1276)</f>
        <v/>
      </c>
      <c r="Y1276" s="51">
        <f>B1181-2</f>
        <v>45992</v>
      </c>
      <c r="Z1276" s="49"/>
      <c r="AA1276" s="49" t="str">
        <f>IF(OR(Y1276="", Z1276=""), "", Y1276-Z1276)</f>
        <v/>
      </c>
      <c r="AB1276" s="51">
        <f>IF(B1277&lt;&gt;"", B1277, "")</f>
        <v>46023</v>
      </c>
      <c r="AC1276" s="49" t="str">
        <f>IF(OR(AB1276="", Z1276=""), "", AB1276-Z1276)</f>
        <v/>
      </c>
      <c r="AD1276" s="43">
        <f>IF(B1181&lt;&gt;"", B1181, "")</f>
        <v>45994</v>
      </c>
      <c r="AF1276" s="19" t="str">
        <f>IF(OR(AD1276="", AE1276=""), "", AD1276-AE1276)</f>
        <v/>
      </c>
      <c r="AG1276" s="10"/>
      <c r="AH1276" s="1"/>
      <c r="AI1276" s="1"/>
      <c r="AJ1276" s="1"/>
      <c r="AK1276" s="1"/>
      <c r="AL1276" s="1"/>
    </row>
    <row r="1277" spans="1:38" ht="15" customHeight="1">
      <c r="A1277" s="156">
        <v>1276</v>
      </c>
      <c r="B1277" s="134">
        <v>46023</v>
      </c>
      <c r="C1277" s="140" t="s">
        <v>2636</v>
      </c>
      <c r="D1277" s="136" t="s">
        <v>38</v>
      </c>
      <c r="E1277" s="136">
        <v>1480.82</v>
      </c>
      <c r="F1277" s="136" t="s">
        <v>39</v>
      </c>
      <c r="G1277" s="138" t="s">
        <v>190</v>
      </c>
      <c r="H1277" s="23" t="s">
        <v>40</v>
      </c>
      <c r="I1277" s="38" t="s">
        <v>41</v>
      </c>
      <c r="J1277" s="97">
        <f>B1277-100</f>
        <v>45923</v>
      </c>
      <c r="K1277" s="4">
        <v>45964</v>
      </c>
      <c r="L1277" s="19">
        <f>IF(OR(J1277="", K1277=""), "", J1277-K1277)</f>
        <v>-41</v>
      </c>
      <c r="M1277" s="5">
        <f>B1277-89</f>
        <v>45934</v>
      </c>
      <c r="O1277" s="19" t="str">
        <f>IF(OR(M1182="", N1277=""), "", M1182-N1277)</f>
        <v/>
      </c>
      <c r="P1277" s="5">
        <f>B1182-74</f>
        <v>45920</v>
      </c>
      <c r="R1277" s="19" t="str">
        <f>IF(OR(P1277="", Q1277=""), "", P1277-Q1277)</f>
        <v/>
      </c>
      <c r="S1277" s="5">
        <f>B1182-69</f>
        <v>45925</v>
      </c>
      <c r="U1277" s="19" t="str">
        <f>IF(OR(S1277="", T1277=""), "", S1277-T1277)</f>
        <v/>
      </c>
      <c r="V1277" s="5">
        <f>B1182-30</f>
        <v>45964</v>
      </c>
      <c r="W1277" s="6"/>
      <c r="X1277" s="19" t="str">
        <f>IF(OR(V1277="", W1277=""), "", V1277-W1277)</f>
        <v/>
      </c>
      <c r="Y1277" s="51">
        <f>B1182-2</f>
        <v>45992</v>
      </c>
      <c r="Z1277" s="49"/>
      <c r="AA1277" s="49" t="str">
        <f>IF(OR(Y1277="", Z1277=""), "", Y1277-Z1277)</f>
        <v/>
      </c>
      <c r="AB1277" s="51">
        <f>IF(B1278&lt;&gt;"", B1278, "")</f>
        <v>46023</v>
      </c>
      <c r="AC1277" s="49" t="str">
        <f>IF(OR(AB1277="", Z1277=""), "", AB1277-Z1277)</f>
        <v/>
      </c>
      <c r="AD1277" s="43">
        <f>IF(B1182&lt;&gt;"", B1182, "")</f>
        <v>45994</v>
      </c>
      <c r="AF1277" s="19" t="str">
        <f>IF(OR(AD1277="", AE1277=""), "", AD1277-AE1277)</f>
        <v/>
      </c>
      <c r="AG1277" s="10"/>
      <c r="AH1277" s="1"/>
      <c r="AI1277" s="1"/>
      <c r="AJ1277" s="1"/>
      <c r="AK1277" s="1"/>
      <c r="AL1277" s="1"/>
    </row>
    <row r="1278" spans="1:38" ht="15" customHeight="1">
      <c r="A1278" s="156">
        <v>1277</v>
      </c>
      <c r="B1278" s="134">
        <v>46023</v>
      </c>
      <c r="C1278" s="140" t="s">
        <v>2637</v>
      </c>
      <c r="D1278" s="136" t="s">
        <v>2638</v>
      </c>
      <c r="E1278" s="136">
        <v>1103.25</v>
      </c>
      <c r="F1278" s="136" t="s">
        <v>2639</v>
      </c>
      <c r="G1278" s="138" t="s">
        <v>46</v>
      </c>
      <c r="H1278" s="23" t="s">
        <v>40</v>
      </c>
      <c r="I1278" s="38" t="s">
        <v>62</v>
      </c>
      <c r="J1278" s="97">
        <f>B1278-100</f>
        <v>45923</v>
      </c>
      <c r="K1278" s="4">
        <v>45950</v>
      </c>
      <c r="L1278" s="19">
        <f>IF(OR(J1278="", K1278=""), "", J1278-K1278)</f>
        <v>-27</v>
      </c>
      <c r="M1278" s="5">
        <f>B1278-89</f>
        <v>45934</v>
      </c>
      <c r="O1278" s="19" t="str">
        <f>IF(OR(M1183="", N1278=""), "", M1183-N1278)</f>
        <v/>
      </c>
      <c r="P1278" s="5">
        <f>B1183-74</f>
        <v>45921</v>
      </c>
      <c r="R1278" s="19" t="str">
        <f>IF(OR(P1278="", Q1278=""), "", P1278-Q1278)</f>
        <v/>
      </c>
      <c r="S1278" s="5">
        <f>B1183-69</f>
        <v>45926</v>
      </c>
      <c r="T1278" s="4">
        <v>45964</v>
      </c>
      <c r="U1278" s="19">
        <f>IF(OR(S1278="", T1278=""), "", S1278-T1278)</f>
        <v>-38</v>
      </c>
      <c r="V1278" s="5">
        <f>B1183-30</f>
        <v>45965</v>
      </c>
      <c r="W1278" s="6"/>
      <c r="X1278" s="19" t="str">
        <f>IF(OR(V1278="", W1278=""), "", V1278-W1278)</f>
        <v/>
      </c>
      <c r="Y1278" s="51">
        <f>B1183-2</f>
        <v>45993</v>
      </c>
      <c r="Z1278" s="49"/>
      <c r="AA1278" s="49" t="str">
        <f>IF(OR(Y1278="", Z1278=""), "", Y1278-Z1278)</f>
        <v/>
      </c>
      <c r="AB1278" s="51">
        <f>IF(B1279&lt;&gt;"", B1279, "")</f>
        <v>46023</v>
      </c>
      <c r="AC1278" s="49" t="str">
        <f>IF(OR(AB1278="", Z1278=""), "", AB1278-Z1278)</f>
        <v/>
      </c>
      <c r="AD1278" s="43">
        <f>IF(B1183&lt;&gt;"", B1183, "")</f>
        <v>45995</v>
      </c>
      <c r="AF1278" s="19" t="str">
        <f>IF(OR(AD1278="", AE1278=""), "", AD1278-AE1278)</f>
        <v/>
      </c>
      <c r="AG1278" s="10"/>
      <c r="AH1278" s="1"/>
      <c r="AI1278" s="1"/>
      <c r="AJ1278" s="1"/>
      <c r="AK1278" s="1"/>
      <c r="AL1278" s="1"/>
    </row>
    <row r="1279" spans="1:38" ht="15" customHeight="1">
      <c r="A1279" s="156">
        <v>1278</v>
      </c>
      <c r="B1279" s="134">
        <v>46023</v>
      </c>
      <c r="C1279" s="140" t="s">
        <v>2640</v>
      </c>
      <c r="D1279" s="136" t="s">
        <v>2641</v>
      </c>
      <c r="E1279" s="136">
        <v>333333.33</v>
      </c>
      <c r="F1279" s="136" t="s">
        <v>2642</v>
      </c>
      <c r="G1279" s="138" t="s">
        <v>35</v>
      </c>
      <c r="H1279" s="23" t="s">
        <v>40</v>
      </c>
      <c r="I1279" s="38" t="s">
        <v>62</v>
      </c>
      <c r="J1279" s="97">
        <f>B1279-100</f>
        <v>45923</v>
      </c>
      <c r="K1279" s="4">
        <v>45964</v>
      </c>
      <c r="L1279" s="19">
        <f>IF(OR(J1279="", K1279=""), "", J1279-K1279)</f>
        <v>-41</v>
      </c>
      <c r="M1279" s="5">
        <f>B1279-89</f>
        <v>45934</v>
      </c>
      <c r="O1279" s="19" t="str">
        <f>IF(OR(M1184="", N1279=""), "", M1184-N1279)</f>
        <v/>
      </c>
      <c r="P1279" s="5">
        <f>B1184-74</f>
        <v>45922</v>
      </c>
      <c r="R1279" s="19" t="str">
        <f>IF(OR(P1279="", Q1279=""), "", P1279-Q1279)</f>
        <v/>
      </c>
      <c r="S1279" s="5">
        <f>B1184-69</f>
        <v>45927</v>
      </c>
      <c r="U1279" s="19" t="str">
        <f>IF(OR(S1279="", T1279=""), "", S1279-T1279)</f>
        <v/>
      </c>
      <c r="V1279" s="5">
        <f>B1184-30</f>
        <v>45966</v>
      </c>
      <c r="W1279" s="6"/>
      <c r="X1279" s="19" t="str">
        <f>IF(OR(V1279="", W1279=""), "", V1279-W1279)</f>
        <v/>
      </c>
      <c r="Y1279" s="51">
        <f>B1184-2</f>
        <v>45994</v>
      </c>
      <c r="Z1279" s="49"/>
      <c r="AA1279" s="49" t="str">
        <f>IF(OR(Y1279="", Z1279=""), "", Y1279-Z1279)</f>
        <v/>
      </c>
      <c r="AB1279" s="51">
        <f>IF(B1280&lt;&gt;"", B1280, "")</f>
        <v>46023</v>
      </c>
      <c r="AC1279" s="49" t="str">
        <f>IF(OR(AB1279="", Z1279=""), "", AB1279-Z1279)</f>
        <v/>
      </c>
      <c r="AD1279" s="43">
        <f>IF(B1184&lt;&gt;"", B1184, "")</f>
        <v>45996</v>
      </c>
      <c r="AF1279" s="19" t="str">
        <f>IF(OR(AD1279="", AE1279=""), "", AD1279-AE1279)</f>
        <v/>
      </c>
      <c r="AG1279" s="10"/>
      <c r="AH1279" s="1"/>
      <c r="AI1279" s="1"/>
      <c r="AJ1279" s="1"/>
      <c r="AK1279" s="1"/>
      <c r="AL1279" s="1"/>
    </row>
    <row r="1280" spans="1:38" ht="15" customHeight="1">
      <c r="A1280" s="156">
        <v>1279</v>
      </c>
      <c r="B1280" s="134">
        <v>46023</v>
      </c>
      <c r="C1280" s="140" t="s">
        <v>2643</v>
      </c>
      <c r="D1280" s="136" t="s">
        <v>2644</v>
      </c>
      <c r="E1280" s="136">
        <v>4822.58</v>
      </c>
      <c r="F1280" s="136" t="s">
        <v>2645</v>
      </c>
      <c r="G1280" s="138" t="s">
        <v>51</v>
      </c>
      <c r="H1280" s="23" t="s">
        <v>36</v>
      </c>
      <c r="I1280" s="38" t="s">
        <v>62</v>
      </c>
      <c r="J1280" s="97">
        <f>B1280-100</f>
        <v>45923</v>
      </c>
      <c r="K1280" s="4">
        <v>45964</v>
      </c>
      <c r="L1280" s="19">
        <f>IF(OR(J1280="", K1280=""), "", J1280-K1280)</f>
        <v>-41</v>
      </c>
      <c r="M1280" s="5">
        <f>B1280-89</f>
        <v>45934</v>
      </c>
      <c r="O1280" s="19" t="str">
        <f>IF(OR(M1185="", N1280=""), "", M1185-N1280)</f>
        <v/>
      </c>
      <c r="P1280" s="5">
        <f>B1185-74</f>
        <v>45922</v>
      </c>
      <c r="R1280" s="19" t="str">
        <f>IF(OR(P1280="", Q1280=""), "", P1280-Q1280)</f>
        <v/>
      </c>
      <c r="S1280" s="5">
        <f>B1185-69</f>
        <v>45927</v>
      </c>
      <c r="U1280" s="19" t="str">
        <f>IF(OR(S1280="", T1280=""), "", S1280-T1280)</f>
        <v/>
      </c>
      <c r="V1280" s="5">
        <f>B1185-30</f>
        <v>45966</v>
      </c>
      <c r="W1280" s="6"/>
      <c r="X1280" s="19" t="str">
        <f>IF(OR(V1280="", W1280=""), "", V1280-W1280)</f>
        <v/>
      </c>
      <c r="Y1280" s="51">
        <f>B1185-2</f>
        <v>45994</v>
      </c>
      <c r="Z1280" s="49"/>
      <c r="AA1280" s="49" t="str">
        <f>IF(OR(Y1280="", Z1280=""), "", Y1280-Z1280)</f>
        <v/>
      </c>
      <c r="AB1280" s="51">
        <f>IF(B1281&lt;&gt;"", B1281, "")</f>
        <v>46023</v>
      </c>
      <c r="AC1280" s="49" t="str">
        <f>IF(OR(AB1280="", Z1280=""), "", AB1280-Z1280)</f>
        <v/>
      </c>
      <c r="AD1280" s="43">
        <f>IF(B1185&lt;&gt;"", B1185, "")</f>
        <v>45996</v>
      </c>
      <c r="AF1280" s="19" t="str">
        <f>IF(OR(AD1280="", AE1280=""), "", AD1280-AE1280)</f>
        <v/>
      </c>
      <c r="AG1280" s="10"/>
      <c r="AH1280" s="1"/>
      <c r="AI1280" s="1"/>
      <c r="AJ1280" s="1"/>
      <c r="AK1280" s="1"/>
      <c r="AL1280" s="1"/>
    </row>
    <row r="1281" spans="1:38" ht="15" customHeight="1">
      <c r="A1281" s="156">
        <v>1280</v>
      </c>
      <c r="B1281" s="134">
        <v>46023</v>
      </c>
      <c r="C1281" s="140">
        <v>682991179</v>
      </c>
      <c r="D1281" s="136" t="s">
        <v>2646</v>
      </c>
      <c r="E1281" s="136">
        <v>43339.45</v>
      </c>
      <c r="F1281" s="136" t="s">
        <v>2647</v>
      </c>
      <c r="G1281" s="138" t="s">
        <v>51</v>
      </c>
      <c r="H1281" s="23" t="s">
        <v>40</v>
      </c>
      <c r="I1281" s="38" t="s">
        <v>93</v>
      </c>
      <c r="J1281" s="97">
        <f>B1281-100</f>
        <v>45923</v>
      </c>
      <c r="K1281" s="4">
        <v>45960</v>
      </c>
      <c r="L1281" s="19">
        <f>IF(OR(J1281="", K1281=""), "", J1281-K1281)</f>
        <v>-37</v>
      </c>
      <c r="M1281" s="5">
        <f>B1281-89</f>
        <v>45934</v>
      </c>
      <c r="O1281" s="19" t="str">
        <f>IF(OR(M1186="", N1281=""), "", M1186-N1281)</f>
        <v/>
      </c>
      <c r="P1281" s="5">
        <f>B1186-74</f>
        <v>45922</v>
      </c>
      <c r="R1281" s="19" t="str">
        <f>IF(OR(P1281="", Q1281=""), "", P1281-Q1281)</f>
        <v/>
      </c>
      <c r="S1281" s="5">
        <f>B1186-69</f>
        <v>45927</v>
      </c>
      <c r="U1281" s="19" t="str">
        <f>IF(OR(S1281="", T1281=""), "", S1281-T1281)</f>
        <v/>
      </c>
      <c r="V1281" s="5">
        <f>B1186-30</f>
        <v>45966</v>
      </c>
      <c r="W1281" s="6"/>
      <c r="X1281" s="19" t="str">
        <f>IF(OR(V1281="", W1281=""), "", V1281-W1281)</f>
        <v/>
      </c>
      <c r="Y1281" s="51">
        <f>B1186-2</f>
        <v>45994</v>
      </c>
      <c r="Z1281" s="49"/>
      <c r="AA1281" s="49" t="str">
        <f>IF(OR(Y1281="", Z1281=""), "", Y1281-Z1281)</f>
        <v/>
      </c>
      <c r="AB1281" s="51">
        <f>IF(B1282&lt;&gt;"", B1282, "")</f>
        <v>46024</v>
      </c>
      <c r="AC1281" s="49" t="str">
        <f>IF(OR(AB1281="", Z1281=""), "", AB1281-Z1281)</f>
        <v/>
      </c>
      <c r="AD1281" s="43">
        <f>IF(B1186&lt;&gt;"", B1186, "")</f>
        <v>45996</v>
      </c>
      <c r="AF1281" s="19" t="str">
        <f>IF(OR(AD1281="", AE1281=""), "", AD1281-AE1281)</f>
        <v/>
      </c>
      <c r="AG1281" s="10"/>
      <c r="AH1281" s="1"/>
      <c r="AI1281" s="1"/>
      <c r="AJ1281" s="1"/>
      <c r="AK1281" s="1"/>
      <c r="AL1281" s="1"/>
    </row>
    <row r="1282" spans="1:38" ht="15" customHeight="1">
      <c r="A1282" s="156">
        <v>1281</v>
      </c>
      <c r="B1282" s="134">
        <v>46024</v>
      </c>
      <c r="C1282" s="140" t="s">
        <v>2648</v>
      </c>
      <c r="D1282" s="136" t="s">
        <v>328</v>
      </c>
      <c r="E1282" s="136">
        <v>64125</v>
      </c>
      <c r="F1282" s="136" t="s">
        <v>2649</v>
      </c>
      <c r="G1282" s="138" t="s">
        <v>35</v>
      </c>
      <c r="H1282" s="23" t="s">
        <v>36</v>
      </c>
      <c r="I1282" s="38" t="s">
        <v>62</v>
      </c>
      <c r="J1282" s="97">
        <f>B1282-100</f>
        <v>45924</v>
      </c>
      <c r="K1282" s="4">
        <v>45964</v>
      </c>
      <c r="L1282" s="19">
        <f>IF(OR(J1282="", K1282=""), "", J1282-K1282)</f>
        <v>-40</v>
      </c>
      <c r="M1282" s="5">
        <f>B1282-89</f>
        <v>45935</v>
      </c>
      <c r="O1282" s="19" t="str">
        <f>IF(OR(M1187="", N1282=""), "", M1187-N1282)</f>
        <v/>
      </c>
      <c r="P1282" s="5">
        <f>B1187-74</f>
        <v>45922</v>
      </c>
      <c r="R1282" s="19" t="str">
        <f>IF(OR(P1282="", Q1282=""), "", P1282-Q1282)</f>
        <v/>
      </c>
      <c r="S1282" s="5">
        <f>B1187-69</f>
        <v>45927</v>
      </c>
      <c r="U1282" s="19" t="str">
        <f>IF(OR(S1282="", T1282=""), "", S1282-T1282)</f>
        <v/>
      </c>
      <c r="V1282" s="5">
        <f>B1187-30</f>
        <v>45966</v>
      </c>
      <c r="W1282" s="6"/>
      <c r="X1282" s="19" t="str">
        <f>IF(OR(V1282="", W1282=""), "", V1282-W1282)</f>
        <v/>
      </c>
      <c r="Y1282" s="51">
        <f>B1187-2</f>
        <v>45994</v>
      </c>
      <c r="Z1282" s="49"/>
      <c r="AA1282" s="49" t="str">
        <f>IF(OR(Y1282="", Z1282=""), "", Y1282-Z1282)</f>
        <v/>
      </c>
      <c r="AB1282" s="51">
        <f>IF(B1283&lt;&gt;"", B1283, "")</f>
        <v>46024</v>
      </c>
      <c r="AC1282" s="49" t="str">
        <f>IF(OR(AB1282="", Z1282=""), "", AB1282-Z1282)</f>
        <v/>
      </c>
      <c r="AD1282" s="43">
        <f>IF(B1187&lt;&gt;"", B1187, "")</f>
        <v>45996</v>
      </c>
      <c r="AF1282" s="19" t="str">
        <f>IF(OR(AD1282="", AE1282=""), "", AD1282-AE1282)</f>
        <v/>
      </c>
      <c r="AG1282" s="10"/>
      <c r="AH1282" s="1"/>
      <c r="AI1282" s="1"/>
      <c r="AJ1282" s="1"/>
      <c r="AK1282" s="1"/>
      <c r="AL1282" s="1"/>
    </row>
    <row r="1283" spans="1:38" ht="15" customHeight="1">
      <c r="A1283" s="156">
        <v>1282</v>
      </c>
      <c r="B1283" s="134">
        <v>46024</v>
      </c>
      <c r="C1283" s="140" t="s">
        <v>2650</v>
      </c>
      <c r="D1283" s="136" t="s">
        <v>207</v>
      </c>
      <c r="E1283" s="136">
        <v>79251.3</v>
      </c>
      <c r="F1283" s="136" t="s">
        <v>2651</v>
      </c>
      <c r="G1283" s="138" t="s">
        <v>35</v>
      </c>
      <c r="H1283" s="23" t="s">
        <v>40</v>
      </c>
      <c r="I1283" s="38" t="s">
        <v>52</v>
      </c>
      <c r="J1283" s="97">
        <f>B1283-100</f>
        <v>45924</v>
      </c>
      <c r="K1283" s="4">
        <v>45964</v>
      </c>
      <c r="L1283" s="19">
        <f>IF(OR(J1283="", K1283=""), "", J1283-K1283)</f>
        <v>-40</v>
      </c>
      <c r="M1283" s="5">
        <f>B1283-89</f>
        <v>45935</v>
      </c>
      <c r="O1283" s="19" t="str">
        <f>IF(OR(M1188="", N1283=""), "", M1188-N1283)</f>
        <v/>
      </c>
      <c r="P1283" s="5">
        <f>B1188-74</f>
        <v>45923</v>
      </c>
      <c r="R1283" s="19" t="str">
        <f>IF(OR(P1283="", Q1283=""), "", P1283-Q1283)</f>
        <v/>
      </c>
      <c r="S1283" s="5">
        <f>B1188-69</f>
        <v>45928</v>
      </c>
      <c r="U1283" s="19" t="str">
        <f>IF(OR(S1283="", T1283=""), "", S1283-T1283)</f>
        <v/>
      </c>
      <c r="V1283" s="5">
        <f>B1188-30</f>
        <v>45967</v>
      </c>
      <c r="W1283" s="6"/>
      <c r="X1283" s="19" t="str">
        <f>IF(OR(V1283="", W1283=""), "", V1283-W1283)</f>
        <v/>
      </c>
      <c r="Y1283" s="51">
        <f>B1188-2</f>
        <v>45995</v>
      </c>
      <c r="Z1283" s="49"/>
      <c r="AA1283" s="49" t="str">
        <f>IF(OR(Y1283="", Z1283=""), "", Y1283-Z1283)</f>
        <v/>
      </c>
      <c r="AB1283" s="51">
        <f>IF(B1284&lt;&gt;"", B1284, "")</f>
        <v>46024</v>
      </c>
      <c r="AC1283" s="49" t="str">
        <f>IF(OR(AB1283="", Z1283=""), "", AB1283-Z1283)</f>
        <v/>
      </c>
      <c r="AD1283" s="43">
        <f>IF(B1188&lt;&gt;"", B1188, "")</f>
        <v>45997</v>
      </c>
      <c r="AF1283" s="19" t="str">
        <f>IF(OR(AD1283="", AE1283=""), "", AD1283-AE1283)</f>
        <v/>
      </c>
      <c r="AG1283" s="10"/>
      <c r="AH1283" s="1"/>
      <c r="AI1283" s="1"/>
      <c r="AJ1283" s="1"/>
      <c r="AK1283" s="1"/>
      <c r="AL1283" s="1"/>
    </row>
    <row r="1284" spans="1:38" ht="15" customHeight="1">
      <c r="A1284" s="156">
        <v>1283</v>
      </c>
      <c r="B1284" s="134">
        <v>46024</v>
      </c>
      <c r="C1284" s="140" t="s">
        <v>2652</v>
      </c>
      <c r="D1284" s="136" t="s">
        <v>38</v>
      </c>
      <c r="E1284" s="136">
        <v>449.36</v>
      </c>
      <c r="F1284" s="136" t="s">
        <v>2653</v>
      </c>
      <c r="G1284" s="138" t="s">
        <v>190</v>
      </c>
      <c r="H1284" s="23" t="s">
        <v>40</v>
      </c>
      <c r="I1284" s="38" t="s">
        <v>41</v>
      </c>
      <c r="J1284" s="97">
        <f>B1284-100</f>
        <v>45924</v>
      </c>
      <c r="K1284" s="4">
        <v>45964</v>
      </c>
      <c r="L1284" s="19">
        <f>IF(OR(J1284="", K1284=""), "", J1284-K1284)</f>
        <v>-40</v>
      </c>
      <c r="M1284" s="5">
        <f>B1284-89</f>
        <v>45935</v>
      </c>
      <c r="O1284" s="19" t="str">
        <f>IF(OR(M1189="", N1284=""), "", M1189-N1284)</f>
        <v/>
      </c>
      <c r="P1284" s="5">
        <f>B1189-74</f>
        <v>45923</v>
      </c>
      <c r="R1284" s="19" t="str">
        <f>IF(OR(P1284="", Q1284=""), "", P1284-Q1284)</f>
        <v/>
      </c>
      <c r="S1284" s="5">
        <f>B1189-69</f>
        <v>45928</v>
      </c>
      <c r="U1284" s="19" t="str">
        <f>IF(OR(S1284="", T1284=""), "", S1284-T1284)</f>
        <v/>
      </c>
      <c r="V1284" s="5">
        <f>B1189-30</f>
        <v>45967</v>
      </c>
      <c r="W1284" s="6"/>
      <c r="X1284" s="19" t="str">
        <f>IF(OR(V1284="", W1284=""), "", V1284-W1284)</f>
        <v/>
      </c>
      <c r="Y1284" s="51">
        <f>B1189-2</f>
        <v>45995</v>
      </c>
      <c r="Z1284" s="49"/>
      <c r="AA1284" s="49" t="str">
        <f>IF(OR(Y1284="", Z1284=""), "", Y1284-Z1284)</f>
        <v/>
      </c>
      <c r="AB1284" s="51">
        <f>IF(B1285&lt;&gt;"", B1285, "")</f>
        <v>46024</v>
      </c>
      <c r="AC1284" s="49" t="str">
        <f>IF(OR(AB1284="", Z1284=""), "", AB1284-Z1284)</f>
        <v/>
      </c>
      <c r="AD1284" s="43">
        <f>IF(B1189&lt;&gt;"", B1189, "")</f>
        <v>45997</v>
      </c>
      <c r="AF1284" s="19" t="str">
        <f>IF(OR(AD1284="", AE1284=""), "", AD1284-AE1284)</f>
        <v/>
      </c>
      <c r="AG1284" s="10"/>
      <c r="AH1284" s="1"/>
      <c r="AI1284" s="1"/>
      <c r="AJ1284" s="1"/>
      <c r="AK1284" s="1"/>
      <c r="AL1284" s="1"/>
    </row>
    <row r="1285" spans="1:38" ht="15" customHeight="1">
      <c r="A1285" s="156">
        <v>1284</v>
      </c>
      <c r="B1285" s="134">
        <v>46024</v>
      </c>
      <c r="C1285" s="140" t="s">
        <v>2654</v>
      </c>
      <c r="D1285" s="136" t="s">
        <v>38</v>
      </c>
      <c r="E1285" s="136">
        <v>3872.16</v>
      </c>
      <c r="F1285" s="136" t="s">
        <v>2655</v>
      </c>
      <c r="G1285" s="138" t="s">
        <v>190</v>
      </c>
      <c r="H1285" s="23" t="s">
        <v>40</v>
      </c>
      <c r="I1285" s="38" t="s">
        <v>41</v>
      </c>
      <c r="J1285" s="97">
        <f>B1285-100</f>
        <v>45924</v>
      </c>
      <c r="K1285" s="4">
        <v>45964</v>
      </c>
      <c r="L1285" s="19">
        <f>IF(OR(J1285="", K1285=""), "", J1285-K1285)</f>
        <v>-40</v>
      </c>
      <c r="M1285" s="5">
        <f>B1285-89</f>
        <v>45935</v>
      </c>
      <c r="O1285" s="19" t="str">
        <f>IF(OR(M1190="", N1285=""), "", M1190-N1285)</f>
        <v/>
      </c>
      <c r="P1285" s="5">
        <f>B1190-74</f>
        <v>45924</v>
      </c>
      <c r="R1285" s="19" t="str">
        <f>IF(OR(P1285="", Q1285=""), "", P1285-Q1285)</f>
        <v/>
      </c>
      <c r="S1285" s="5">
        <f>B1190-69</f>
        <v>45929</v>
      </c>
      <c r="U1285" s="19" t="str">
        <f>IF(OR(S1285="", T1285=""), "", S1285-T1285)</f>
        <v/>
      </c>
      <c r="V1285" s="5">
        <f>B1190-30</f>
        <v>45968</v>
      </c>
      <c r="W1285" s="6"/>
      <c r="X1285" s="19" t="str">
        <f>IF(OR(V1285="", W1285=""), "", V1285-W1285)</f>
        <v/>
      </c>
      <c r="Y1285" s="51">
        <f>B1190-2</f>
        <v>45996</v>
      </c>
      <c r="Z1285" s="49"/>
      <c r="AA1285" s="49" t="str">
        <f>IF(OR(Y1285="", Z1285=""), "", Y1285-Z1285)</f>
        <v/>
      </c>
      <c r="AB1285" s="51">
        <f>IF(B1286&lt;&gt;"", B1286, "")</f>
        <v>46025</v>
      </c>
      <c r="AC1285" s="49" t="str">
        <f>IF(OR(AB1285="", Z1285=""), "", AB1285-Z1285)</f>
        <v/>
      </c>
      <c r="AD1285" s="43">
        <f>IF(B1190&lt;&gt;"", B1190, "")</f>
        <v>45998</v>
      </c>
      <c r="AF1285" s="19" t="str">
        <f>IF(OR(AD1285="", AE1285=""), "", AD1285-AE1285)</f>
        <v/>
      </c>
      <c r="AG1285" s="10"/>
      <c r="AH1285" s="1"/>
      <c r="AI1285" s="1"/>
      <c r="AJ1285" s="1"/>
      <c r="AK1285" s="1"/>
      <c r="AL1285" s="1"/>
    </row>
    <row r="1286" spans="1:38" ht="15" customHeight="1">
      <c r="A1286" s="156">
        <v>1285</v>
      </c>
      <c r="B1286" s="134">
        <v>46025</v>
      </c>
      <c r="C1286" s="140" t="s">
        <v>2656</v>
      </c>
      <c r="D1286" s="136" t="s">
        <v>273</v>
      </c>
      <c r="E1286" s="136">
        <v>1158</v>
      </c>
      <c r="F1286" s="136" t="s">
        <v>2657</v>
      </c>
      <c r="G1286" s="138" t="s">
        <v>46</v>
      </c>
      <c r="H1286" s="23" t="s">
        <v>40</v>
      </c>
      <c r="I1286" s="38" t="s">
        <v>276</v>
      </c>
      <c r="J1286" s="97">
        <f>B1286-100</f>
        <v>45925</v>
      </c>
      <c r="K1286" s="4">
        <v>45950</v>
      </c>
      <c r="L1286" s="19">
        <f>IF(OR(J1286="", K1286=""), "", J1286-K1286)</f>
        <v>-25</v>
      </c>
      <c r="M1286" s="5">
        <f>B1286-89</f>
        <v>45936</v>
      </c>
      <c r="O1286" s="19" t="str">
        <f>IF(OR(M1191="", N1286=""), "", M1191-N1286)</f>
        <v/>
      </c>
      <c r="P1286" s="5">
        <f>B1191-74</f>
        <v>45927</v>
      </c>
      <c r="R1286" s="19" t="str">
        <f>IF(OR(P1286="", Q1286=""), "", P1286-Q1286)</f>
        <v/>
      </c>
      <c r="S1286" s="5">
        <f>B1191-69</f>
        <v>45932</v>
      </c>
      <c r="U1286" s="19" t="str">
        <f>IF(OR(S1286="", T1286=""), "", S1286-T1286)</f>
        <v/>
      </c>
      <c r="V1286" s="5">
        <f>B1191-30</f>
        <v>45971</v>
      </c>
      <c r="W1286" s="6"/>
      <c r="X1286" s="19" t="str">
        <f>IF(OR(V1286="", W1286=""), "", V1286-W1286)</f>
        <v/>
      </c>
      <c r="Y1286" s="51">
        <f>B1191-2</f>
        <v>45999</v>
      </c>
      <c r="Z1286" s="49"/>
      <c r="AA1286" s="49" t="str">
        <f>IF(OR(Y1286="", Z1286=""), "", Y1286-Z1286)</f>
        <v/>
      </c>
      <c r="AB1286" s="51">
        <f>IF(B1287&lt;&gt;"", B1287, "")</f>
        <v>46025</v>
      </c>
      <c r="AC1286" s="49" t="str">
        <f>IF(OR(AB1286="", Z1286=""), "", AB1286-Z1286)</f>
        <v/>
      </c>
      <c r="AD1286" s="43">
        <f>IF(B1191&lt;&gt;"", B1191, "")</f>
        <v>46001</v>
      </c>
      <c r="AF1286" s="19" t="str">
        <f>IF(OR(AD1286="", AE1286=""), "", AD1286-AE1286)</f>
        <v/>
      </c>
      <c r="AG1286" s="10"/>
      <c r="AH1286" s="1"/>
      <c r="AI1286" s="1"/>
      <c r="AJ1286" s="1"/>
      <c r="AK1286" s="1"/>
      <c r="AL1286" s="1"/>
    </row>
    <row r="1287" spans="1:38" ht="15" customHeight="1">
      <c r="A1287" s="156">
        <v>1286</v>
      </c>
      <c r="B1287" s="134">
        <v>46025</v>
      </c>
      <c r="C1287" s="140" t="s">
        <v>2658</v>
      </c>
      <c r="D1287" s="136" t="s">
        <v>273</v>
      </c>
      <c r="E1287" s="136">
        <v>771.17</v>
      </c>
      <c r="F1287" s="136" t="s">
        <v>274</v>
      </c>
      <c r="G1287" s="138" t="s">
        <v>46</v>
      </c>
      <c r="H1287" s="23" t="s">
        <v>40</v>
      </c>
      <c r="I1287" s="38" t="s">
        <v>93</v>
      </c>
      <c r="J1287" s="97">
        <f>B1287-100</f>
        <v>45925</v>
      </c>
      <c r="K1287" s="4">
        <v>45950</v>
      </c>
      <c r="L1287" s="19">
        <f>IF(OR(J1287="", K1287=""), "", J1287-K1287)</f>
        <v>-25</v>
      </c>
      <c r="M1287" s="5">
        <f>B1287-89</f>
        <v>45936</v>
      </c>
      <c r="O1287" s="19" t="str">
        <f>IF(OR(M1192="", N1287=""), "", M1192-N1287)</f>
        <v/>
      </c>
      <c r="P1287" s="5">
        <f>B1192-74</f>
        <v>45927</v>
      </c>
      <c r="R1287" s="19" t="str">
        <f>IF(OR(P1287="", Q1287=""), "", P1287-Q1287)</f>
        <v/>
      </c>
      <c r="S1287" s="5">
        <f>B1192-69</f>
        <v>45932</v>
      </c>
      <c r="U1287" s="19" t="str">
        <f>IF(OR(S1287="", T1287=""), "", S1287-T1287)</f>
        <v/>
      </c>
      <c r="V1287" s="5">
        <f>B1192-30</f>
        <v>45971</v>
      </c>
      <c r="W1287" s="6"/>
      <c r="X1287" s="19" t="str">
        <f>IF(OR(V1287="", W1287=""), "", V1287-W1287)</f>
        <v/>
      </c>
      <c r="Y1287" s="51">
        <f>B1192-2</f>
        <v>45999</v>
      </c>
      <c r="Z1287" s="49"/>
      <c r="AA1287" s="49" t="str">
        <f>IF(OR(Y1287="", Z1287=""), "", Y1287-Z1287)</f>
        <v/>
      </c>
      <c r="AB1287" s="51">
        <f>IF(B1288&lt;&gt;"", B1288, "")</f>
        <v>46025</v>
      </c>
      <c r="AC1287" s="49" t="str">
        <f>IF(OR(AB1287="", Z1287=""), "", AB1287-Z1287)</f>
        <v/>
      </c>
      <c r="AD1287" s="43">
        <f>IF(B1192&lt;&gt;"", B1192, "")</f>
        <v>46001</v>
      </c>
      <c r="AF1287" s="19" t="str">
        <f>IF(OR(AD1287="", AE1287=""), "", AD1287-AE1287)</f>
        <v/>
      </c>
      <c r="AG1287" s="10"/>
      <c r="AH1287" s="1"/>
      <c r="AI1287" s="1"/>
      <c r="AJ1287" s="1"/>
      <c r="AK1287" s="1"/>
      <c r="AL1287" s="1"/>
    </row>
    <row r="1288" spans="1:38" ht="15" customHeight="1">
      <c r="A1288" s="156">
        <v>1287</v>
      </c>
      <c r="B1288" s="134">
        <v>46025</v>
      </c>
      <c r="C1288" s="140" t="s">
        <v>2659</v>
      </c>
      <c r="D1288" s="136" t="s">
        <v>273</v>
      </c>
      <c r="E1288" s="136">
        <v>1160.79</v>
      </c>
      <c r="F1288" s="136" t="s">
        <v>277</v>
      </c>
      <c r="G1288" s="138" t="s">
        <v>46</v>
      </c>
      <c r="H1288" s="23" t="s">
        <v>40</v>
      </c>
      <c r="I1288" s="38" t="s">
        <v>41</v>
      </c>
      <c r="J1288" s="97">
        <f>B1288-100</f>
        <v>45925</v>
      </c>
      <c r="K1288" s="4">
        <v>45950</v>
      </c>
      <c r="L1288" s="19">
        <f>IF(OR(J1288="", K1288=""), "", J1288-K1288)</f>
        <v>-25</v>
      </c>
      <c r="M1288" s="5">
        <f>B1288-89</f>
        <v>45936</v>
      </c>
      <c r="O1288" s="19" t="str">
        <f>IF(OR(M1193="", N1288=""), "", M1193-N1288)</f>
        <v/>
      </c>
      <c r="P1288" s="5">
        <f>B1193-74</f>
        <v>45927</v>
      </c>
      <c r="R1288" s="19" t="str">
        <f>IF(OR(P1288="", Q1288=""), "", P1288-Q1288)</f>
        <v/>
      </c>
      <c r="S1288" s="5">
        <f>B1193-69</f>
        <v>45932</v>
      </c>
      <c r="U1288" s="19" t="str">
        <f>IF(OR(S1288="", T1288=""), "", S1288-T1288)</f>
        <v/>
      </c>
      <c r="V1288" s="5">
        <f>B1193-30</f>
        <v>45971</v>
      </c>
      <c r="W1288" s="6"/>
      <c r="X1288" s="19" t="str">
        <f>IF(OR(V1288="", W1288=""), "", V1288-W1288)</f>
        <v/>
      </c>
      <c r="Y1288" s="51">
        <f>B1193-2</f>
        <v>45999</v>
      </c>
      <c r="Z1288" s="49"/>
      <c r="AA1288" s="49" t="str">
        <f>IF(OR(Y1288="", Z1288=""), "", Y1288-Z1288)</f>
        <v/>
      </c>
      <c r="AB1288" s="51">
        <f>IF(B1289&lt;&gt;"", B1289, "")</f>
        <v>46026</v>
      </c>
      <c r="AC1288" s="49" t="str">
        <f>IF(OR(AB1288="", Z1288=""), "", AB1288-Z1288)</f>
        <v/>
      </c>
      <c r="AD1288" s="43">
        <f>IF(B1193&lt;&gt;"", B1193, "")</f>
        <v>46001</v>
      </c>
      <c r="AF1288" s="19" t="str">
        <f>IF(OR(AD1288="", AE1288=""), "", AD1288-AE1288)</f>
        <v/>
      </c>
      <c r="AG1288" s="10"/>
      <c r="AH1288" s="1"/>
      <c r="AI1288" s="1"/>
      <c r="AJ1288" s="1"/>
      <c r="AK1288" s="1"/>
      <c r="AL1288" s="1"/>
    </row>
    <row r="1289" spans="1:38" ht="15" customHeight="1">
      <c r="A1289" s="156">
        <v>1288</v>
      </c>
      <c r="B1289" s="134">
        <v>46026</v>
      </c>
      <c r="C1289" s="140" t="s">
        <v>2660</v>
      </c>
      <c r="D1289" s="136" t="s">
        <v>220</v>
      </c>
      <c r="E1289" s="136">
        <v>12391.68</v>
      </c>
      <c r="F1289" s="136" t="s">
        <v>2392</v>
      </c>
      <c r="G1289" s="138" t="s">
        <v>120</v>
      </c>
      <c r="H1289" s="23" t="s">
        <v>40</v>
      </c>
      <c r="I1289" s="38" t="s">
        <v>276</v>
      </c>
      <c r="J1289" s="97">
        <f>B1289-100</f>
        <v>45926</v>
      </c>
      <c r="K1289" s="4">
        <v>45964</v>
      </c>
      <c r="L1289" s="19">
        <f>IF(OR(J1289="", K1289=""), "", J1289-K1289)</f>
        <v>-38</v>
      </c>
      <c r="M1289" s="5">
        <f>B1289-89</f>
        <v>45937</v>
      </c>
      <c r="O1289" s="19" t="str">
        <f>IF(OR(M1194="", N1289=""), "", M1194-N1289)</f>
        <v/>
      </c>
      <c r="P1289" s="5">
        <f>B1194-74</f>
        <v>45927</v>
      </c>
      <c r="R1289" s="19" t="str">
        <f>IF(OR(P1289="", Q1289=""), "", P1289-Q1289)</f>
        <v/>
      </c>
      <c r="S1289" s="5">
        <f>B1194-69</f>
        <v>45932</v>
      </c>
      <c r="U1289" s="19" t="str">
        <f>IF(OR(S1289="", T1289=""), "", S1289-T1289)</f>
        <v/>
      </c>
      <c r="V1289" s="5">
        <f>B1194-30</f>
        <v>45971</v>
      </c>
      <c r="W1289" s="6"/>
      <c r="X1289" s="19" t="str">
        <f>IF(OR(V1289="", W1289=""), "", V1289-W1289)</f>
        <v/>
      </c>
      <c r="Y1289" s="51">
        <f>B1194-2</f>
        <v>45999</v>
      </c>
      <c r="Z1289" s="49"/>
      <c r="AA1289" s="49" t="str">
        <f>IF(OR(Y1289="", Z1289=""), "", Y1289-Z1289)</f>
        <v/>
      </c>
      <c r="AB1289" s="51">
        <f>IF(B1290&lt;&gt;"", B1290, "")</f>
        <v>46026</v>
      </c>
      <c r="AC1289" s="49" t="str">
        <f>IF(OR(AB1289="", Z1289=""), "", AB1289-Z1289)</f>
        <v/>
      </c>
      <c r="AD1289" s="43">
        <f>IF(B1194&lt;&gt;"", B1194, "")</f>
        <v>46001</v>
      </c>
      <c r="AF1289" s="19" t="str">
        <f>IF(OR(AD1289="", AE1289=""), "", AD1289-AE1289)</f>
        <v/>
      </c>
      <c r="AG1289" s="10"/>
      <c r="AH1289" s="1"/>
      <c r="AI1289" s="1"/>
      <c r="AJ1289" s="1"/>
      <c r="AK1289" s="1"/>
      <c r="AL1289" s="1"/>
    </row>
    <row r="1290" spans="1:38" ht="15" customHeight="1">
      <c r="A1290" s="156">
        <v>1289</v>
      </c>
      <c r="B1290" s="134">
        <v>46026</v>
      </c>
      <c r="C1290" s="140" t="s">
        <v>2661</v>
      </c>
      <c r="D1290" s="136" t="s">
        <v>38</v>
      </c>
      <c r="E1290" s="136">
        <v>299.63</v>
      </c>
      <c r="F1290" s="136" t="s">
        <v>2662</v>
      </c>
      <c r="G1290" s="138" t="s">
        <v>190</v>
      </c>
      <c r="H1290" s="23" t="s">
        <v>40</v>
      </c>
      <c r="I1290" s="38" t="s">
        <v>41</v>
      </c>
      <c r="J1290" s="97">
        <f>B1290-100</f>
        <v>45926</v>
      </c>
      <c r="K1290" s="4">
        <v>45964</v>
      </c>
      <c r="L1290" s="19">
        <f>IF(OR(J1290="", K1290=""), "", J1290-K1290)</f>
        <v>-38</v>
      </c>
      <c r="M1290" s="5">
        <f>B1290-89</f>
        <v>45937</v>
      </c>
      <c r="O1290" s="19" t="str">
        <f>IF(OR(M1195="", N1290=""), "", M1195-N1290)</f>
        <v/>
      </c>
      <c r="P1290" s="5">
        <f>B1195-74</f>
        <v>45927</v>
      </c>
      <c r="R1290" s="19" t="str">
        <f>IF(OR(P1290="", Q1290=""), "", P1290-Q1290)</f>
        <v/>
      </c>
      <c r="S1290" s="5">
        <f>B1195-69</f>
        <v>45932</v>
      </c>
      <c r="U1290" s="19" t="str">
        <f>IF(OR(S1290="", T1290=""), "", S1290-T1290)</f>
        <v/>
      </c>
      <c r="V1290" s="5">
        <f>B1195-30</f>
        <v>45971</v>
      </c>
      <c r="W1290" s="6"/>
      <c r="X1290" s="19" t="str">
        <f>IF(OR(V1290="", W1290=""), "", V1290-W1290)</f>
        <v/>
      </c>
      <c r="Y1290" s="51">
        <f>B1195-2</f>
        <v>45999</v>
      </c>
      <c r="Z1290" s="49"/>
      <c r="AA1290" s="49" t="str">
        <f>IF(OR(Y1290="", Z1290=""), "", Y1290-Z1290)</f>
        <v/>
      </c>
      <c r="AB1290" s="51">
        <f>IF(B1291&lt;&gt;"", B1291, "")</f>
        <v>46027</v>
      </c>
      <c r="AC1290" s="49" t="str">
        <f>IF(OR(AB1290="", Z1290=""), "", AB1290-Z1290)</f>
        <v/>
      </c>
      <c r="AD1290" s="43">
        <f>IF(B1195&lt;&gt;"", B1195, "")</f>
        <v>46001</v>
      </c>
      <c r="AF1290" s="19" t="str">
        <f>IF(OR(AD1290="", AE1290=""), "", AD1290-AE1290)</f>
        <v/>
      </c>
      <c r="AG1290" s="10"/>
      <c r="AH1290" s="1"/>
      <c r="AI1290" s="1"/>
      <c r="AJ1290" s="1"/>
      <c r="AK1290" s="1"/>
      <c r="AL1290" s="1"/>
    </row>
    <row r="1291" spans="1:38" ht="15" customHeight="1">
      <c r="A1291" s="156">
        <v>1290</v>
      </c>
      <c r="B1291" s="134">
        <v>46027</v>
      </c>
      <c r="C1291" s="140" t="s">
        <v>2663</v>
      </c>
      <c r="D1291" s="136" t="s">
        <v>281</v>
      </c>
      <c r="E1291" s="136">
        <v>17799.52</v>
      </c>
      <c r="F1291" s="136" t="s">
        <v>2664</v>
      </c>
      <c r="G1291" s="138" t="s">
        <v>35</v>
      </c>
      <c r="H1291" s="23" t="s">
        <v>36</v>
      </c>
      <c r="I1291" s="38" t="s">
        <v>37</v>
      </c>
      <c r="J1291" s="97">
        <f>B1291-100</f>
        <v>45927</v>
      </c>
      <c r="K1291" s="4">
        <v>45964</v>
      </c>
      <c r="L1291" s="19">
        <f>IF(OR(J1291="", K1291=""), "", J1291-K1291)</f>
        <v>-37</v>
      </c>
      <c r="M1291" s="5">
        <f>B1291-89</f>
        <v>45938</v>
      </c>
      <c r="O1291" s="19" t="str">
        <f>IF(OR(M1196="", N1291=""), "", M1196-N1291)</f>
        <v/>
      </c>
      <c r="P1291" s="5">
        <f>B1196-74</f>
        <v>45927</v>
      </c>
      <c r="R1291" s="19" t="str">
        <f>IF(OR(P1291="", Q1291=""), "", P1291-Q1291)</f>
        <v/>
      </c>
      <c r="S1291" s="5">
        <f>B1196-69</f>
        <v>45932</v>
      </c>
      <c r="U1291" s="19" t="str">
        <f>IF(OR(S1291="", T1291=""), "", S1291-T1291)</f>
        <v/>
      </c>
      <c r="V1291" s="5">
        <f>B1196-30</f>
        <v>45971</v>
      </c>
      <c r="W1291" s="6"/>
      <c r="X1291" s="19" t="str">
        <f>IF(OR(V1291="", W1291=""), "", V1291-W1291)</f>
        <v/>
      </c>
      <c r="Y1291" s="51">
        <f>B1196-2</f>
        <v>45999</v>
      </c>
      <c r="Z1291" s="49"/>
      <c r="AA1291" s="49" t="str">
        <f>IF(OR(Y1291="", Z1291=""), "", Y1291-Z1291)</f>
        <v/>
      </c>
      <c r="AB1291" s="51">
        <f>IF(B1292&lt;&gt;"", B1292, "")</f>
        <v>46027</v>
      </c>
      <c r="AC1291" s="49" t="str">
        <f>IF(OR(AB1291="", Z1291=""), "", AB1291-Z1291)</f>
        <v/>
      </c>
      <c r="AD1291" s="43">
        <f>IF(B1196&lt;&gt;"", B1196, "")</f>
        <v>46001</v>
      </c>
      <c r="AF1291" s="19" t="str">
        <f>IF(OR(AD1291="", AE1291=""), "", AD1291-AE1291)</f>
        <v/>
      </c>
      <c r="AG1291" s="10"/>
      <c r="AH1291" s="1"/>
      <c r="AI1291" s="1"/>
      <c r="AJ1291" s="1"/>
      <c r="AK1291" s="1"/>
      <c r="AL1291" s="1"/>
    </row>
    <row r="1292" spans="1:38" ht="15" customHeight="1">
      <c r="A1292" s="156">
        <v>1291</v>
      </c>
      <c r="B1292" s="134">
        <v>46027</v>
      </c>
      <c r="C1292" s="140" t="s">
        <v>2665</v>
      </c>
      <c r="D1292" s="136" t="s">
        <v>287</v>
      </c>
      <c r="E1292" s="136">
        <v>1030.8499999999999</v>
      </c>
      <c r="F1292" s="136" t="s">
        <v>2523</v>
      </c>
      <c r="G1292" s="138" t="s">
        <v>120</v>
      </c>
      <c r="H1292" s="23" t="s">
        <v>40</v>
      </c>
      <c r="I1292" s="38" t="s">
        <v>41</v>
      </c>
      <c r="J1292" s="97">
        <f>B1292-100</f>
        <v>45927</v>
      </c>
      <c r="K1292" s="4">
        <v>45964</v>
      </c>
      <c r="L1292" s="19">
        <f>IF(OR(J1292="", K1292=""), "", J1292-K1292)</f>
        <v>-37</v>
      </c>
      <c r="M1292" s="5">
        <f>B1292-89</f>
        <v>45938</v>
      </c>
      <c r="O1292" s="19" t="str">
        <f>IF(OR(M1197="", N1292=""), "", M1197-N1292)</f>
        <v/>
      </c>
      <c r="P1292" s="5">
        <f>B1197-74</f>
        <v>45927</v>
      </c>
      <c r="R1292" s="19" t="str">
        <f>IF(OR(P1292="", Q1292=""), "", P1292-Q1292)</f>
        <v/>
      </c>
      <c r="S1292" s="5">
        <f>B1197-69</f>
        <v>45932</v>
      </c>
      <c r="U1292" s="19" t="str">
        <f>IF(OR(S1292="", T1292=""), "", S1292-T1292)</f>
        <v/>
      </c>
      <c r="V1292" s="5">
        <f>B1197-30</f>
        <v>45971</v>
      </c>
      <c r="W1292" s="6"/>
      <c r="X1292" s="19" t="str">
        <f>IF(OR(V1292="", W1292=""), "", V1292-W1292)</f>
        <v/>
      </c>
      <c r="Y1292" s="51">
        <f>B1197-2</f>
        <v>45999</v>
      </c>
      <c r="Z1292" s="49"/>
      <c r="AA1292" s="49" t="str">
        <f>IF(OR(Y1292="", Z1292=""), "", Y1292-Z1292)</f>
        <v/>
      </c>
      <c r="AB1292" s="51">
        <f>IF(B1293&lt;&gt;"", B1293, "")</f>
        <v>46027</v>
      </c>
      <c r="AC1292" s="49" t="str">
        <f>IF(OR(AB1292="", Z1292=""), "", AB1292-Z1292)</f>
        <v/>
      </c>
      <c r="AD1292" s="43">
        <f>IF(B1197&lt;&gt;"", B1197, "")</f>
        <v>46001</v>
      </c>
      <c r="AF1292" s="19" t="str">
        <f>IF(OR(AD1292="", AE1292=""), "", AD1292-AE1292)</f>
        <v/>
      </c>
      <c r="AG1292" s="10"/>
      <c r="AH1292" s="1"/>
      <c r="AI1292" s="1"/>
      <c r="AJ1292" s="1"/>
      <c r="AK1292" s="1"/>
      <c r="AL1292" s="1"/>
    </row>
    <row r="1293" spans="1:38" ht="15" customHeight="1">
      <c r="A1293" s="156">
        <v>1292</v>
      </c>
      <c r="B1293" s="134">
        <v>46027</v>
      </c>
      <c r="C1293" s="140" t="s">
        <v>2666</v>
      </c>
      <c r="D1293" s="136" t="s">
        <v>2667</v>
      </c>
      <c r="E1293" s="136">
        <v>6865.36</v>
      </c>
      <c r="F1293" s="136" t="s">
        <v>290</v>
      </c>
      <c r="G1293" s="138" t="s">
        <v>35</v>
      </c>
      <c r="H1293" s="23" t="s">
        <v>40</v>
      </c>
      <c r="I1293" s="38" t="s">
        <v>37</v>
      </c>
      <c r="J1293" s="97">
        <f>B1293-100</f>
        <v>45927</v>
      </c>
      <c r="K1293" s="4">
        <v>45964</v>
      </c>
      <c r="L1293" s="19">
        <f>IF(OR(J1293="", K1293=""), "", J1293-K1293)</f>
        <v>-37</v>
      </c>
      <c r="M1293" s="5">
        <f>B1293-89</f>
        <v>45938</v>
      </c>
      <c r="O1293" s="19" t="str">
        <f>IF(OR(M1198="", N1293=""), "", M1198-N1293)</f>
        <v/>
      </c>
      <c r="P1293" s="5">
        <f>B1198-74</f>
        <v>45927</v>
      </c>
      <c r="R1293" s="19" t="str">
        <f>IF(OR(P1293="", Q1293=""), "", P1293-Q1293)</f>
        <v/>
      </c>
      <c r="S1293" s="5">
        <f>B1198-69</f>
        <v>45932</v>
      </c>
      <c r="U1293" s="19" t="str">
        <f>IF(OR(S1293="", T1293=""), "", S1293-T1293)</f>
        <v/>
      </c>
      <c r="V1293" s="5">
        <f>B1198-30</f>
        <v>45971</v>
      </c>
      <c r="W1293" s="6"/>
      <c r="X1293" s="19" t="str">
        <f>IF(OR(V1293="", W1293=""), "", V1293-W1293)</f>
        <v/>
      </c>
      <c r="Y1293" s="51">
        <f>B1198-2</f>
        <v>45999</v>
      </c>
      <c r="Z1293" s="49"/>
      <c r="AA1293" s="49" t="str">
        <f>IF(OR(Y1293="", Z1293=""), "", Y1293-Z1293)</f>
        <v/>
      </c>
      <c r="AB1293" s="51">
        <f>IF(B1294&lt;&gt;"", B1294, "")</f>
        <v>46027</v>
      </c>
      <c r="AC1293" s="49" t="str">
        <f>IF(OR(AB1293="", Z1293=""), "", AB1293-Z1293)</f>
        <v/>
      </c>
      <c r="AD1293" s="43">
        <f>IF(B1198&lt;&gt;"", B1198, "")</f>
        <v>46001</v>
      </c>
      <c r="AF1293" s="19" t="str">
        <f>IF(OR(AD1293="", AE1293=""), "", AD1293-AE1293)</f>
        <v/>
      </c>
      <c r="AG1293" s="10"/>
      <c r="AH1293" s="1"/>
      <c r="AI1293" s="1"/>
      <c r="AJ1293" s="1"/>
      <c r="AK1293" s="1"/>
      <c r="AL1293" s="1"/>
    </row>
    <row r="1294" spans="1:38" ht="15" customHeight="1">
      <c r="A1294" s="156">
        <v>1293</v>
      </c>
      <c r="B1294" s="134">
        <v>46027</v>
      </c>
      <c r="C1294" s="140" t="s">
        <v>2668</v>
      </c>
      <c r="D1294" s="136" t="s">
        <v>2669</v>
      </c>
      <c r="E1294" s="136">
        <v>227.57</v>
      </c>
      <c r="F1294" s="136" t="s">
        <v>2670</v>
      </c>
      <c r="G1294" s="138" t="s">
        <v>51</v>
      </c>
      <c r="H1294" s="23" t="s">
        <v>40</v>
      </c>
      <c r="I1294" s="38" t="s">
        <v>62</v>
      </c>
      <c r="J1294" s="97">
        <f>B1294-100</f>
        <v>45927</v>
      </c>
      <c r="K1294" s="4">
        <v>45964</v>
      </c>
      <c r="L1294" s="19">
        <f>IF(OR(J1294="", K1294=""), "", J1294-K1294)</f>
        <v>-37</v>
      </c>
      <c r="M1294" s="5">
        <f>B1294-89</f>
        <v>45938</v>
      </c>
      <c r="O1294" s="19" t="str">
        <f>IF(OR(M1199="", N1294=""), "", M1199-N1294)</f>
        <v/>
      </c>
      <c r="P1294" s="5">
        <f>B1199-74</f>
        <v>45927</v>
      </c>
      <c r="R1294" s="19" t="str">
        <f>IF(OR(P1294="", Q1294=""), "", P1294-Q1294)</f>
        <v/>
      </c>
      <c r="S1294" s="5">
        <f>B1199-69</f>
        <v>45932</v>
      </c>
      <c r="U1294" s="19" t="str">
        <f>IF(OR(S1294="", T1294=""), "", S1294-T1294)</f>
        <v/>
      </c>
      <c r="V1294" s="5">
        <f>B1199-30</f>
        <v>45971</v>
      </c>
      <c r="W1294" s="6"/>
      <c r="X1294" s="19" t="str">
        <f>IF(OR(V1294="", W1294=""), "", V1294-W1294)</f>
        <v/>
      </c>
      <c r="Y1294" s="51">
        <f>B1199-2</f>
        <v>45999</v>
      </c>
      <c r="Z1294" s="49"/>
      <c r="AA1294" s="49" t="str">
        <f>IF(OR(Y1294="", Z1294=""), "", Y1294-Z1294)</f>
        <v/>
      </c>
      <c r="AB1294" s="51">
        <f>IF(B1295&lt;&gt;"", B1295, "")</f>
        <v>46028</v>
      </c>
      <c r="AC1294" s="49" t="str">
        <f>IF(OR(AB1294="", Z1294=""), "", AB1294-Z1294)</f>
        <v/>
      </c>
      <c r="AD1294" s="43">
        <f>IF(B1199&lt;&gt;"", B1199, "")</f>
        <v>46001</v>
      </c>
      <c r="AF1294" s="19" t="str">
        <f>IF(OR(AD1294="", AE1294=""), "", AD1294-AE1294)</f>
        <v/>
      </c>
      <c r="AG1294" s="10"/>
      <c r="AH1294" s="1"/>
      <c r="AI1294" s="1"/>
      <c r="AJ1294" s="1"/>
      <c r="AK1294" s="1"/>
      <c r="AL1294" s="1"/>
    </row>
    <row r="1295" spans="1:38" ht="15" customHeight="1">
      <c r="A1295" s="156">
        <v>1294</v>
      </c>
      <c r="B1295" s="134">
        <v>46028</v>
      </c>
      <c r="C1295" s="140" t="s">
        <v>2671</v>
      </c>
      <c r="D1295" s="136" t="s">
        <v>77</v>
      </c>
      <c r="E1295" s="136">
        <v>131905.29</v>
      </c>
      <c r="F1295" s="136" t="s">
        <v>2672</v>
      </c>
      <c r="G1295" s="138" t="s">
        <v>51</v>
      </c>
      <c r="H1295" s="23" t="s">
        <v>40</v>
      </c>
      <c r="I1295" s="38" t="s">
        <v>52</v>
      </c>
      <c r="J1295" s="97">
        <f>B1295-100</f>
        <v>45928</v>
      </c>
      <c r="K1295" s="4">
        <v>45964</v>
      </c>
      <c r="L1295" s="19">
        <f>IF(OR(J1295="", K1295=""), "", J1295-K1295)</f>
        <v>-36</v>
      </c>
      <c r="M1295" s="5">
        <f>B1295-89</f>
        <v>45939</v>
      </c>
      <c r="O1295" s="19" t="str">
        <f>IF(OR(M1200="", N1295=""), "", M1200-N1295)</f>
        <v/>
      </c>
      <c r="P1295" s="5">
        <f>B1200-74</f>
        <v>45927</v>
      </c>
      <c r="R1295" s="19" t="str">
        <f>IF(OR(P1295="", Q1295=""), "", P1295-Q1295)</f>
        <v/>
      </c>
      <c r="S1295" s="5">
        <f>B1200-69</f>
        <v>45932</v>
      </c>
      <c r="U1295" s="19" t="str">
        <f>IF(OR(S1295="", T1295=""), "", S1295-T1295)</f>
        <v/>
      </c>
      <c r="V1295" s="5">
        <f>B1200-30</f>
        <v>45971</v>
      </c>
      <c r="W1295" s="6"/>
      <c r="X1295" s="19" t="str">
        <f>IF(OR(V1295="", W1295=""), "", V1295-W1295)</f>
        <v/>
      </c>
      <c r="Y1295" s="51">
        <f>B1200-2</f>
        <v>45999</v>
      </c>
      <c r="Z1295" s="49"/>
      <c r="AA1295" s="49" t="str">
        <f>IF(OR(Y1295="", Z1295=""), "", Y1295-Z1295)</f>
        <v/>
      </c>
      <c r="AB1295" s="51">
        <f>IF(B1296&lt;&gt;"", B1296, "")</f>
        <v>46029</v>
      </c>
      <c r="AC1295" s="49" t="str">
        <f>IF(OR(AB1295="", Z1295=""), "", AB1295-Z1295)</f>
        <v/>
      </c>
      <c r="AD1295" s="43">
        <f>IF(B1200&lt;&gt;"", B1200, "")</f>
        <v>46001</v>
      </c>
      <c r="AF1295" s="19" t="str">
        <f>IF(OR(AD1295="", AE1295=""), "", AD1295-AE1295)</f>
        <v/>
      </c>
      <c r="AG1295" s="10"/>
      <c r="AH1295" s="1"/>
      <c r="AI1295" s="1"/>
      <c r="AJ1295" s="1"/>
      <c r="AK1295" s="1"/>
      <c r="AL1295" s="1"/>
    </row>
    <row r="1296" spans="1:38" ht="15" customHeight="1">
      <c r="A1296" s="156">
        <v>1295</v>
      </c>
      <c r="B1296" s="134">
        <v>46029</v>
      </c>
      <c r="C1296" s="140" t="s">
        <v>2673</v>
      </c>
      <c r="D1296" s="136" t="s">
        <v>2674</v>
      </c>
      <c r="E1296" s="136">
        <v>37405.230000000003</v>
      </c>
      <c r="F1296" s="136" t="s">
        <v>2675</v>
      </c>
      <c r="G1296" s="138" t="s">
        <v>35</v>
      </c>
      <c r="H1296" s="23" t="s">
        <v>36</v>
      </c>
      <c r="I1296" s="38" t="s">
        <v>37</v>
      </c>
      <c r="J1296" s="97">
        <f>B1296-100</f>
        <v>45929</v>
      </c>
      <c r="K1296" s="4">
        <v>45964</v>
      </c>
      <c r="L1296" s="19">
        <f>IF(OR(J1296="", K1296=""), "", J1296-K1296)</f>
        <v>-35</v>
      </c>
      <c r="M1296" s="5">
        <f>B1296-89</f>
        <v>45940</v>
      </c>
      <c r="O1296" s="19" t="str">
        <f>IF(OR(M1201="", N1296=""), "", M1201-N1296)</f>
        <v/>
      </c>
      <c r="P1296" s="5">
        <f>B1201-74</f>
        <v>45928</v>
      </c>
      <c r="R1296" s="19" t="str">
        <f>IF(OR(P1296="", Q1296=""), "", P1296-Q1296)</f>
        <v/>
      </c>
      <c r="S1296" s="5">
        <f>B1201-69</f>
        <v>45933</v>
      </c>
      <c r="U1296" s="19" t="str">
        <f>IF(OR(S1296="", T1296=""), "", S1296-T1296)</f>
        <v/>
      </c>
      <c r="V1296" s="5">
        <f>B1201-30</f>
        <v>45972</v>
      </c>
      <c r="W1296" s="6"/>
      <c r="X1296" s="19" t="str">
        <f>IF(OR(V1296="", W1296=""), "", V1296-W1296)</f>
        <v/>
      </c>
      <c r="Y1296" s="51">
        <f>B1201-2</f>
        <v>46000</v>
      </c>
      <c r="Z1296" s="49"/>
      <c r="AA1296" s="49" t="str">
        <f>IF(OR(Y1296="", Z1296=""), "", Y1296-Z1296)</f>
        <v/>
      </c>
      <c r="AB1296" s="51">
        <f>IF(B1297&lt;&gt;"", B1297, "")</f>
        <v>46029</v>
      </c>
      <c r="AC1296" s="49" t="str">
        <f>IF(OR(AB1296="", Z1296=""), "", AB1296-Z1296)</f>
        <v/>
      </c>
      <c r="AD1296" s="43">
        <f>IF(B1201&lt;&gt;"", B1201, "")</f>
        <v>46002</v>
      </c>
      <c r="AF1296" s="19" t="str">
        <f>IF(OR(AD1296="", AE1296=""), "", AD1296-AE1296)</f>
        <v/>
      </c>
      <c r="AG1296" s="10"/>
      <c r="AH1296" s="1"/>
      <c r="AI1296" s="1"/>
      <c r="AJ1296" s="1"/>
      <c r="AK1296" s="1"/>
      <c r="AL1296" s="1"/>
    </row>
    <row r="1297" spans="1:38" ht="15" customHeight="1">
      <c r="A1297" s="156">
        <v>1296</v>
      </c>
      <c r="B1297" s="134">
        <v>46029</v>
      </c>
      <c r="C1297" s="140" t="s">
        <v>2676</v>
      </c>
      <c r="D1297" s="136" t="s">
        <v>2677</v>
      </c>
      <c r="E1297" s="136">
        <v>7623.26</v>
      </c>
      <c r="F1297" s="136" t="s">
        <v>2678</v>
      </c>
      <c r="G1297" s="138" t="s">
        <v>120</v>
      </c>
      <c r="H1297" s="23" t="s">
        <v>40</v>
      </c>
      <c r="I1297" s="38" t="s">
        <v>93</v>
      </c>
      <c r="J1297" s="97">
        <f>B1297-100</f>
        <v>45929</v>
      </c>
      <c r="K1297" s="4">
        <v>45964</v>
      </c>
      <c r="L1297" s="19">
        <f>IF(OR(J1297="", K1297=""), "", J1297-K1297)</f>
        <v>-35</v>
      </c>
      <c r="M1297" s="5">
        <f>B1297-89</f>
        <v>45940</v>
      </c>
      <c r="O1297" s="19" t="str">
        <f>IF(OR(M1202="", N1297=""), "", M1202-N1297)</f>
        <v/>
      </c>
      <c r="P1297" s="5">
        <f>B1202-74</f>
        <v>45928</v>
      </c>
      <c r="R1297" s="19" t="str">
        <f>IF(OR(P1297="", Q1297=""), "", P1297-Q1297)</f>
        <v/>
      </c>
      <c r="S1297" s="5">
        <f>B1202-69</f>
        <v>45933</v>
      </c>
      <c r="U1297" s="19" t="str">
        <f>IF(OR(S1297="", T1297=""), "", S1297-T1297)</f>
        <v/>
      </c>
      <c r="V1297" s="5">
        <f>B1202-30</f>
        <v>45972</v>
      </c>
      <c r="W1297" s="6"/>
      <c r="X1297" s="19" t="str">
        <f>IF(OR(V1297="", W1297=""), "", V1297-W1297)</f>
        <v/>
      </c>
      <c r="Y1297" s="51">
        <f>B1202-2</f>
        <v>46000</v>
      </c>
      <c r="Z1297" s="49"/>
      <c r="AA1297" s="49" t="str">
        <f>IF(OR(Y1297="", Z1297=""), "", Y1297-Z1297)</f>
        <v/>
      </c>
      <c r="AB1297" s="51">
        <f>IF(B1298&lt;&gt;"", B1298, "")</f>
        <v>46030</v>
      </c>
      <c r="AC1297" s="49" t="str">
        <f>IF(OR(AB1297="", Z1297=""), "", AB1297-Z1297)</f>
        <v/>
      </c>
      <c r="AD1297" s="43">
        <f>IF(B1202&lt;&gt;"", B1202, "")</f>
        <v>46002</v>
      </c>
      <c r="AF1297" s="19" t="str">
        <f>IF(OR(AD1297="", AE1297=""), "", AD1297-AE1297)</f>
        <v/>
      </c>
      <c r="AG1297" s="10"/>
      <c r="AH1297" s="1"/>
      <c r="AI1297" s="1"/>
      <c r="AJ1297" s="1"/>
      <c r="AK1297" s="1"/>
      <c r="AL1297" s="1"/>
    </row>
    <row r="1298" spans="1:38" ht="15" customHeight="1">
      <c r="A1298" s="156">
        <v>1297</v>
      </c>
      <c r="B1298" s="134">
        <v>46030</v>
      </c>
      <c r="C1298" s="140" t="s">
        <v>2679</v>
      </c>
      <c r="D1298" s="136" t="s">
        <v>300</v>
      </c>
      <c r="E1298" s="136">
        <v>59868.4</v>
      </c>
      <c r="F1298" s="136" t="s">
        <v>2680</v>
      </c>
      <c r="G1298" s="138" t="s">
        <v>35</v>
      </c>
      <c r="H1298" s="23" t="s">
        <v>40</v>
      </c>
      <c r="I1298" s="38" t="s">
        <v>37</v>
      </c>
      <c r="J1298" s="97">
        <f>B1298-100</f>
        <v>45930</v>
      </c>
      <c r="K1298" s="4">
        <v>45964</v>
      </c>
      <c r="L1298" s="19">
        <f>IF(OR(J1298="", K1298=""), "", J1298-K1298)</f>
        <v>-34</v>
      </c>
      <c r="M1298" s="5">
        <f>B1298-89</f>
        <v>45941</v>
      </c>
      <c r="O1298" s="19" t="str">
        <f>IF(OR(M1203="", N1298=""), "", M1203-N1298)</f>
        <v/>
      </c>
      <c r="P1298" s="5">
        <f>B1203-74</f>
        <v>45928</v>
      </c>
      <c r="R1298" s="19" t="str">
        <f>IF(OR(P1298="", Q1298=""), "", P1298-Q1298)</f>
        <v/>
      </c>
      <c r="S1298" s="5">
        <f>B1203-69</f>
        <v>45933</v>
      </c>
      <c r="U1298" s="19" t="str">
        <f>IF(OR(S1298="", T1298=""), "", S1298-T1298)</f>
        <v/>
      </c>
      <c r="V1298" s="5">
        <f>B1203-30</f>
        <v>45972</v>
      </c>
      <c r="W1298" s="6"/>
      <c r="X1298" s="19" t="str">
        <f>IF(OR(V1298="", W1298=""), "", V1298-W1298)</f>
        <v/>
      </c>
      <c r="Y1298" s="51">
        <f>B1203-2</f>
        <v>46000</v>
      </c>
      <c r="Z1298" s="49"/>
      <c r="AA1298" s="49" t="str">
        <f>IF(OR(Y1298="", Z1298=""), "", Y1298-Z1298)</f>
        <v/>
      </c>
      <c r="AB1298" s="51">
        <f>IF(B1299&lt;&gt;"", B1299, "")</f>
        <v>46030</v>
      </c>
      <c r="AC1298" s="49" t="str">
        <f>IF(OR(AB1298="", Z1298=""), "", AB1298-Z1298)</f>
        <v/>
      </c>
      <c r="AD1298" s="43">
        <f>IF(B1203&lt;&gt;"", B1203, "")</f>
        <v>46002</v>
      </c>
      <c r="AF1298" s="19" t="str">
        <f>IF(OR(AD1298="", AE1298=""), "", AD1298-AE1298)</f>
        <v/>
      </c>
      <c r="AG1298" s="10"/>
      <c r="AH1298" s="1"/>
      <c r="AI1298" s="1"/>
      <c r="AJ1298" s="1"/>
      <c r="AK1298" s="1"/>
      <c r="AL1298" s="1"/>
    </row>
    <row r="1299" spans="1:38" ht="15" customHeight="1">
      <c r="A1299" s="156">
        <v>1298</v>
      </c>
      <c r="B1299" s="134">
        <v>46030</v>
      </c>
      <c r="C1299" s="140" t="s">
        <v>2681</v>
      </c>
      <c r="D1299" s="136" t="s">
        <v>301</v>
      </c>
      <c r="E1299" s="136">
        <v>25165.43</v>
      </c>
      <c r="F1299" s="136" t="s">
        <v>302</v>
      </c>
      <c r="G1299" s="138" t="s">
        <v>51</v>
      </c>
      <c r="H1299" s="23" t="s">
        <v>40</v>
      </c>
      <c r="I1299" s="38" t="s">
        <v>93</v>
      </c>
      <c r="J1299" s="97">
        <f>B1299-100</f>
        <v>45930</v>
      </c>
      <c r="K1299" s="4">
        <v>45960</v>
      </c>
      <c r="L1299" s="19">
        <f>IF(OR(J1299="", K1299=""), "", J1299-K1299)</f>
        <v>-30</v>
      </c>
      <c r="M1299" s="5">
        <f>B1299-89</f>
        <v>45941</v>
      </c>
      <c r="O1299" s="19" t="str">
        <f>IF(OR(M1204="", N1299=""), "", M1204-N1299)</f>
        <v/>
      </c>
      <c r="P1299" s="5">
        <f>B1204-74</f>
        <v>45928</v>
      </c>
      <c r="R1299" s="19" t="str">
        <f>IF(OR(P1299="", Q1299=""), "", P1299-Q1299)</f>
        <v/>
      </c>
      <c r="S1299" s="5">
        <f>B1204-69</f>
        <v>45933</v>
      </c>
      <c r="U1299" s="19" t="str">
        <f>IF(OR(S1299="", T1299=""), "", S1299-T1299)</f>
        <v/>
      </c>
      <c r="V1299" s="5">
        <f>B1204-30</f>
        <v>45972</v>
      </c>
      <c r="W1299" s="6"/>
      <c r="X1299" s="19" t="str">
        <f>IF(OR(V1299="", W1299=""), "", V1299-W1299)</f>
        <v/>
      </c>
      <c r="Y1299" s="51">
        <f>B1204-2</f>
        <v>46000</v>
      </c>
      <c r="Z1299" s="49"/>
      <c r="AA1299" s="49" t="str">
        <f>IF(OR(Y1299="", Z1299=""), "", Y1299-Z1299)</f>
        <v/>
      </c>
      <c r="AB1299" s="51">
        <f>IF(B1300&lt;&gt;"", B1300, "")</f>
        <v>46031</v>
      </c>
      <c r="AC1299" s="49" t="str">
        <f>IF(OR(AB1299="", Z1299=""), "", AB1299-Z1299)</f>
        <v/>
      </c>
      <c r="AD1299" s="43">
        <f>IF(B1204&lt;&gt;"", B1204, "")</f>
        <v>46002</v>
      </c>
      <c r="AF1299" s="19" t="str">
        <f>IF(OR(AD1299="", AE1299=""), "", AD1299-AE1299)</f>
        <v/>
      </c>
      <c r="AG1299" s="10"/>
      <c r="AH1299" s="1"/>
      <c r="AI1299" s="1"/>
      <c r="AJ1299" s="1"/>
      <c r="AK1299" s="1"/>
      <c r="AL1299" s="1"/>
    </row>
    <row r="1300" spans="1:38" ht="15" customHeight="1">
      <c r="A1300" s="156">
        <v>1299</v>
      </c>
      <c r="B1300" s="134">
        <v>46031</v>
      </c>
      <c r="C1300" s="140" t="s">
        <v>2682</v>
      </c>
      <c r="D1300" s="136" t="s">
        <v>2683</v>
      </c>
      <c r="E1300" s="136">
        <v>4724.28</v>
      </c>
      <c r="F1300" s="136" t="s">
        <v>2684</v>
      </c>
      <c r="G1300" s="138" t="s">
        <v>46</v>
      </c>
      <c r="H1300" s="23" t="s">
        <v>40</v>
      </c>
      <c r="I1300" s="38" t="s">
        <v>62</v>
      </c>
      <c r="J1300" s="97">
        <f>B1300-100</f>
        <v>45931</v>
      </c>
      <c r="K1300" s="4">
        <v>45950</v>
      </c>
      <c r="L1300" s="19">
        <f>IF(OR(J1300="", K1300=""), "", J1300-K1300)</f>
        <v>-19</v>
      </c>
      <c r="M1300" s="5">
        <f>B1300-89</f>
        <v>45942</v>
      </c>
      <c r="O1300" s="19" t="str">
        <f>IF(OR(M1205="", N1300=""), "", M1205-N1300)</f>
        <v/>
      </c>
      <c r="P1300" s="5">
        <f>B1205-74</f>
        <v>45929</v>
      </c>
      <c r="R1300" s="19" t="str">
        <f>IF(OR(P1300="", Q1300=""), "", P1300-Q1300)</f>
        <v/>
      </c>
      <c r="S1300" s="5">
        <f>B1205-69</f>
        <v>45934</v>
      </c>
      <c r="U1300" s="19" t="str">
        <f>IF(OR(S1300="", T1300=""), "", S1300-T1300)</f>
        <v/>
      </c>
      <c r="V1300" s="5">
        <f>B1205-30</f>
        <v>45973</v>
      </c>
      <c r="W1300" s="6"/>
      <c r="X1300" s="19" t="str">
        <f>IF(OR(V1300="", W1300=""), "", V1300-W1300)</f>
        <v/>
      </c>
      <c r="Y1300" s="51">
        <f>B1205-2</f>
        <v>46001</v>
      </c>
      <c r="Z1300" s="49"/>
      <c r="AA1300" s="49" t="str">
        <f>IF(OR(Y1300="", Z1300=""), "", Y1300-Z1300)</f>
        <v/>
      </c>
      <c r="AB1300" s="51">
        <f>IF(B1301&lt;&gt;"", B1301, "")</f>
        <v>46032</v>
      </c>
      <c r="AC1300" s="49" t="str">
        <f>IF(OR(AB1300="", Z1300=""), "", AB1300-Z1300)</f>
        <v/>
      </c>
      <c r="AD1300" s="43">
        <f>IF(B1205&lt;&gt;"", B1205, "")</f>
        <v>46003</v>
      </c>
      <c r="AF1300" s="19" t="str">
        <f>IF(OR(AD1300="", AE1300=""), "", AD1300-AE1300)</f>
        <v/>
      </c>
      <c r="AG1300" s="10"/>
      <c r="AH1300" s="1"/>
      <c r="AI1300" s="1"/>
      <c r="AJ1300" s="1"/>
      <c r="AK1300" s="1"/>
      <c r="AL1300" s="1"/>
    </row>
    <row r="1301" spans="1:38" ht="15" customHeight="1">
      <c r="A1301" s="156">
        <v>1300</v>
      </c>
      <c r="B1301" s="134">
        <v>46032</v>
      </c>
      <c r="C1301" s="140" t="s">
        <v>2685</v>
      </c>
      <c r="D1301" s="136" t="s">
        <v>2686</v>
      </c>
      <c r="E1301" s="136">
        <v>14648.12</v>
      </c>
      <c r="F1301" s="136" t="s">
        <v>307</v>
      </c>
      <c r="G1301" s="138" t="s">
        <v>46</v>
      </c>
      <c r="H1301" s="23" t="s">
        <v>36</v>
      </c>
      <c r="I1301" s="38" t="s">
        <v>93</v>
      </c>
      <c r="J1301" s="97">
        <f>B1301-100</f>
        <v>45932</v>
      </c>
      <c r="K1301" s="4">
        <v>45950</v>
      </c>
      <c r="L1301" s="19">
        <f>IF(OR(J1301="", K1301=""), "", J1301-K1301)</f>
        <v>-18</v>
      </c>
      <c r="M1301" s="5">
        <f>B1301-89</f>
        <v>45943</v>
      </c>
      <c r="O1301" s="19" t="str">
        <f>IF(OR(M1206="", N1301=""), "", M1206-N1301)</f>
        <v/>
      </c>
      <c r="P1301" s="5">
        <f>B1206-74</f>
        <v>45929</v>
      </c>
      <c r="R1301" s="19" t="str">
        <f>IF(OR(P1301="", Q1301=""), "", P1301-Q1301)</f>
        <v/>
      </c>
      <c r="S1301" s="5">
        <f>B1206-69</f>
        <v>45934</v>
      </c>
      <c r="U1301" s="19" t="str">
        <f>IF(OR(S1301="", T1301=""), "", S1301-T1301)</f>
        <v/>
      </c>
      <c r="V1301" s="5">
        <f>B1206-30</f>
        <v>45973</v>
      </c>
      <c r="W1301" s="6"/>
      <c r="X1301" s="19" t="str">
        <f>IF(OR(V1301="", W1301=""), "", V1301-W1301)</f>
        <v/>
      </c>
      <c r="Y1301" s="51">
        <f>B1206-2</f>
        <v>46001</v>
      </c>
      <c r="Z1301" s="49"/>
      <c r="AA1301" s="49" t="str">
        <f>IF(OR(Y1301="", Z1301=""), "", Y1301-Z1301)</f>
        <v/>
      </c>
      <c r="AB1301" s="51">
        <f>IF(B1302&lt;&gt;"", B1302, "")</f>
        <v>46032</v>
      </c>
      <c r="AC1301" s="49" t="str">
        <f>IF(OR(AB1301="", Z1301=""), "", AB1301-Z1301)</f>
        <v/>
      </c>
      <c r="AD1301" s="43">
        <f>IF(B1206&lt;&gt;"", B1206, "")</f>
        <v>46003</v>
      </c>
      <c r="AF1301" s="19" t="str">
        <f>IF(OR(AD1301="", AE1301=""), "", AD1301-AE1301)</f>
        <v/>
      </c>
      <c r="AG1301" s="10"/>
      <c r="AH1301" s="1"/>
      <c r="AI1301" s="1"/>
      <c r="AJ1301" s="1"/>
      <c r="AK1301" s="1"/>
      <c r="AL1301" s="1"/>
    </row>
    <row r="1302" spans="1:38" ht="15" customHeight="1">
      <c r="A1302" s="156">
        <v>1301</v>
      </c>
      <c r="B1302" s="134">
        <v>46032</v>
      </c>
      <c r="C1302" s="140" t="s">
        <v>2687</v>
      </c>
      <c r="D1302" s="136" t="s">
        <v>38</v>
      </c>
      <c r="E1302" s="136">
        <v>2427.2800000000002</v>
      </c>
      <c r="F1302" s="136" t="s">
        <v>2688</v>
      </c>
      <c r="G1302" s="138" t="s">
        <v>190</v>
      </c>
      <c r="H1302" s="23" t="s">
        <v>40</v>
      </c>
      <c r="I1302" s="38" t="s">
        <v>41</v>
      </c>
      <c r="J1302" s="97">
        <f>B1302-100</f>
        <v>45932</v>
      </c>
      <c r="K1302" s="4">
        <v>45964</v>
      </c>
      <c r="L1302" s="19">
        <f>IF(OR(J1302="", K1302=""), "", J1302-K1302)</f>
        <v>-32</v>
      </c>
      <c r="M1302" s="5">
        <f>B1302-89</f>
        <v>45943</v>
      </c>
      <c r="O1302" s="19" t="str">
        <f>IF(OR(M1207="", N1302=""), "", M1207-N1302)</f>
        <v/>
      </c>
      <c r="P1302" s="5">
        <f>B1207-74</f>
        <v>45929</v>
      </c>
      <c r="R1302" s="19" t="str">
        <f>IF(OR(P1302="", Q1302=""), "", P1302-Q1302)</f>
        <v/>
      </c>
      <c r="S1302" s="5">
        <f>B1207-69</f>
        <v>45934</v>
      </c>
      <c r="U1302" s="19" t="str">
        <f>IF(OR(S1302="", T1302=""), "", S1302-T1302)</f>
        <v/>
      </c>
      <c r="V1302" s="5">
        <f>B1207-30</f>
        <v>45973</v>
      </c>
      <c r="W1302" s="6"/>
      <c r="X1302" s="19" t="str">
        <f>IF(OR(V1302="", W1302=""), "", V1302-W1302)</f>
        <v/>
      </c>
      <c r="Y1302" s="51">
        <f>B1207-2</f>
        <v>46001</v>
      </c>
      <c r="Z1302" s="49"/>
      <c r="AA1302" s="49" t="str">
        <f>IF(OR(Y1302="", Z1302=""), "", Y1302-Z1302)</f>
        <v/>
      </c>
      <c r="AB1302" s="51">
        <f>IF(B1303&lt;&gt;"", B1303, "")</f>
        <v>46032</v>
      </c>
      <c r="AC1302" s="49" t="str">
        <f>IF(OR(AB1302="", Z1302=""), "", AB1302-Z1302)</f>
        <v/>
      </c>
      <c r="AD1302" s="43">
        <f>IF(B1207&lt;&gt;"", B1207, "")</f>
        <v>46003</v>
      </c>
      <c r="AF1302" s="19" t="str">
        <f>IF(OR(AD1302="", AE1302=""), "", AD1302-AE1302)</f>
        <v/>
      </c>
      <c r="AG1302" s="10"/>
      <c r="AH1302" s="1"/>
      <c r="AI1302" s="1"/>
      <c r="AJ1302" s="1"/>
      <c r="AK1302" s="1"/>
      <c r="AL1302" s="1"/>
    </row>
    <row r="1303" spans="1:38" ht="15" customHeight="1">
      <c r="A1303" s="156">
        <v>1302</v>
      </c>
      <c r="B1303" s="134">
        <v>46032</v>
      </c>
      <c r="C1303" s="140" t="s">
        <v>2689</v>
      </c>
      <c r="D1303" s="136" t="s">
        <v>38</v>
      </c>
      <c r="E1303" s="136">
        <v>405.68</v>
      </c>
      <c r="F1303" s="136" t="s">
        <v>2690</v>
      </c>
      <c r="G1303" s="138" t="s">
        <v>35</v>
      </c>
      <c r="H1303" s="23" t="s">
        <v>40</v>
      </c>
      <c r="I1303" s="38" t="s">
        <v>41</v>
      </c>
      <c r="J1303" s="97">
        <f>B1303-100</f>
        <v>45932</v>
      </c>
      <c r="K1303" s="4">
        <v>45964</v>
      </c>
      <c r="L1303" s="19">
        <f>IF(OR(J1303="", K1303=""), "", J1303-K1303)</f>
        <v>-32</v>
      </c>
      <c r="M1303" s="5">
        <f>B1303-89</f>
        <v>45943</v>
      </c>
      <c r="O1303" s="19" t="str">
        <f>IF(OR(M1208="", N1303=""), "", M1208-N1303)</f>
        <v/>
      </c>
      <c r="P1303" s="5">
        <f>B1208-74</f>
        <v>45929</v>
      </c>
      <c r="R1303" s="19" t="str">
        <f>IF(OR(P1303="", Q1303=""), "", P1303-Q1303)</f>
        <v/>
      </c>
      <c r="S1303" s="5">
        <f>B1208-69</f>
        <v>45934</v>
      </c>
      <c r="U1303" s="19" t="str">
        <f>IF(OR(S1303="", T1303=""), "", S1303-T1303)</f>
        <v/>
      </c>
      <c r="V1303" s="5">
        <f>B1208-30</f>
        <v>45973</v>
      </c>
      <c r="W1303" s="6"/>
      <c r="X1303" s="19" t="str">
        <f>IF(OR(V1303="", W1303=""), "", V1303-W1303)</f>
        <v/>
      </c>
      <c r="Y1303" s="51">
        <f>B1208-2</f>
        <v>46001</v>
      </c>
      <c r="Z1303" s="49"/>
      <c r="AA1303" s="49" t="str">
        <f>IF(OR(Y1303="", Z1303=""), "", Y1303-Z1303)</f>
        <v/>
      </c>
      <c r="AB1303" s="51">
        <f>IF(B1304&lt;&gt;"", B1304, "")</f>
        <v>46032</v>
      </c>
      <c r="AC1303" s="49" t="str">
        <f>IF(OR(AB1303="", Z1303=""), "", AB1303-Z1303)</f>
        <v/>
      </c>
      <c r="AD1303" s="43">
        <f>IF(B1208&lt;&gt;"", B1208, "")</f>
        <v>46003</v>
      </c>
      <c r="AF1303" s="19" t="str">
        <f>IF(OR(AD1303="", AE1303=""), "", AD1303-AE1303)</f>
        <v/>
      </c>
      <c r="AG1303" s="10"/>
      <c r="AH1303" s="1"/>
      <c r="AI1303" s="1"/>
      <c r="AJ1303" s="1"/>
      <c r="AK1303" s="1"/>
      <c r="AL1303" s="1"/>
    </row>
    <row r="1304" spans="1:38" ht="15" customHeight="1">
      <c r="A1304" s="156">
        <v>1303</v>
      </c>
      <c r="B1304" s="134">
        <v>46032</v>
      </c>
      <c r="C1304" s="140" t="s">
        <v>2691</v>
      </c>
      <c r="D1304" s="136" t="s">
        <v>246</v>
      </c>
      <c r="E1304" s="136">
        <v>24985.75</v>
      </c>
      <c r="F1304" s="136" t="s">
        <v>2692</v>
      </c>
      <c r="G1304" s="138" t="s">
        <v>35</v>
      </c>
      <c r="H1304" s="23" t="s">
        <v>36</v>
      </c>
      <c r="I1304" s="38" t="s">
        <v>62</v>
      </c>
      <c r="J1304" s="97">
        <f>B1304-100</f>
        <v>45932</v>
      </c>
      <c r="K1304" s="4">
        <v>45964</v>
      </c>
      <c r="L1304" s="19">
        <f>IF(OR(J1304="", K1304=""), "", J1304-K1304)</f>
        <v>-32</v>
      </c>
      <c r="M1304" s="5">
        <f>B1304-89</f>
        <v>45943</v>
      </c>
      <c r="O1304" s="19" t="str">
        <f>IF(OR(M1209="", N1304=""), "", M1209-N1304)</f>
        <v/>
      </c>
      <c r="P1304" s="5">
        <f>B1209-74</f>
        <v>45929</v>
      </c>
      <c r="R1304" s="19" t="str">
        <f>IF(OR(P1304="", Q1304=""), "", P1304-Q1304)</f>
        <v/>
      </c>
      <c r="S1304" s="5">
        <f>B1209-69</f>
        <v>45934</v>
      </c>
      <c r="U1304" s="19" t="str">
        <f>IF(OR(S1304="", T1304=""), "", S1304-T1304)</f>
        <v/>
      </c>
      <c r="V1304" s="5">
        <f>B1209-30</f>
        <v>45973</v>
      </c>
      <c r="W1304" s="6"/>
      <c r="X1304" s="19" t="str">
        <f>IF(OR(V1304="", W1304=""), "", V1304-W1304)</f>
        <v/>
      </c>
      <c r="Y1304" s="51">
        <f>B1209-2</f>
        <v>46001</v>
      </c>
      <c r="Z1304" s="49"/>
      <c r="AA1304" s="49" t="str">
        <f>IF(OR(Y1304="", Z1304=""), "", Y1304-Z1304)</f>
        <v/>
      </c>
      <c r="AB1304" s="51">
        <f>IF(B1305&lt;&gt;"", B1305, "")</f>
        <v>46032</v>
      </c>
      <c r="AC1304" s="49" t="str">
        <f>IF(OR(AB1304="", Z1304=""), "", AB1304-Z1304)</f>
        <v/>
      </c>
      <c r="AD1304" s="43">
        <f>IF(B1209&lt;&gt;"", B1209, "")</f>
        <v>46003</v>
      </c>
      <c r="AF1304" s="19" t="str">
        <f>IF(OR(AD1304="", AE1304=""), "", AD1304-AE1304)</f>
        <v/>
      </c>
      <c r="AG1304" s="10"/>
      <c r="AH1304" s="1"/>
      <c r="AI1304" s="1"/>
      <c r="AJ1304" s="1"/>
      <c r="AK1304" s="1"/>
      <c r="AL1304" s="1"/>
    </row>
    <row r="1305" spans="1:38" ht="15" customHeight="1">
      <c r="A1305" s="156">
        <v>1304</v>
      </c>
      <c r="B1305" s="134">
        <v>46032</v>
      </c>
      <c r="C1305" s="140" t="s">
        <v>2693</v>
      </c>
      <c r="D1305" s="136" t="s">
        <v>246</v>
      </c>
      <c r="E1305" s="136">
        <v>33314.769999999997</v>
      </c>
      <c r="F1305" s="136" t="s">
        <v>2694</v>
      </c>
      <c r="G1305" s="138" t="s">
        <v>35</v>
      </c>
      <c r="H1305" s="23" t="s">
        <v>36</v>
      </c>
      <c r="I1305" s="38" t="s">
        <v>62</v>
      </c>
      <c r="J1305" s="97">
        <f>B1305-100</f>
        <v>45932</v>
      </c>
      <c r="K1305" s="4">
        <v>45964</v>
      </c>
      <c r="L1305" s="19">
        <f>IF(OR(J1305="", K1305=""), "", J1305-K1305)</f>
        <v>-32</v>
      </c>
      <c r="M1305" s="5">
        <f>B1305-89</f>
        <v>45943</v>
      </c>
      <c r="O1305" s="19" t="str">
        <f>IF(OR(M1210="", N1305=""), "", M1210-N1305)</f>
        <v/>
      </c>
      <c r="P1305" s="5">
        <f>B1210-74</f>
        <v>45930</v>
      </c>
      <c r="R1305" s="19" t="str">
        <f>IF(OR(P1305="", Q1305=""), "", P1305-Q1305)</f>
        <v/>
      </c>
      <c r="S1305" s="5">
        <f>B1210-69</f>
        <v>45935</v>
      </c>
      <c r="U1305" s="19" t="str">
        <f>IF(OR(S1305="", T1305=""), "", S1305-T1305)</f>
        <v/>
      </c>
      <c r="V1305" s="5">
        <f>B1210-30</f>
        <v>45974</v>
      </c>
      <c r="W1305" s="6"/>
      <c r="X1305" s="19" t="str">
        <f>IF(OR(V1305="", W1305=""), "", V1305-W1305)</f>
        <v/>
      </c>
      <c r="Y1305" s="51">
        <f>B1210-2</f>
        <v>46002</v>
      </c>
      <c r="Z1305" s="49"/>
      <c r="AA1305" s="49" t="str">
        <f>IF(OR(Y1305="", Z1305=""), "", Y1305-Z1305)</f>
        <v/>
      </c>
      <c r="AB1305" s="51">
        <f>IF(B1306&lt;&gt;"", B1306, "")</f>
        <v>46033</v>
      </c>
      <c r="AC1305" s="49" t="str">
        <f>IF(OR(AB1305="", Z1305=""), "", AB1305-Z1305)</f>
        <v/>
      </c>
      <c r="AD1305" s="43">
        <f>IF(B1210&lt;&gt;"", B1210, "")</f>
        <v>46004</v>
      </c>
      <c r="AF1305" s="19" t="str">
        <f>IF(OR(AD1305="", AE1305=""), "", AD1305-AE1305)</f>
        <v/>
      </c>
      <c r="AG1305" s="10"/>
      <c r="AH1305" s="1"/>
      <c r="AI1305" s="1"/>
      <c r="AJ1305" s="1"/>
      <c r="AK1305" s="1"/>
      <c r="AL1305" s="1"/>
    </row>
    <row r="1306" spans="1:38" ht="15" customHeight="1">
      <c r="A1306" s="156">
        <v>1305</v>
      </c>
      <c r="B1306" s="134">
        <v>46033</v>
      </c>
      <c r="C1306" s="140" t="s">
        <v>2695</v>
      </c>
      <c r="D1306" s="136" t="s">
        <v>38</v>
      </c>
      <c r="E1306" s="136">
        <v>832.04</v>
      </c>
      <c r="F1306" s="136" t="s">
        <v>2696</v>
      </c>
      <c r="G1306" s="138" t="s">
        <v>190</v>
      </c>
      <c r="H1306" s="23" t="s">
        <v>40</v>
      </c>
      <c r="I1306" s="38" t="s">
        <v>41</v>
      </c>
      <c r="J1306" s="97">
        <f>B1306-100</f>
        <v>45933</v>
      </c>
      <c r="K1306" s="4">
        <v>45964</v>
      </c>
      <c r="L1306" s="19">
        <f>IF(OR(J1306="", K1306=""), "", J1306-K1306)</f>
        <v>-31</v>
      </c>
      <c r="M1306" s="5">
        <f>B1306-89</f>
        <v>45944</v>
      </c>
      <c r="O1306" s="19" t="str">
        <f>IF(OR(M1211="", N1306=""), "", M1211-N1306)</f>
        <v/>
      </c>
      <c r="P1306" s="5">
        <f>B1211-74</f>
        <v>45930</v>
      </c>
      <c r="R1306" s="19" t="str">
        <f>IF(OR(P1306="", Q1306=""), "", P1306-Q1306)</f>
        <v/>
      </c>
      <c r="S1306" s="5">
        <f>B1211-69</f>
        <v>45935</v>
      </c>
      <c r="U1306" s="19" t="str">
        <f>IF(OR(S1306="", T1306=""), "", S1306-T1306)</f>
        <v/>
      </c>
      <c r="V1306" s="5">
        <f>B1211-30</f>
        <v>45974</v>
      </c>
      <c r="W1306" s="6"/>
      <c r="X1306" s="19" t="str">
        <f>IF(OR(V1306="", W1306=""), "", V1306-W1306)</f>
        <v/>
      </c>
      <c r="Y1306" s="51">
        <f>B1211-2</f>
        <v>46002</v>
      </c>
      <c r="Z1306" s="49"/>
      <c r="AA1306" s="49" t="str">
        <f>IF(OR(Y1306="", Z1306=""), "", Y1306-Z1306)</f>
        <v/>
      </c>
      <c r="AB1306" s="51">
        <f>IF(B1307&lt;&gt;"", B1307, "")</f>
        <v>46033</v>
      </c>
      <c r="AC1306" s="49" t="str">
        <f>IF(OR(AB1306="", Z1306=""), "", AB1306-Z1306)</f>
        <v/>
      </c>
      <c r="AD1306" s="43">
        <f>IF(B1211&lt;&gt;"", B1211, "")</f>
        <v>46004</v>
      </c>
      <c r="AF1306" s="19" t="str">
        <f>IF(OR(AD1306="", AE1306=""), "", AD1306-AE1306)</f>
        <v/>
      </c>
      <c r="AG1306" s="10"/>
      <c r="AH1306" s="1"/>
      <c r="AI1306" s="1"/>
      <c r="AJ1306" s="1"/>
      <c r="AK1306" s="1"/>
      <c r="AL1306" s="1"/>
    </row>
    <row r="1307" spans="1:38" ht="15" customHeight="1">
      <c r="A1307" s="156">
        <v>1306</v>
      </c>
      <c r="B1307" s="134">
        <v>46033</v>
      </c>
      <c r="C1307" s="140" t="s">
        <v>2697</v>
      </c>
      <c r="D1307" s="136" t="s">
        <v>312</v>
      </c>
      <c r="E1307" s="136">
        <v>950</v>
      </c>
      <c r="F1307" s="136" t="s">
        <v>313</v>
      </c>
      <c r="G1307" s="138" t="s">
        <v>120</v>
      </c>
      <c r="H1307" s="23" t="s">
        <v>36</v>
      </c>
      <c r="I1307" s="38" t="s">
        <v>62</v>
      </c>
      <c r="J1307" s="97">
        <f>B1307-100</f>
        <v>45933</v>
      </c>
      <c r="K1307" s="4">
        <v>45964</v>
      </c>
      <c r="L1307" s="19">
        <f>IF(OR(J1307="", K1307=""), "", J1307-K1307)</f>
        <v>-31</v>
      </c>
      <c r="M1307" s="5">
        <f>B1307-89</f>
        <v>45944</v>
      </c>
      <c r="O1307" s="19" t="str">
        <f>IF(OR(M1212="", N1307=""), "", M1212-N1307)</f>
        <v/>
      </c>
      <c r="P1307" s="5">
        <f>B1212-74</f>
        <v>45931</v>
      </c>
      <c r="R1307" s="19" t="str">
        <f>IF(OR(P1307="", Q1307=""), "", P1307-Q1307)</f>
        <v/>
      </c>
      <c r="S1307" s="5">
        <f>B1212-69</f>
        <v>45936</v>
      </c>
      <c r="U1307" s="19" t="str">
        <f>IF(OR(S1307="", T1307=""), "", S1307-T1307)</f>
        <v/>
      </c>
      <c r="V1307" s="5">
        <f>B1212-30</f>
        <v>45975</v>
      </c>
      <c r="W1307" s="6"/>
      <c r="X1307" s="19" t="str">
        <f>IF(OR(V1307="", W1307=""), "", V1307-W1307)</f>
        <v/>
      </c>
      <c r="Y1307" s="51">
        <f>B1212-2</f>
        <v>46003</v>
      </c>
      <c r="Z1307" s="49"/>
      <c r="AA1307" s="49" t="str">
        <f>IF(OR(Y1307="", Z1307=""), "", Y1307-Z1307)</f>
        <v/>
      </c>
      <c r="AB1307" s="51">
        <f>IF(B1308&lt;&gt;"", B1308, "")</f>
        <v>46033</v>
      </c>
      <c r="AC1307" s="49" t="str">
        <f>IF(OR(AB1307="", Z1307=""), "", AB1307-Z1307)</f>
        <v/>
      </c>
      <c r="AD1307" s="43">
        <f>IF(B1212&lt;&gt;"", B1212, "")</f>
        <v>46005</v>
      </c>
      <c r="AF1307" s="19" t="str">
        <f>IF(OR(AD1307="", AE1307=""), "", AD1307-AE1307)</f>
        <v/>
      </c>
      <c r="AG1307" s="10"/>
      <c r="AH1307" s="1"/>
      <c r="AI1307" s="1"/>
      <c r="AJ1307" s="1"/>
      <c r="AK1307" s="1"/>
      <c r="AL1307" s="1"/>
    </row>
    <row r="1308" spans="1:38" ht="15" customHeight="1">
      <c r="A1308" s="156">
        <v>1307</v>
      </c>
      <c r="B1308" s="134">
        <v>46033</v>
      </c>
      <c r="C1308" s="140" t="s">
        <v>2698</v>
      </c>
      <c r="D1308" s="136" t="s">
        <v>246</v>
      </c>
      <c r="E1308" s="136">
        <v>27506.14</v>
      </c>
      <c r="F1308" s="136" t="s">
        <v>2699</v>
      </c>
      <c r="G1308" s="138" t="s">
        <v>35</v>
      </c>
      <c r="H1308" s="23" t="s">
        <v>36</v>
      </c>
      <c r="I1308" s="38" t="s">
        <v>37</v>
      </c>
      <c r="J1308" s="97">
        <f>B1308-100</f>
        <v>45933</v>
      </c>
      <c r="K1308" s="4">
        <v>45964</v>
      </c>
      <c r="L1308" s="19">
        <f>IF(OR(J1308="", K1308=""), "", J1308-K1308)</f>
        <v>-31</v>
      </c>
      <c r="M1308" s="5">
        <f>B1308-89</f>
        <v>45944</v>
      </c>
      <c r="O1308" s="19" t="str">
        <f>IF(OR(M1213="", N1308=""), "", M1213-N1308)</f>
        <v/>
      </c>
      <c r="P1308" s="5">
        <f>B1213-74</f>
        <v>45932</v>
      </c>
      <c r="R1308" s="19" t="str">
        <f>IF(OR(P1308="", Q1308=""), "", P1308-Q1308)</f>
        <v/>
      </c>
      <c r="S1308" s="5">
        <f>B1213-69</f>
        <v>45937</v>
      </c>
      <c r="U1308" s="19" t="str">
        <f>IF(OR(S1308="", T1308=""), "", S1308-T1308)</f>
        <v/>
      </c>
      <c r="V1308" s="5">
        <f>B1213-30</f>
        <v>45976</v>
      </c>
      <c r="W1308" s="6"/>
      <c r="X1308" s="19" t="str">
        <f>IF(OR(V1308="", W1308=""), "", V1308-W1308)</f>
        <v/>
      </c>
      <c r="Y1308" s="51">
        <f>B1213-2</f>
        <v>46004</v>
      </c>
      <c r="Z1308" s="49"/>
      <c r="AA1308" s="49" t="str">
        <f>IF(OR(Y1308="", Z1308=""), "", Y1308-Z1308)</f>
        <v/>
      </c>
      <c r="AB1308" s="51">
        <f>IF(B1309&lt;&gt;"", B1309, "")</f>
        <v>46033</v>
      </c>
      <c r="AC1308" s="49" t="str">
        <f>IF(OR(AB1308="", Z1308=""), "", AB1308-Z1308)</f>
        <v/>
      </c>
      <c r="AD1308" s="43">
        <f>IF(B1213&lt;&gt;"", B1213, "")</f>
        <v>46006</v>
      </c>
      <c r="AF1308" s="19" t="str">
        <f>IF(OR(AD1308="", AE1308=""), "", AD1308-AE1308)</f>
        <v/>
      </c>
      <c r="AG1308" s="10"/>
      <c r="AH1308" s="1"/>
      <c r="AI1308" s="1"/>
      <c r="AJ1308" s="1"/>
      <c r="AK1308" s="1"/>
      <c r="AL1308" s="1"/>
    </row>
    <row r="1309" spans="1:38" ht="15" customHeight="1">
      <c r="A1309" s="156">
        <v>1308</v>
      </c>
      <c r="B1309" s="134">
        <v>46033</v>
      </c>
      <c r="C1309" s="140" t="s">
        <v>2700</v>
      </c>
      <c r="D1309" s="136" t="s">
        <v>315</v>
      </c>
      <c r="E1309" s="136">
        <v>2338.5700000000002</v>
      </c>
      <c r="F1309" s="136" t="s">
        <v>2701</v>
      </c>
      <c r="G1309" s="138" t="s">
        <v>120</v>
      </c>
      <c r="H1309" s="23" t="s">
        <v>40</v>
      </c>
      <c r="I1309" s="38" t="s">
        <v>93</v>
      </c>
      <c r="J1309" s="97">
        <f>B1309-100</f>
        <v>45933</v>
      </c>
      <c r="K1309" s="4">
        <v>45964</v>
      </c>
      <c r="L1309" s="19">
        <f>IF(OR(J1309="", K1309=""), "", J1309-K1309)</f>
        <v>-31</v>
      </c>
      <c r="M1309" s="5">
        <f>B1309-89</f>
        <v>45944</v>
      </c>
      <c r="O1309" s="19" t="str">
        <f>IF(OR(M1214="", N1309=""), "", M1214-N1309)</f>
        <v/>
      </c>
      <c r="P1309" s="5">
        <f>B1214-74</f>
        <v>45932</v>
      </c>
      <c r="R1309" s="19" t="str">
        <f>IF(OR(P1309="", Q1309=""), "", P1309-Q1309)</f>
        <v/>
      </c>
      <c r="S1309" s="5">
        <f>B1214-69</f>
        <v>45937</v>
      </c>
      <c r="U1309" s="19" t="str">
        <f>IF(OR(S1309="", T1309=""), "", S1309-T1309)</f>
        <v/>
      </c>
      <c r="V1309" s="5">
        <f>B1214-30</f>
        <v>45976</v>
      </c>
      <c r="W1309" s="6"/>
      <c r="X1309" s="19" t="str">
        <f>IF(OR(V1309="", W1309=""), "", V1309-W1309)</f>
        <v/>
      </c>
      <c r="Y1309" s="51">
        <f>B1214-2</f>
        <v>46004</v>
      </c>
      <c r="Z1309" s="49"/>
      <c r="AA1309" s="49" t="str">
        <f>IF(OR(Y1309="", Z1309=""), "", Y1309-Z1309)</f>
        <v/>
      </c>
      <c r="AB1309" s="51">
        <f>IF(B1310&lt;&gt;"", B1310, "")</f>
        <v>46034</v>
      </c>
      <c r="AC1309" s="49" t="str">
        <f>IF(OR(AB1309="", Z1309=""), "", AB1309-Z1309)</f>
        <v/>
      </c>
      <c r="AD1309" s="43">
        <f>IF(B1214&lt;&gt;"", B1214, "")</f>
        <v>46006</v>
      </c>
      <c r="AF1309" s="19" t="str">
        <f>IF(OR(AD1309="", AE1309=""), "", AD1309-AE1309)</f>
        <v/>
      </c>
      <c r="AG1309" s="10"/>
      <c r="AH1309" s="1"/>
      <c r="AI1309" s="1"/>
      <c r="AJ1309" s="1"/>
      <c r="AK1309" s="1"/>
      <c r="AL1309" s="1"/>
    </row>
    <row r="1310" spans="1:38" ht="15" customHeight="1">
      <c r="A1310" s="156">
        <v>1309</v>
      </c>
      <c r="B1310" s="134">
        <v>46034</v>
      </c>
      <c r="C1310" s="140" t="s">
        <v>2702</v>
      </c>
      <c r="D1310" s="136" t="s">
        <v>315</v>
      </c>
      <c r="E1310" s="136">
        <v>928.55</v>
      </c>
      <c r="F1310" s="136" t="s">
        <v>2523</v>
      </c>
      <c r="G1310" s="138" t="s">
        <v>120</v>
      </c>
      <c r="H1310" s="23" t="s">
        <v>40</v>
      </c>
      <c r="I1310" s="38" t="s">
        <v>41</v>
      </c>
      <c r="J1310" s="97">
        <f>B1310-100</f>
        <v>45934</v>
      </c>
      <c r="K1310" s="4">
        <v>45964</v>
      </c>
      <c r="L1310" s="19">
        <f>IF(OR(J1310="", K1310=""), "", J1310-K1310)</f>
        <v>-30</v>
      </c>
      <c r="M1310" s="5">
        <f>B1310-89</f>
        <v>45945</v>
      </c>
      <c r="O1310" s="19" t="str">
        <f>IF(OR(M1215="", N1310=""), "", M1215-N1310)</f>
        <v/>
      </c>
      <c r="P1310" s="5">
        <f>B1215-74</f>
        <v>45933</v>
      </c>
      <c r="R1310" s="19" t="str">
        <f>IF(OR(P1310="", Q1310=""), "", P1310-Q1310)</f>
        <v/>
      </c>
      <c r="S1310" s="5">
        <f>B1215-69</f>
        <v>45938</v>
      </c>
      <c r="U1310" s="19" t="str">
        <f>IF(OR(S1310="", T1310=""), "", S1310-T1310)</f>
        <v/>
      </c>
      <c r="V1310" s="5">
        <f>B1215-30</f>
        <v>45977</v>
      </c>
      <c r="W1310" s="6"/>
      <c r="X1310" s="19" t="str">
        <f>IF(OR(V1310="", W1310=""), "", V1310-W1310)</f>
        <v/>
      </c>
      <c r="Y1310" s="51">
        <f>B1215-2</f>
        <v>46005</v>
      </c>
      <c r="Z1310" s="49"/>
      <c r="AA1310" s="49" t="str">
        <f>IF(OR(Y1310="", Z1310=""), "", Y1310-Z1310)</f>
        <v/>
      </c>
      <c r="AB1310" s="51">
        <f>IF(B1311&lt;&gt;"", B1311, "")</f>
        <v>46035</v>
      </c>
      <c r="AC1310" s="49" t="str">
        <f>IF(OR(AB1310="", Z1310=""), "", AB1310-Z1310)</f>
        <v/>
      </c>
      <c r="AD1310" s="43">
        <f>IF(B1215&lt;&gt;"", B1215, "")</f>
        <v>46007</v>
      </c>
      <c r="AF1310" s="19" t="str">
        <f>IF(OR(AD1310="", AE1310=""), "", AD1310-AE1310)</f>
        <v/>
      </c>
      <c r="AG1310" s="10"/>
      <c r="AH1310" s="1"/>
      <c r="AI1310" s="1"/>
      <c r="AJ1310" s="1"/>
      <c r="AK1310" s="1"/>
      <c r="AL1310" s="1"/>
    </row>
    <row r="1311" spans="1:38" ht="15" customHeight="1">
      <c r="A1311" s="156">
        <v>1310</v>
      </c>
      <c r="B1311" s="134">
        <v>46035</v>
      </c>
      <c r="C1311" s="140" t="s">
        <v>2703</v>
      </c>
      <c r="D1311" s="136" t="s">
        <v>100</v>
      </c>
      <c r="E1311" s="136">
        <v>5516.37</v>
      </c>
      <c r="F1311" s="136" t="s">
        <v>1124</v>
      </c>
      <c r="G1311" s="138" t="s">
        <v>46</v>
      </c>
      <c r="H1311" s="23" t="s">
        <v>36</v>
      </c>
      <c r="I1311" s="38" t="s">
        <v>249</v>
      </c>
      <c r="J1311" s="97">
        <f>B1311-100</f>
        <v>45935</v>
      </c>
      <c r="K1311" s="4">
        <v>45950</v>
      </c>
      <c r="L1311" s="19">
        <f>IF(OR(J1311="", K1311=""), "", J1311-K1311)</f>
        <v>-15</v>
      </c>
      <c r="M1311" s="5">
        <f>B1311-89</f>
        <v>45946</v>
      </c>
      <c r="O1311" s="19" t="str">
        <f>IF(OR(M1216="", N1311=""), "", M1216-N1311)</f>
        <v/>
      </c>
      <c r="P1311" s="5">
        <f>B1216-74</f>
        <v>45933</v>
      </c>
      <c r="R1311" s="19" t="str">
        <f>IF(OR(P1311="", Q1311=""), "", P1311-Q1311)</f>
        <v/>
      </c>
      <c r="S1311" s="5">
        <f>B1216-69</f>
        <v>45938</v>
      </c>
      <c r="U1311" s="19" t="str">
        <f>IF(OR(S1311="", T1311=""), "", S1311-T1311)</f>
        <v/>
      </c>
      <c r="V1311" s="5">
        <f>B1216-30</f>
        <v>45977</v>
      </c>
      <c r="W1311" s="6"/>
      <c r="X1311" s="19" t="str">
        <f>IF(OR(V1311="", W1311=""), "", V1311-W1311)</f>
        <v/>
      </c>
      <c r="Y1311" s="51">
        <f>B1216-2</f>
        <v>46005</v>
      </c>
      <c r="Z1311" s="49"/>
      <c r="AA1311" s="49" t="str">
        <f>IF(OR(Y1311="", Z1311=""), "", Y1311-Z1311)</f>
        <v/>
      </c>
      <c r="AB1311" s="51">
        <f>IF(B1312&lt;&gt;"", B1312, "")</f>
        <v>46036</v>
      </c>
      <c r="AC1311" s="49" t="str">
        <f>IF(OR(AB1311="", Z1311=""), "", AB1311-Z1311)</f>
        <v/>
      </c>
      <c r="AD1311" s="43">
        <f>IF(B1216&lt;&gt;"", B1216, "")</f>
        <v>46007</v>
      </c>
      <c r="AF1311" s="19" t="str">
        <f>IF(OR(AD1311="", AE1311=""), "", AD1311-AE1311)</f>
        <v/>
      </c>
      <c r="AG1311" s="10"/>
      <c r="AH1311" s="1"/>
      <c r="AI1311" s="1"/>
      <c r="AJ1311" s="1"/>
      <c r="AK1311" s="1"/>
      <c r="AL1311" s="1"/>
    </row>
    <row r="1312" spans="1:38" ht="15" customHeight="1">
      <c r="A1312" s="156">
        <v>1311</v>
      </c>
      <c r="B1312" s="134">
        <v>46036</v>
      </c>
      <c r="C1312" s="140" t="s">
        <v>2704</v>
      </c>
      <c r="D1312" s="136" t="s">
        <v>353</v>
      </c>
      <c r="E1312" s="136">
        <v>34797.58</v>
      </c>
      <c r="F1312" s="136" t="s">
        <v>354</v>
      </c>
      <c r="G1312" s="138" t="s">
        <v>51</v>
      </c>
      <c r="H1312" s="23" t="s">
        <v>40</v>
      </c>
      <c r="I1312" s="38" t="s">
        <v>93</v>
      </c>
      <c r="J1312" s="97">
        <f>B1312-100</f>
        <v>45936</v>
      </c>
      <c r="K1312" s="4">
        <v>45960</v>
      </c>
      <c r="L1312" s="19">
        <f>IF(OR(J1312="", K1312=""), "", J1312-K1312)</f>
        <v>-24</v>
      </c>
      <c r="M1312" s="5">
        <f>B1312-89</f>
        <v>45947</v>
      </c>
      <c r="O1312" s="19" t="str">
        <f>IF(OR(M1217="", N1312=""), "", M1217-N1312)</f>
        <v/>
      </c>
      <c r="P1312" s="5">
        <f>B1217-74</f>
        <v>45934</v>
      </c>
      <c r="R1312" s="19" t="str">
        <f>IF(OR(P1312="", Q1312=""), "", P1312-Q1312)</f>
        <v/>
      </c>
      <c r="S1312" s="5">
        <f>B1217-69</f>
        <v>45939</v>
      </c>
      <c r="U1312" s="19" t="str">
        <f>IF(OR(S1312="", T1312=""), "", S1312-T1312)</f>
        <v/>
      </c>
      <c r="V1312" s="5">
        <f>B1217-30</f>
        <v>45978</v>
      </c>
      <c r="W1312" s="6"/>
      <c r="X1312" s="19" t="str">
        <f>IF(OR(V1312="", W1312=""), "", V1312-W1312)</f>
        <v/>
      </c>
      <c r="Y1312" s="51">
        <f>B1217-2</f>
        <v>46006</v>
      </c>
      <c r="Z1312" s="49"/>
      <c r="AA1312" s="49" t="str">
        <f>IF(OR(Y1312="", Z1312=""), "", Y1312-Z1312)</f>
        <v/>
      </c>
      <c r="AB1312" s="51">
        <f>IF(B1313&lt;&gt;"", B1313, "")</f>
        <v>46037</v>
      </c>
      <c r="AC1312" s="49" t="str">
        <f>IF(OR(AB1312="", Z1312=""), "", AB1312-Z1312)</f>
        <v/>
      </c>
      <c r="AD1312" s="43">
        <f>IF(B1217&lt;&gt;"", B1217, "")</f>
        <v>46008</v>
      </c>
      <c r="AF1312" s="19" t="str">
        <f>IF(OR(AD1312="", AE1312=""), "", AD1312-AE1312)</f>
        <v/>
      </c>
      <c r="AG1312" s="10"/>
      <c r="AH1312" s="1"/>
      <c r="AI1312" s="1"/>
      <c r="AJ1312" s="1"/>
      <c r="AK1312" s="1"/>
      <c r="AL1312" s="1"/>
    </row>
    <row r="1313" spans="1:38" ht="15" customHeight="1">
      <c r="A1313" s="156">
        <v>1312</v>
      </c>
      <c r="B1313" s="134">
        <v>46037</v>
      </c>
      <c r="C1313" s="140">
        <v>4264</v>
      </c>
      <c r="D1313" s="136" t="s">
        <v>328</v>
      </c>
      <c r="E1313" s="136">
        <v>266575.55</v>
      </c>
      <c r="F1313" s="136" t="s">
        <v>329</v>
      </c>
      <c r="G1313" s="138" t="s">
        <v>35</v>
      </c>
      <c r="H1313" s="23" t="s">
        <v>40</v>
      </c>
      <c r="I1313" s="38" t="s">
        <v>52</v>
      </c>
      <c r="J1313" s="97">
        <f>B1313-100</f>
        <v>45937</v>
      </c>
      <c r="K1313" s="4">
        <v>45964</v>
      </c>
      <c r="L1313" s="19">
        <f>IF(OR(J1313="", K1313=""), "", J1313-K1313)</f>
        <v>-27</v>
      </c>
      <c r="M1313" s="5">
        <f>B1313-89</f>
        <v>45948</v>
      </c>
      <c r="O1313" s="19" t="str">
        <f>IF(OR(M1218="", N1313=""), "", M1218-N1313)</f>
        <v/>
      </c>
      <c r="P1313" s="5">
        <f>B1218-74</f>
        <v>45934</v>
      </c>
      <c r="R1313" s="19" t="str">
        <f>IF(OR(P1313="", Q1313=""), "", P1313-Q1313)</f>
        <v/>
      </c>
      <c r="S1313" s="5">
        <f>B1218-69</f>
        <v>45939</v>
      </c>
      <c r="U1313" s="19" t="str">
        <f>IF(OR(S1313="", T1313=""), "", S1313-T1313)</f>
        <v/>
      </c>
      <c r="V1313" s="5">
        <f>B1218-30</f>
        <v>45978</v>
      </c>
      <c r="W1313" s="6"/>
      <c r="X1313" s="19" t="str">
        <f>IF(OR(V1313="", W1313=""), "", V1313-W1313)</f>
        <v/>
      </c>
      <c r="Y1313" s="51">
        <f>B1218-2</f>
        <v>46006</v>
      </c>
      <c r="Z1313" s="49"/>
      <c r="AA1313" s="49" t="str">
        <f>IF(OR(Y1313="", Z1313=""), "", Y1313-Z1313)</f>
        <v/>
      </c>
      <c r="AB1313" s="51">
        <f>IF(B1314&lt;&gt;"", B1314, "")</f>
        <v>46037</v>
      </c>
      <c r="AC1313" s="49" t="str">
        <f>IF(OR(AB1313="", Z1313=""), "", AB1313-Z1313)</f>
        <v/>
      </c>
      <c r="AD1313" s="43">
        <f>IF(B1218&lt;&gt;"", B1218, "")</f>
        <v>46008</v>
      </c>
      <c r="AF1313" s="19" t="str">
        <f>IF(OR(AD1313="", AE1313=""), "", AD1313-AE1313)</f>
        <v/>
      </c>
      <c r="AG1313" s="10"/>
      <c r="AH1313" s="1"/>
      <c r="AI1313" s="1"/>
      <c r="AJ1313" s="1"/>
      <c r="AK1313" s="1"/>
      <c r="AL1313" s="1"/>
    </row>
    <row r="1314" spans="1:38" ht="15" customHeight="1">
      <c r="A1314" s="156">
        <v>1313</v>
      </c>
      <c r="B1314" s="134">
        <v>46037</v>
      </c>
      <c r="C1314" s="140">
        <v>651307985</v>
      </c>
      <c r="D1314" s="136" t="s">
        <v>326</v>
      </c>
      <c r="E1314" s="136">
        <v>23045.02</v>
      </c>
      <c r="F1314" s="136" t="s">
        <v>2705</v>
      </c>
      <c r="G1314" s="138" t="s">
        <v>46</v>
      </c>
      <c r="H1314" s="23" t="s">
        <v>40</v>
      </c>
      <c r="I1314" s="38" t="s">
        <v>52</v>
      </c>
      <c r="J1314" s="97">
        <f>B1314-100</f>
        <v>45937</v>
      </c>
      <c r="K1314" s="4">
        <v>45950</v>
      </c>
      <c r="L1314" s="19">
        <f>IF(OR(J1314="", K1314=""), "", J1314-K1314)</f>
        <v>-13</v>
      </c>
      <c r="M1314" s="5">
        <f>B1314-89</f>
        <v>45948</v>
      </c>
      <c r="O1314" s="19" t="str">
        <f>IF(OR(M1219="", N1314=""), "", M1219-N1314)</f>
        <v/>
      </c>
      <c r="P1314" s="5">
        <f>B1219-74</f>
        <v>45934</v>
      </c>
      <c r="R1314" s="19" t="str">
        <f>IF(OR(P1314="", Q1314=""), "", P1314-Q1314)</f>
        <v/>
      </c>
      <c r="S1314" s="5">
        <f>B1219-69</f>
        <v>45939</v>
      </c>
      <c r="U1314" s="19" t="str">
        <f>IF(OR(S1314="", T1314=""), "", S1314-T1314)</f>
        <v/>
      </c>
      <c r="V1314" s="5">
        <f>B1219-30</f>
        <v>45978</v>
      </c>
      <c r="W1314" s="6"/>
      <c r="X1314" s="19" t="str">
        <f>IF(OR(V1314="", W1314=""), "", V1314-W1314)</f>
        <v/>
      </c>
      <c r="Y1314" s="51">
        <f>B1219-2</f>
        <v>46006</v>
      </c>
      <c r="Z1314" s="49"/>
      <c r="AA1314" s="49" t="str">
        <f>IF(OR(Y1314="", Z1314=""), "", Y1314-Z1314)</f>
        <v/>
      </c>
      <c r="AB1314" s="51">
        <f>IF(B1315&lt;&gt;"", B1315, "")</f>
        <v>46037</v>
      </c>
      <c r="AC1314" s="49" t="str">
        <f>IF(OR(AB1314="", Z1314=""), "", AB1314-Z1314)</f>
        <v/>
      </c>
      <c r="AD1314" s="43">
        <f>IF(B1219&lt;&gt;"", B1219, "")</f>
        <v>46008</v>
      </c>
      <c r="AF1314" s="19" t="str">
        <f>IF(OR(AD1314="", AE1314=""), "", AD1314-AE1314)</f>
        <v/>
      </c>
      <c r="AG1314" s="10"/>
      <c r="AH1314" s="1"/>
      <c r="AI1314" s="1"/>
      <c r="AJ1314" s="1"/>
      <c r="AK1314" s="1"/>
      <c r="AL1314" s="1"/>
    </row>
    <row r="1315" spans="1:38" ht="15" customHeight="1">
      <c r="A1315" s="156">
        <v>1314</v>
      </c>
      <c r="B1315" s="134">
        <v>46037</v>
      </c>
      <c r="C1315" s="140" t="s">
        <v>2706</v>
      </c>
      <c r="D1315" s="136" t="s">
        <v>38</v>
      </c>
      <c r="E1315" s="136">
        <v>83.79</v>
      </c>
      <c r="F1315" s="136" t="s">
        <v>838</v>
      </c>
      <c r="G1315" s="138" t="s">
        <v>190</v>
      </c>
      <c r="H1315" s="23" t="s">
        <v>40</v>
      </c>
      <c r="I1315" s="38" t="s">
        <v>41</v>
      </c>
      <c r="J1315" s="97">
        <f>B1315-100</f>
        <v>45937</v>
      </c>
      <c r="K1315" s="4">
        <v>45964</v>
      </c>
      <c r="L1315" s="19">
        <f>IF(OR(J1315="", K1315=""), "", J1315-K1315)</f>
        <v>-27</v>
      </c>
      <c r="M1315" s="5">
        <f>B1315-89</f>
        <v>45948</v>
      </c>
      <c r="O1315" s="19" t="str">
        <f>IF(OR(M1220="", N1315=""), "", M1220-N1315)</f>
        <v/>
      </c>
      <c r="P1315" s="5">
        <f>B1220-74</f>
        <v>45935</v>
      </c>
      <c r="R1315" s="19" t="str">
        <f>IF(OR(P1315="", Q1315=""), "", P1315-Q1315)</f>
        <v/>
      </c>
      <c r="S1315" s="5">
        <f>B1220-69</f>
        <v>45940</v>
      </c>
      <c r="U1315" s="19" t="str">
        <f>IF(OR(S1315="", T1315=""), "", S1315-T1315)</f>
        <v/>
      </c>
      <c r="V1315" s="5">
        <f>B1220-30</f>
        <v>45979</v>
      </c>
      <c r="W1315" s="6"/>
      <c r="X1315" s="19" t="str">
        <f>IF(OR(V1315="", W1315=""), "", V1315-W1315)</f>
        <v/>
      </c>
      <c r="Y1315" s="51">
        <f>B1220-2</f>
        <v>46007</v>
      </c>
      <c r="Z1315" s="49"/>
      <c r="AA1315" s="49" t="str">
        <f>IF(OR(Y1315="", Z1315=""), "", Y1315-Z1315)</f>
        <v/>
      </c>
      <c r="AB1315" s="51">
        <f>IF(B1316&lt;&gt;"", B1316, "")</f>
        <v>46037</v>
      </c>
      <c r="AC1315" s="49" t="str">
        <f>IF(OR(AB1315="", Z1315=""), "", AB1315-Z1315)</f>
        <v/>
      </c>
      <c r="AD1315" s="43">
        <f>IF(B1220&lt;&gt;"", B1220, "")</f>
        <v>46009</v>
      </c>
      <c r="AF1315" s="19" t="str">
        <f>IF(OR(AD1315="", AE1315=""), "", AD1315-AE1315)</f>
        <v/>
      </c>
      <c r="AG1315" s="10"/>
      <c r="AH1315" s="1"/>
      <c r="AI1315" s="1"/>
      <c r="AJ1315" s="1"/>
      <c r="AK1315" s="1"/>
      <c r="AL1315" s="1"/>
    </row>
    <row r="1316" spans="1:38" ht="15" customHeight="1">
      <c r="A1316" s="156">
        <v>1315</v>
      </c>
      <c r="B1316" s="134">
        <v>46037</v>
      </c>
      <c r="C1316" s="140" t="s">
        <v>2707</v>
      </c>
      <c r="D1316" s="136" t="s">
        <v>38</v>
      </c>
      <c r="E1316" s="136">
        <v>348</v>
      </c>
      <c r="F1316" s="136" t="s">
        <v>2708</v>
      </c>
      <c r="G1316" s="138" t="s">
        <v>190</v>
      </c>
      <c r="H1316" s="23" t="s">
        <v>40</v>
      </c>
      <c r="I1316" s="38" t="s">
        <v>41</v>
      </c>
      <c r="J1316" s="97">
        <f>B1316-100</f>
        <v>45937</v>
      </c>
      <c r="K1316" s="4">
        <v>45964</v>
      </c>
      <c r="L1316" s="19">
        <f>IF(OR(J1316="", K1316=""), "", J1316-K1316)</f>
        <v>-27</v>
      </c>
      <c r="M1316" s="5">
        <f>B1316-89</f>
        <v>45948</v>
      </c>
      <c r="O1316" s="19" t="str">
        <f>IF(OR(M1221="", N1316=""), "", M1221-N1316)</f>
        <v/>
      </c>
      <c r="P1316" s="5">
        <f>B1221-74</f>
        <v>45935</v>
      </c>
      <c r="R1316" s="19" t="str">
        <f>IF(OR(P1316="", Q1316=""), "", P1316-Q1316)</f>
        <v/>
      </c>
      <c r="S1316" s="5">
        <f>B1221-69</f>
        <v>45940</v>
      </c>
      <c r="U1316" s="19" t="str">
        <f>IF(OR(S1316="", T1316=""), "", S1316-T1316)</f>
        <v/>
      </c>
      <c r="V1316" s="5">
        <f>B1221-30</f>
        <v>45979</v>
      </c>
      <c r="W1316" s="6"/>
      <c r="X1316" s="19" t="str">
        <f>IF(OR(V1316="", W1316=""), "", V1316-W1316)</f>
        <v/>
      </c>
      <c r="Y1316" s="51">
        <f>B1221-2</f>
        <v>46007</v>
      </c>
      <c r="Z1316" s="49"/>
      <c r="AA1316" s="49" t="str">
        <f>IF(OR(Y1316="", Z1316=""), "", Y1316-Z1316)</f>
        <v/>
      </c>
      <c r="AB1316" s="51">
        <f>IF(B1317&lt;&gt;"", B1317, "")</f>
        <v>46037</v>
      </c>
      <c r="AC1316" s="49" t="str">
        <f>IF(OR(AB1316="", Z1316=""), "", AB1316-Z1316)</f>
        <v/>
      </c>
      <c r="AD1316" s="43">
        <f>IF(B1221&lt;&gt;"", B1221, "")</f>
        <v>46009</v>
      </c>
      <c r="AF1316" s="19" t="str">
        <f>IF(OR(AD1316="", AE1316=""), "", AD1316-AE1316)</f>
        <v/>
      </c>
      <c r="AG1316" s="10"/>
      <c r="AH1316" s="1"/>
      <c r="AI1316" s="1"/>
      <c r="AJ1316" s="1"/>
      <c r="AK1316" s="1"/>
      <c r="AL1316" s="1"/>
    </row>
    <row r="1317" spans="1:38" ht="15" customHeight="1">
      <c r="A1317" s="156">
        <v>1316</v>
      </c>
      <c r="B1317" s="134">
        <v>46037</v>
      </c>
      <c r="C1317" s="140" t="s">
        <v>2709</v>
      </c>
      <c r="D1317" s="136" t="s">
        <v>38</v>
      </c>
      <c r="E1317" s="136">
        <v>33863.199999999997</v>
      </c>
      <c r="F1317" s="136" t="s">
        <v>2710</v>
      </c>
      <c r="G1317" s="138" t="s">
        <v>190</v>
      </c>
      <c r="H1317" s="23" t="s">
        <v>36</v>
      </c>
      <c r="I1317" s="38" t="s">
        <v>41</v>
      </c>
      <c r="J1317" s="97">
        <f>B1317-100</f>
        <v>45937</v>
      </c>
      <c r="K1317" s="4">
        <v>45964</v>
      </c>
      <c r="L1317" s="19">
        <f>IF(OR(J1317="", K1317=""), "", J1317-K1317)</f>
        <v>-27</v>
      </c>
      <c r="M1317" s="5">
        <f>B1317-89</f>
        <v>45948</v>
      </c>
      <c r="O1317" s="19" t="str">
        <f>IF(OR(M1222="", N1317=""), "", M1222-N1317)</f>
        <v/>
      </c>
      <c r="P1317" s="5">
        <f>B1222-74</f>
        <v>45935</v>
      </c>
      <c r="R1317" s="19" t="str">
        <f>IF(OR(P1317="", Q1317=""), "", P1317-Q1317)</f>
        <v/>
      </c>
      <c r="S1317" s="5">
        <f>B1222-69</f>
        <v>45940</v>
      </c>
      <c r="U1317" s="19" t="str">
        <f>IF(OR(S1317="", T1317=""), "", S1317-T1317)</f>
        <v/>
      </c>
      <c r="V1317" s="5">
        <f>B1222-30</f>
        <v>45979</v>
      </c>
      <c r="W1317" s="6"/>
      <c r="X1317" s="19" t="str">
        <f>IF(OR(V1317="", W1317=""), "", V1317-W1317)</f>
        <v/>
      </c>
      <c r="Y1317" s="51">
        <f>B1222-2</f>
        <v>46007</v>
      </c>
      <c r="Z1317" s="49"/>
      <c r="AA1317" s="49" t="str">
        <f>IF(OR(Y1317="", Z1317=""), "", Y1317-Z1317)</f>
        <v/>
      </c>
      <c r="AB1317" s="51">
        <f>IF(B1318&lt;&gt;"", B1318, "")</f>
        <v>46037</v>
      </c>
      <c r="AC1317" s="49" t="str">
        <f>IF(OR(AB1317="", Z1317=""), "", AB1317-Z1317)</f>
        <v/>
      </c>
      <c r="AD1317" s="43">
        <f>IF(B1222&lt;&gt;"", B1222, "")</f>
        <v>46009</v>
      </c>
      <c r="AF1317" s="19" t="str">
        <f>IF(OR(AD1317="", AE1317=""), "", AD1317-AE1317)</f>
        <v/>
      </c>
      <c r="AG1317" s="10"/>
      <c r="AH1317" s="1"/>
      <c r="AI1317" s="1"/>
      <c r="AJ1317" s="1"/>
      <c r="AK1317" s="1"/>
      <c r="AL1317" s="1"/>
    </row>
    <row r="1318" spans="1:38" ht="15" customHeight="1">
      <c r="A1318" s="156">
        <v>1317</v>
      </c>
      <c r="B1318" s="134">
        <v>46037</v>
      </c>
      <c r="C1318" s="140" t="s">
        <v>2711</v>
      </c>
      <c r="D1318" s="136" t="s">
        <v>2712</v>
      </c>
      <c r="E1318" s="136">
        <v>22773.599999999999</v>
      </c>
      <c r="F1318" s="136" t="s">
        <v>2713</v>
      </c>
      <c r="G1318" s="138" t="s">
        <v>46</v>
      </c>
      <c r="H1318" s="23" t="s">
        <v>40</v>
      </c>
      <c r="I1318" s="38" t="s">
        <v>93</v>
      </c>
      <c r="J1318" s="97">
        <f>B1318-100</f>
        <v>45937</v>
      </c>
      <c r="K1318" s="4">
        <v>45950</v>
      </c>
      <c r="L1318" s="19">
        <f>IF(OR(J1318="", K1318=""), "", J1318-K1318)</f>
        <v>-13</v>
      </c>
      <c r="M1318" s="5">
        <f>B1318-89</f>
        <v>45948</v>
      </c>
      <c r="O1318" s="19" t="str">
        <f>IF(OR(M1223="", N1318=""), "", M1223-N1318)</f>
        <v/>
      </c>
      <c r="P1318" s="5">
        <f>B1223-74</f>
        <v>45936</v>
      </c>
      <c r="R1318" s="19" t="str">
        <f>IF(OR(P1318="", Q1318=""), "", P1318-Q1318)</f>
        <v/>
      </c>
      <c r="S1318" s="5">
        <f>B1223-69</f>
        <v>45941</v>
      </c>
      <c r="U1318" s="19" t="str">
        <f>IF(OR(S1318="", T1318=""), "", S1318-T1318)</f>
        <v/>
      </c>
      <c r="V1318" s="5">
        <f>B1223-30</f>
        <v>45980</v>
      </c>
      <c r="W1318" s="6"/>
      <c r="X1318" s="19" t="str">
        <f>IF(OR(V1318="", W1318=""), "", V1318-W1318)</f>
        <v/>
      </c>
      <c r="Y1318" s="51">
        <f>B1223-2</f>
        <v>46008</v>
      </c>
      <c r="Z1318" s="49"/>
      <c r="AA1318" s="49" t="str">
        <f>IF(OR(Y1318="", Z1318=""), "", Y1318-Z1318)</f>
        <v/>
      </c>
      <c r="AB1318" s="51">
        <f>IF(B1319&lt;&gt;"", B1319, "")</f>
        <v>46037</v>
      </c>
      <c r="AC1318" s="49" t="str">
        <f>IF(OR(AB1318="", Z1318=""), "", AB1318-Z1318)</f>
        <v/>
      </c>
      <c r="AD1318" s="43">
        <f>IF(B1223&lt;&gt;"", B1223, "")</f>
        <v>46010</v>
      </c>
      <c r="AF1318" s="19" t="str">
        <f>IF(OR(AD1318="", AE1318=""), "", AD1318-AE1318)</f>
        <v/>
      </c>
      <c r="AG1318" s="10"/>
      <c r="AH1318" s="1"/>
      <c r="AI1318" s="1"/>
      <c r="AJ1318" s="1"/>
      <c r="AK1318" s="1"/>
      <c r="AL1318" s="1"/>
    </row>
    <row r="1319" spans="1:38" ht="15" customHeight="1">
      <c r="A1319" s="156">
        <v>1318</v>
      </c>
      <c r="B1319" s="134">
        <v>46037</v>
      </c>
      <c r="C1319" s="140" t="s">
        <v>2714</v>
      </c>
      <c r="D1319" s="136" t="s">
        <v>2715</v>
      </c>
      <c r="E1319" s="136">
        <v>18750</v>
      </c>
      <c r="F1319" s="136" t="s">
        <v>322</v>
      </c>
      <c r="G1319" s="138" t="s">
        <v>46</v>
      </c>
      <c r="H1319" s="23" t="s">
        <v>36</v>
      </c>
      <c r="I1319" s="38" t="s">
        <v>323</v>
      </c>
      <c r="J1319" s="97">
        <f>B1319-100</f>
        <v>45937</v>
      </c>
      <c r="K1319" s="4">
        <v>45950</v>
      </c>
      <c r="L1319" s="19">
        <f>IF(OR(J1319="", K1319=""), "", J1319-K1319)</f>
        <v>-13</v>
      </c>
      <c r="M1319" s="5">
        <f>B1319-89</f>
        <v>45948</v>
      </c>
      <c r="O1319" s="19" t="str">
        <f>IF(OR(M1224="", N1319=""), "", M1224-N1319)</f>
        <v/>
      </c>
      <c r="P1319" s="5">
        <f>B1224-74</f>
        <v>45937</v>
      </c>
      <c r="R1319" s="19" t="str">
        <f>IF(OR(P1319="", Q1319=""), "", P1319-Q1319)</f>
        <v/>
      </c>
      <c r="S1319" s="5">
        <f>B1224-69</f>
        <v>45942</v>
      </c>
      <c r="U1319" s="19" t="str">
        <f>IF(OR(S1319="", T1319=""), "", S1319-T1319)</f>
        <v/>
      </c>
      <c r="V1319" s="5">
        <f>B1224-30</f>
        <v>45981</v>
      </c>
      <c r="W1319" s="6"/>
      <c r="X1319" s="19" t="str">
        <f>IF(OR(V1319="", W1319=""), "", V1319-W1319)</f>
        <v/>
      </c>
      <c r="Y1319" s="51">
        <f>B1224-2</f>
        <v>46009</v>
      </c>
      <c r="Z1319" s="49"/>
      <c r="AA1319" s="49" t="str">
        <f>IF(OR(Y1319="", Z1319=""), "", Y1319-Z1319)</f>
        <v/>
      </c>
      <c r="AB1319" s="51">
        <f>IF(B1320&lt;&gt;"", B1320, "")</f>
        <v>46038</v>
      </c>
      <c r="AC1319" s="49" t="str">
        <f>IF(OR(AB1319="", Z1319=""), "", AB1319-Z1319)</f>
        <v/>
      </c>
      <c r="AD1319" s="43">
        <f>IF(B1224&lt;&gt;"", B1224, "")</f>
        <v>46011</v>
      </c>
      <c r="AF1319" s="19" t="str">
        <f>IF(OR(AD1319="", AE1319=""), "", AD1319-AE1319)</f>
        <v/>
      </c>
      <c r="AG1319" s="10"/>
      <c r="AH1319" s="1"/>
      <c r="AI1319" s="1"/>
      <c r="AJ1319" s="1"/>
      <c r="AK1319" s="1"/>
      <c r="AL1319" s="1"/>
    </row>
    <row r="1320" spans="1:38" ht="15" customHeight="1">
      <c r="A1320" s="156">
        <v>1319</v>
      </c>
      <c r="B1320" s="134">
        <v>46038</v>
      </c>
      <c r="C1320" s="140" t="s">
        <v>2716</v>
      </c>
      <c r="D1320" s="136" t="s">
        <v>681</v>
      </c>
      <c r="E1320" s="136">
        <v>350859.68</v>
      </c>
      <c r="F1320" s="136" t="s">
        <v>2717</v>
      </c>
      <c r="G1320" s="138" t="s">
        <v>35</v>
      </c>
      <c r="H1320" s="23" t="s">
        <v>36</v>
      </c>
      <c r="I1320" s="38" t="s">
        <v>41</v>
      </c>
      <c r="J1320" s="97">
        <f>B1320-100</f>
        <v>45938</v>
      </c>
      <c r="K1320" s="4">
        <v>45964</v>
      </c>
      <c r="L1320" s="19">
        <f>IF(OR(J1320="", K1320=""), "", J1320-K1320)</f>
        <v>-26</v>
      </c>
      <c r="M1320" s="5">
        <f>B1320-89</f>
        <v>45949</v>
      </c>
      <c r="O1320" s="19" t="str">
        <f>IF(OR(M1225="", N1320=""), "", M1225-N1320)</f>
        <v/>
      </c>
      <c r="P1320" s="5">
        <f>B1225-74</f>
        <v>45937</v>
      </c>
      <c r="R1320" s="19" t="str">
        <f>IF(OR(P1320="", Q1320=""), "", P1320-Q1320)</f>
        <v/>
      </c>
      <c r="S1320" s="5">
        <f>B1225-69</f>
        <v>45942</v>
      </c>
      <c r="U1320" s="19" t="str">
        <f>IF(OR(S1320="", T1320=""), "", S1320-T1320)</f>
        <v/>
      </c>
      <c r="V1320" s="5">
        <f>B1225-30</f>
        <v>45981</v>
      </c>
      <c r="W1320" s="6"/>
      <c r="X1320" s="19" t="str">
        <f>IF(OR(V1320="", W1320=""), "", V1320-W1320)</f>
        <v/>
      </c>
      <c r="Y1320" s="51">
        <f>B1225-2</f>
        <v>46009</v>
      </c>
      <c r="Z1320" s="49"/>
      <c r="AA1320" s="49" t="str">
        <f>IF(OR(Y1320="", Z1320=""), "", Y1320-Z1320)</f>
        <v/>
      </c>
      <c r="AB1320" s="51">
        <f>IF(B1321&lt;&gt;"", B1321, "")</f>
        <v>46038</v>
      </c>
      <c r="AC1320" s="49" t="str">
        <f>IF(OR(AB1320="", Z1320=""), "", AB1320-Z1320)</f>
        <v/>
      </c>
      <c r="AD1320" s="43">
        <f>IF(B1225&lt;&gt;"", B1225, "")</f>
        <v>46011</v>
      </c>
      <c r="AF1320" s="19" t="str">
        <f>IF(OR(AD1320="", AE1320=""), "", AD1320-AE1320)</f>
        <v/>
      </c>
      <c r="AG1320" s="10"/>
      <c r="AH1320" s="1"/>
      <c r="AI1320" s="1"/>
      <c r="AJ1320" s="1"/>
      <c r="AK1320" s="1"/>
      <c r="AL1320" s="1"/>
    </row>
    <row r="1321" spans="1:38" ht="15" customHeight="1">
      <c r="A1321" s="156">
        <v>1320</v>
      </c>
      <c r="B1321" s="134">
        <v>46038</v>
      </c>
      <c r="C1321" s="140" t="s">
        <v>2718</v>
      </c>
      <c r="D1321" s="136" t="s">
        <v>330</v>
      </c>
      <c r="E1321" s="136">
        <v>6087.01</v>
      </c>
      <c r="F1321" s="136" t="s">
        <v>331</v>
      </c>
      <c r="G1321" s="138" t="s">
        <v>46</v>
      </c>
      <c r="H1321" s="23" t="s">
        <v>36</v>
      </c>
      <c r="I1321" s="38" t="s">
        <v>37</v>
      </c>
      <c r="J1321" s="97">
        <f>B1321-100</f>
        <v>45938</v>
      </c>
      <c r="K1321" s="4">
        <v>45950</v>
      </c>
      <c r="L1321" s="19">
        <f>IF(OR(J1321="", K1321=""), "", J1321-K1321)</f>
        <v>-12</v>
      </c>
      <c r="M1321" s="5">
        <f>B1321-89</f>
        <v>45949</v>
      </c>
      <c r="O1321" s="19" t="str">
        <f>IF(OR(M1226="", N1321=""), "", M1226-N1321)</f>
        <v/>
      </c>
      <c r="P1321" s="5">
        <f>B1226-74</f>
        <v>45937</v>
      </c>
      <c r="R1321" s="19" t="str">
        <f>IF(OR(P1321="", Q1321=""), "", P1321-Q1321)</f>
        <v/>
      </c>
      <c r="S1321" s="5">
        <f>B1226-69</f>
        <v>45942</v>
      </c>
      <c r="U1321" s="19" t="str">
        <f>IF(OR(S1321="", T1321=""), "", S1321-T1321)</f>
        <v/>
      </c>
      <c r="V1321" s="5">
        <f>B1226-30</f>
        <v>45981</v>
      </c>
      <c r="W1321" s="6"/>
      <c r="X1321" s="19" t="str">
        <f>IF(OR(V1321="", W1321=""), "", V1321-W1321)</f>
        <v/>
      </c>
      <c r="Y1321" s="51">
        <f>B1226-2</f>
        <v>46009</v>
      </c>
      <c r="Z1321" s="49"/>
      <c r="AA1321" s="49" t="str">
        <f>IF(OR(Y1321="", Z1321=""), "", Y1321-Z1321)</f>
        <v/>
      </c>
      <c r="AB1321" s="51">
        <f>IF(B1322&lt;&gt;"", B1322, "")</f>
        <v>46039</v>
      </c>
      <c r="AC1321" s="49" t="str">
        <f>IF(OR(AB1321="", Z1321=""), "", AB1321-Z1321)</f>
        <v/>
      </c>
      <c r="AD1321" s="43">
        <f>IF(B1226&lt;&gt;"", B1226, "")</f>
        <v>46011</v>
      </c>
      <c r="AF1321" s="19" t="str">
        <f>IF(OR(AD1321="", AE1321=""), "", AD1321-AE1321)</f>
        <v/>
      </c>
      <c r="AG1321" s="10"/>
      <c r="AH1321" s="1"/>
      <c r="AI1321" s="1"/>
      <c r="AJ1321" s="1"/>
      <c r="AK1321" s="1"/>
      <c r="AL1321" s="1"/>
    </row>
    <row r="1322" spans="1:38" ht="15" customHeight="1">
      <c r="A1322" s="156">
        <v>1321</v>
      </c>
      <c r="B1322" s="134">
        <v>46039</v>
      </c>
      <c r="C1322" s="140" t="s">
        <v>2719</v>
      </c>
      <c r="D1322" s="136" t="s">
        <v>38</v>
      </c>
      <c r="E1322" s="136">
        <v>2907.57</v>
      </c>
      <c r="F1322" s="136" t="s">
        <v>2720</v>
      </c>
      <c r="G1322" s="138" t="s">
        <v>190</v>
      </c>
      <c r="H1322" s="23" t="s">
        <v>40</v>
      </c>
      <c r="I1322" s="38" t="s">
        <v>41</v>
      </c>
      <c r="J1322" s="97">
        <f>B1322-100</f>
        <v>45939</v>
      </c>
      <c r="K1322" s="4">
        <v>45964</v>
      </c>
      <c r="L1322" s="19">
        <f>IF(OR(J1322="", K1322=""), "", J1322-K1322)</f>
        <v>-25</v>
      </c>
      <c r="M1322" s="5">
        <f>B1322-89</f>
        <v>45950</v>
      </c>
      <c r="O1322" s="19" t="str">
        <f>IF(OR(M1227="", N1322=""), "", M1227-N1322)</f>
        <v/>
      </c>
      <c r="P1322" s="5">
        <f>B1227-74</f>
        <v>45937</v>
      </c>
      <c r="R1322" s="19" t="str">
        <f>IF(OR(P1322="", Q1322=""), "", P1322-Q1322)</f>
        <v/>
      </c>
      <c r="S1322" s="5">
        <f>B1227-69</f>
        <v>45942</v>
      </c>
      <c r="U1322" s="19" t="str">
        <f>IF(OR(S1322="", T1322=""), "", S1322-T1322)</f>
        <v/>
      </c>
      <c r="V1322" s="5">
        <f>B1227-30</f>
        <v>45981</v>
      </c>
      <c r="W1322" s="6"/>
      <c r="X1322" s="19" t="str">
        <f>IF(OR(V1322="", W1322=""), "", V1322-W1322)</f>
        <v/>
      </c>
      <c r="Y1322" s="51">
        <f>B1227-2</f>
        <v>46009</v>
      </c>
      <c r="Z1322" s="49"/>
      <c r="AA1322" s="49" t="str">
        <f>IF(OR(Y1322="", Z1322=""), "", Y1322-Z1322)</f>
        <v/>
      </c>
      <c r="AB1322" s="51">
        <f>IF(B1323&lt;&gt;"", B1323, "")</f>
        <v>46039</v>
      </c>
      <c r="AC1322" s="49" t="str">
        <f>IF(OR(AB1322="", Z1322=""), "", AB1322-Z1322)</f>
        <v/>
      </c>
      <c r="AD1322" s="43">
        <f>IF(B1227&lt;&gt;"", B1227, "")</f>
        <v>46011</v>
      </c>
      <c r="AF1322" s="19" t="str">
        <f>IF(OR(AD1322="", AE1322=""), "", AD1322-AE1322)</f>
        <v/>
      </c>
      <c r="AG1322" s="10"/>
      <c r="AH1322" s="1"/>
      <c r="AI1322" s="1"/>
      <c r="AJ1322" s="1"/>
      <c r="AK1322" s="1"/>
      <c r="AL1322" s="1"/>
    </row>
    <row r="1323" spans="1:38" ht="15" customHeight="1">
      <c r="A1323" s="156">
        <v>1322</v>
      </c>
      <c r="B1323" s="134">
        <v>46039</v>
      </c>
      <c r="C1323" s="140" t="s">
        <v>2721</v>
      </c>
      <c r="D1323" s="136" t="s">
        <v>38</v>
      </c>
      <c r="E1323" s="136">
        <v>627.58000000000004</v>
      </c>
      <c r="F1323" s="136" t="s">
        <v>2722</v>
      </c>
      <c r="G1323" s="138" t="s">
        <v>190</v>
      </c>
      <c r="H1323" s="23" t="s">
        <v>40</v>
      </c>
      <c r="I1323" s="38" t="s">
        <v>41</v>
      </c>
      <c r="J1323" s="97">
        <f>B1323-100</f>
        <v>45939</v>
      </c>
      <c r="K1323" s="4">
        <v>45964</v>
      </c>
      <c r="L1323" s="19">
        <f>IF(OR(J1323="", K1323=""), "", J1323-K1323)</f>
        <v>-25</v>
      </c>
      <c r="M1323" s="5">
        <f>B1323-89</f>
        <v>45950</v>
      </c>
      <c r="O1323" s="19" t="str">
        <f>IF(OR(M1228="", N1323=""), "", M1228-N1323)</f>
        <v/>
      </c>
      <c r="P1323" s="5">
        <f>B1228-74</f>
        <v>45937</v>
      </c>
      <c r="R1323" s="19" t="str">
        <f>IF(OR(P1323="", Q1323=""), "", P1323-Q1323)</f>
        <v/>
      </c>
      <c r="S1323" s="5">
        <f>B1228-69</f>
        <v>45942</v>
      </c>
      <c r="U1323" s="19" t="str">
        <f>IF(OR(S1323="", T1323=""), "", S1323-T1323)</f>
        <v/>
      </c>
      <c r="V1323" s="5">
        <f>B1228-30</f>
        <v>45981</v>
      </c>
      <c r="W1323" s="6"/>
      <c r="X1323" s="19" t="str">
        <f>IF(OR(V1323="", W1323=""), "", V1323-W1323)</f>
        <v/>
      </c>
      <c r="Y1323" s="51">
        <f>B1228-2</f>
        <v>46009</v>
      </c>
      <c r="Z1323" s="49"/>
      <c r="AA1323" s="49" t="str">
        <f>IF(OR(Y1323="", Z1323=""), "", Y1323-Z1323)</f>
        <v/>
      </c>
      <c r="AB1323" s="51">
        <f>IF(B1324&lt;&gt;"", B1324, "")</f>
        <v>46039</v>
      </c>
      <c r="AC1323" s="49" t="str">
        <f>IF(OR(AB1323="", Z1323=""), "", AB1323-Z1323)</f>
        <v/>
      </c>
      <c r="AD1323" s="43">
        <f>IF(B1228&lt;&gt;"", B1228, "")</f>
        <v>46011</v>
      </c>
      <c r="AF1323" s="19" t="str">
        <f>IF(OR(AD1323="", AE1323=""), "", AD1323-AE1323)</f>
        <v/>
      </c>
      <c r="AG1323" s="10"/>
      <c r="AH1323" s="1"/>
      <c r="AI1323" s="1"/>
      <c r="AJ1323" s="1"/>
      <c r="AK1323" s="1"/>
      <c r="AL1323" s="1"/>
    </row>
    <row r="1324" spans="1:38" ht="15" customHeight="1">
      <c r="A1324" s="156">
        <v>1323</v>
      </c>
      <c r="B1324" s="134">
        <v>46039</v>
      </c>
      <c r="C1324" s="140" t="s">
        <v>2723</v>
      </c>
      <c r="D1324" s="136" t="s">
        <v>298</v>
      </c>
      <c r="E1324" s="136">
        <v>2886.88</v>
      </c>
      <c r="F1324" s="136" t="s">
        <v>299</v>
      </c>
      <c r="G1324" s="138" t="s">
        <v>46</v>
      </c>
      <c r="H1324" s="23" t="s">
        <v>40</v>
      </c>
      <c r="I1324" s="38" t="s">
        <v>229</v>
      </c>
      <c r="J1324" s="97">
        <f>B1324-100</f>
        <v>45939</v>
      </c>
      <c r="K1324" s="4">
        <v>45950</v>
      </c>
      <c r="L1324" s="19">
        <f>IF(OR(J1324="", K1324=""), "", J1324-K1324)</f>
        <v>-11</v>
      </c>
      <c r="M1324" s="5">
        <f>B1324-89</f>
        <v>45950</v>
      </c>
      <c r="O1324" s="19" t="str">
        <f>IF(OR(M1229="", N1324=""), "", M1229-N1324)</f>
        <v/>
      </c>
      <c r="P1324" s="5">
        <f>B1229-74</f>
        <v>45937</v>
      </c>
      <c r="R1324" s="19" t="str">
        <f>IF(OR(P1324="", Q1324=""), "", P1324-Q1324)</f>
        <v/>
      </c>
      <c r="S1324" s="5">
        <f>B1229-69</f>
        <v>45942</v>
      </c>
      <c r="U1324" s="19" t="str">
        <f>IF(OR(S1324="", T1324=""), "", S1324-T1324)</f>
        <v/>
      </c>
      <c r="V1324" s="5">
        <f>B1229-30</f>
        <v>45981</v>
      </c>
      <c r="W1324" s="6"/>
      <c r="X1324" s="19" t="str">
        <f>IF(OR(V1324="", W1324=""), "", V1324-W1324)</f>
        <v/>
      </c>
      <c r="Y1324" s="51">
        <f>B1229-2</f>
        <v>46009</v>
      </c>
      <c r="Z1324" s="49"/>
      <c r="AA1324" s="49" t="str">
        <f>IF(OR(Y1324="", Z1324=""), "", Y1324-Z1324)</f>
        <v/>
      </c>
      <c r="AB1324" s="51">
        <f>IF(B1325&lt;&gt;"", B1325, "")</f>
        <v>46039</v>
      </c>
      <c r="AC1324" s="49" t="str">
        <f>IF(OR(AB1324="", Z1324=""), "", AB1324-Z1324)</f>
        <v/>
      </c>
      <c r="AD1324" s="43">
        <f>IF(B1229&lt;&gt;"", B1229, "")</f>
        <v>46011</v>
      </c>
      <c r="AF1324" s="19" t="str">
        <f>IF(OR(AD1324="", AE1324=""), "", AD1324-AE1324)</f>
        <v/>
      </c>
      <c r="AG1324" s="10"/>
      <c r="AH1324" s="1"/>
      <c r="AI1324" s="1"/>
      <c r="AJ1324" s="1"/>
      <c r="AK1324" s="1"/>
      <c r="AL1324" s="1"/>
    </row>
    <row r="1325" spans="1:38" ht="15" customHeight="1">
      <c r="A1325" s="156">
        <v>1324</v>
      </c>
      <c r="B1325" s="134">
        <v>46039</v>
      </c>
      <c r="C1325" s="140">
        <v>648192045</v>
      </c>
      <c r="D1325" s="136" t="s">
        <v>332</v>
      </c>
      <c r="E1325" s="136">
        <v>3674.18</v>
      </c>
      <c r="F1325" s="136" t="s">
        <v>333</v>
      </c>
      <c r="G1325" s="138" t="s">
        <v>51</v>
      </c>
      <c r="H1325" s="23" t="s">
        <v>40</v>
      </c>
      <c r="I1325" s="38" t="s">
        <v>93</v>
      </c>
      <c r="J1325" s="97">
        <f>B1325-100</f>
        <v>45939</v>
      </c>
      <c r="K1325" s="4">
        <v>45960</v>
      </c>
      <c r="L1325" s="19">
        <f>IF(OR(J1325="", K1325=""), "", J1325-K1325)</f>
        <v>-21</v>
      </c>
      <c r="M1325" s="5">
        <f>B1325-89</f>
        <v>45950</v>
      </c>
      <c r="O1325" s="19" t="str">
        <f>IF(OR(M1230="", N1325=""), "", M1230-N1325)</f>
        <v/>
      </c>
      <c r="P1325" s="5">
        <f>B1230-74</f>
        <v>45937</v>
      </c>
      <c r="R1325" s="19" t="str">
        <f>IF(OR(P1325="", Q1325=""), "", P1325-Q1325)</f>
        <v/>
      </c>
      <c r="S1325" s="5">
        <f>B1230-69</f>
        <v>45942</v>
      </c>
      <c r="U1325" s="19" t="str">
        <f>IF(OR(S1325="", T1325=""), "", S1325-T1325)</f>
        <v/>
      </c>
      <c r="V1325" s="5">
        <f>B1230-30</f>
        <v>45981</v>
      </c>
      <c r="W1325" s="6"/>
      <c r="X1325" s="19" t="str">
        <f>IF(OR(V1325="", W1325=""), "", V1325-W1325)</f>
        <v/>
      </c>
      <c r="Y1325" s="51">
        <f>B1230-2</f>
        <v>46009</v>
      </c>
      <c r="Z1325" s="49"/>
      <c r="AA1325" s="49" t="str">
        <f>IF(OR(Y1325="", Z1325=""), "", Y1325-Z1325)</f>
        <v/>
      </c>
      <c r="AB1325" s="51">
        <f>IF(B1326&lt;&gt;"", B1326, "")</f>
        <v>46040</v>
      </c>
      <c r="AC1325" s="49" t="str">
        <f>IF(OR(AB1325="", Z1325=""), "", AB1325-Z1325)</f>
        <v/>
      </c>
      <c r="AD1325" s="43">
        <f>IF(B1230&lt;&gt;"", B1230, "")</f>
        <v>46011</v>
      </c>
      <c r="AF1325" s="19" t="str">
        <f>IF(OR(AD1325="", AE1325=""), "", AD1325-AE1325)</f>
        <v/>
      </c>
      <c r="AG1325" s="10"/>
      <c r="AH1325" s="1"/>
      <c r="AI1325" s="1"/>
      <c r="AJ1325" s="1"/>
      <c r="AK1325" s="1"/>
      <c r="AL1325" s="1"/>
    </row>
    <row r="1326" spans="1:38" ht="15" customHeight="1">
      <c r="A1326" s="156">
        <v>1325</v>
      </c>
      <c r="B1326" s="134">
        <v>46040</v>
      </c>
      <c r="C1326" s="140" t="s">
        <v>2724</v>
      </c>
      <c r="D1326" s="136" t="s">
        <v>334</v>
      </c>
      <c r="E1326" s="136">
        <v>7850</v>
      </c>
      <c r="F1326" s="136" t="s">
        <v>335</v>
      </c>
      <c r="G1326" s="138" t="s">
        <v>46</v>
      </c>
      <c r="H1326" s="23" t="s">
        <v>40</v>
      </c>
      <c r="I1326" s="38" t="s">
        <v>229</v>
      </c>
      <c r="J1326" s="97">
        <f>B1326-100</f>
        <v>45940</v>
      </c>
      <c r="K1326" s="4">
        <v>45950</v>
      </c>
      <c r="L1326" s="19">
        <f>IF(OR(J1326="", K1326=""), "", J1326-K1326)</f>
        <v>-10</v>
      </c>
      <c r="M1326" s="5">
        <f>B1326-89</f>
        <v>45951</v>
      </c>
      <c r="O1326" s="19" t="str">
        <f>IF(OR(M1231="", N1326=""), "", M1231-N1326)</f>
        <v/>
      </c>
      <c r="P1326" s="5">
        <f>B1231-74</f>
        <v>45937</v>
      </c>
      <c r="R1326" s="19" t="str">
        <f>IF(OR(P1326="", Q1326=""), "", P1326-Q1326)</f>
        <v/>
      </c>
      <c r="S1326" s="5">
        <f>B1231-69</f>
        <v>45942</v>
      </c>
      <c r="U1326" s="19" t="str">
        <f>IF(OR(S1326="", T1326=""), "", S1326-T1326)</f>
        <v/>
      </c>
      <c r="V1326" s="5">
        <f>B1231-30</f>
        <v>45981</v>
      </c>
      <c r="W1326" s="6"/>
      <c r="X1326" s="19" t="str">
        <f>IF(OR(V1326="", W1326=""), "", V1326-W1326)</f>
        <v/>
      </c>
      <c r="Y1326" s="51">
        <f>B1231-2</f>
        <v>46009</v>
      </c>
      <c r="Z1326" s="49"/>
      <c r="AA1326" s="49" t="str">
        <f>IF(OR(Y1326="", Z1326=""), "", Y1326-Z1326)</f>
        <v/>
      </c>
      <c r="AB1326" s="51">
        <f>IF(B1327&lt;&gt;"", B1327, "")</f>
        <v>46040</v>
      </c>
      <c r="AC1326" s="49" t="str">
        <f>IF(OR(AB1326="", Z1326=""), "", AB1326-Z1326)</f>
        <v/>
      </c>
      <c r="AD1326" s="43">
        <f>IF(B1231&lt;&gt;"", B1231, "")</f>
        <v>46011</v>
      </c>
      <c r="AF1326" s="19" t="str">
        <f>IF(OR(AD1326="", AE1326=""), "", AD1326-AE1326)</f>
        <v/>
      </c>
      <c r="AG1326" s="10"/>
      <c r="AH1326" s="1"/>
      <c r="AI1326" s="1"/>
      <c r="AJ1326" s="1"/>
      <c r="AK1326" s="1"/>
      <c r="AL1326" s="1"/>
    </row>
    <row r="1327" spans="1:38" ht="15" customHeight="1">
      <c r="A1327" s="156">
        <v>1326</v>
      </c>
      <c r="B1327" s="134">
        <v>46040</v>
      </c>
      <c r="C1327" s="140" t="s">
        <v>2725</v>
      </c>
      <c r="D1327" s="136" t="s">
        <v>334</v>
      </c>
      <c r="E1327" s="136">
        <v>26451.06</v>
      </c>
      <c r="F1327" s="136" t="s">
        <v>338</v>
      </c>
      <c r="G1327" s="138" t="s">
        <v>46</v>
      </c>
      <c r="H1327" s="23" t="s">
        <v>36</v>
      </c>
      <c r="I1327" s="38" t="s">
        <v>229</v>
      </c>
      <c r="J1327" s="97">
        <f>B1327-100</f>
        <v>45940</v>
      </c>
      <c r="K1327" s="4">
        <v>45950</v>
      </c>
      <c r="L1327" s="19">
        <f>IF(OR(J1327="", K1327=""), "", J1327-K1327)</f>
        <v>-10</v>
      </c>
      <c r="M1327" s="5">
        <f>B1327-89</f>
        <v>45951</v>
      </c>
      <c r="O1327" s="19" t="str">
        <f>IF(OR(M1232="", N1327=""), "", M1232-N1327)</f>
        <v/>
      </c>
      <c r="P1327" s="5">
        <f>B1232-74</f>
        <v>45938</v>
      </c>
      <c r="R1327" s="19" t="str">
        <f>IF(OR(P1327="", Q1327=""), "", P1327-Q1327)</f>
        <v/>
      </c>
      <c r="S1327" s="5">
        <f>B1232-69</f>
        <v>45943</v>
      </c>
      <c r="U1327" s="19" t="str">
        <f>IF(OR(S1327="", T1327=""), "", S1327-T1327)</f>
        <v/>
      </c>
      <c r="V1327" s="5">
        <f>B1232-30</f>
        <v>45982</v>
      </c>
      <c r="W1327" s="6"/>
      <c r="X1327" s="19" t="str">
        <f>IF(OR(V1327="", W1327=""), "", V1327-W1327)</f>
        <v/>
      </c>
      <c r="Y1327" s="51">
        <f>B1232-2</f>
        <v>46010</v>
      </c>
      <c r="Z1327" s="49"/>
      <c r="AA1327" s="49" t="str">
        <f>IF(OR(Y1327="", Z1327=""), "", Y1327-Z1327)</f>
        <v/>
      </c>
      <c r="AB1327" s="51">
        <f>IF(B1328&lt;&gt;"", B1328, "")</f>
        <v>46043</v>
      </c>
      <c r="AC1327" s="49" t="str">
        <f>IF(OR(AB1327="", Z1327=""), "", AB1327-Z1327)</f>
        <v/>
      </c>
      <c r="AD1327" s="43">
        <f>IF(B1232&lt;&gt;"", B1232, "")</f>
        <v>46012</v>
      </c>
      <c r="AF1327" s="19" t="str">
        <f>IF(OR(AD1327="", AE1327=""), "", AD1327-AE1327)</f>
        <v/>
      </c>
      <c r="AG1327" s="10"/>
      <c r="AH1327" s="1"/>
      <c r="AI1327" s="1"/>
      <c r="AJ1327" s="1"/>
      <c r="AK1327" s="1"/>
      <c r="AL1327" s="1"/>
    </row>
    <row r="1328" spans="1:38" ht="15" customHeight="1">
      <c r="A1328" s="156">
        <v>1327</v>
      </c>
      <c r="B1328" s="134">
        <v>46043</v>
      </c>
      <c r="C1328" s="140" t="s">
        <v>2726</v>
      </c>
      <c r="D1328" s="136" t="s">
        <v>341</v>
      </c>
      <c r="E1328" s="136">
        <v>48104.32</v>
      </c>
      <c r="F1328" s="136" t="s">
        <v>342</v>
      </c>
      <c r="G1328" s="138" t="s">
        <v>46</v>
      </c>
      <c r="H1328" s="23" t="s">
        <v>36</v>
      </c>
      <c r="I1328" s="38" t="s">
        <v>37</v>
      </c>
      <c r="J1328" s="97">
        <f>B1328-100</f>
        <v>45943</v>
      </c>
      <c r="K1328" s="4">
        <v>45950</v>
      </c>
      <c r="L1328" s="19">
        <f>IF(OR(J1328="", K1328=""), "", J1328-K1328)</f>
        <v>-7</v>
      </c>
      <c r="M1328" s="5">
        <f>B1328-89</f>
        <v>45954</v>
      </c>
      <c r="O1328" s="19" t="str">
        <f>IF(OR(M1233="", N1328=""), "", M1233-N1328)</f>
        <v/>
      </c>
      <c r="P1328" s="5">
        <f>B1233-74</f>
        <v>45939</v>
      </c>
      <c r="R1328" s="19" t="str">
        <f>IF(OR(P1328="", Q1328=""), "", P1328-Q1328)</f>
        <v/>
      </c>
      <c r="S1328" s="5">
        <f>B1233-69</f>
        <v>45944</v>
      </c>
      <c r="U1328" s="19" t="str">
        <f>IF(OR(S1328="", T1328=""), "", S1328-T1328)</f>
        <v/>
      </c>
      <c r="V1328" s="5">
        <f>B1233-30</f>
        <v>45983</v>
      </c>
      <c r="W1328" s="6"/>
      <c r="X1328" s="19" t="str">
        <f>IF(OR(V1328="", W1328=""), "", V1328-W1328)</f>
        <v/>
      </c>
      <c r="Y1328" s="51">
        <f>B1233-2</f>
        <v>46011</v>
      </c>
      <c r="Z1328" s="49"/>
      <c r="AA1328" s="49" t="str">
        <f>IF(OR(Y1328="", Z1328=""), "", Y1328-Z1328)</f>
        <v/>
      </c>
      <c r="AB1328" s="51">
        <f>IF(B1329&lt;&gt;"", B1329, "")</f>
        <v>46043</v>
      </c>
      <c r="AC1328" s="49" t="str">
        <f>IF(OR(AB1328="", Z1328=""), "", AB1328-Z1328)</f>
        <v/>
      </c>
      <c r="AD1328" s="43">
        <f>IF(B1233&lt;&gt;"", B1233, "")</f>
        <v>46013</v>
      </c>
      <c r="AF1328" s="19" t="str">
        <f>IF(OR(AD1328="", AE1328=""), "", AD1328-AE1328)</f>
        <v/>
      </c>
      <c r="AG1328" s="10"/>
      <c r="AH1328" s="1"/>
      <c r="AI1328" s="1"/>
      <c r="AJ1328" s="1"/>
      <c r="AK1328" s="1"/>
      <c r="AL1328" s="1"/>
    </row>
    <row r="1329" spans="1:38" ht="15" customHeight="1">
      <c r="A1329" s="156">
        <v>1328</v>
      </c>
      <c r="B1329" s="134">
        <v>46043</v>
      </c>
      <c r="C1329" s="140" t="s">
        <v>2727</v>
      </c>
      <c r="D1329" s="136" t="s">
        <v>2333</v>
      </c>
      <c r="E1329" s="136">
        <v>3211.77</v>
      </c>
      <c r="F1329" s="136" t="s">
        <v>2728</v>
      </c>
      <c r="G1329" s="138" t="s">
        <v>190</v>
      </c>
      <c r="H1329" s="23" t="s">
        <v>36</v>
      </c>
      <c r="I1329" s="38" t="s">
        <v>93</v>
      </c>
      <c r="J1329" s="97">
        <f>B1329-100</f>
        <v>45943</v>
      </c>
      <c r="K1329" s="4">
        <v>45964</v>
      </c>
      <c r="L1329" s="19">
        <f>IF(OR(J1329="", K1329=""), "", J1329-K1329)</f>
        <v>-21</v>
      </c>
      <c r="M1329" s="5">
        <f>B1329-89</f>
        <v>45954</v>
      </c>
      <c r="O1329" s="19" t="str">
        <f>IF(OR(M1234="", N1329=""), "", M1234-N1329)</f>
        <v/>
      </c>
      <c r="P1329" s="5">
        <f>B1234-74</f>
        <v>45939</v>
      </c>
      <c r="R1329" s="19" t="str">
        <f>IF(OR(P1329="", Q1329=""), "", P1329-Q1329)</f>
        <v/>
      </c>
      <c r="S1329" s="5">
        <f>B1234-69</f>
        <v>45944</v>
      </c>
      <c r="U1329" s="19" t="str">
        <f>IF(OR(S1329="", T1329=""), "", S1329-T1329)</f>
        <v/>
      </c>
      <c r="V1329" s="5">
        <f>B1234-30</f>
        <v>45983</v>
      </c>
      <c r="W1329" s="6"/>
      <c r="X1329" s="19" t="str">
        <f>IF(OR(V1329="", W1329=""), "", V1329-W1329)</f>
        <v/>
      </c>
      <c r="Y1329" s="51">
        <f>B1234-2</f>
        <v>46011</v>
      </c>
      <c r="Z1329" s="49"/>
      <c r="AA1329" s="49" t="str">
        <f>IF(OR(Y1329="", Z1329=""), "", Y1329-Z1329)</f>
        <v/>
      </c>
      <c r="AB1329" s="51">
        <f>IF(B1330&lt;&gt;"", B1330, "")</f>
        <v>46044</v>
      </c>
      <c r="AC1329" s="49" t="str">
        <f>IF(OR(AB1329="", Z1329=""), "", AB1329-Z1329)</f>
        <v/>
      </c>
      <c r="AD1329" s="43">
        <f>IF(B1234&lt;&gt;"", B1234, "")</f>
        <v>46013</v>
      </c>
      <c r="AF1329" s="19" t="str">
        <f>IF(OR(AD1329="", AE1329=""), "", AD1329-AE1329)</f>
        <v/>
      </c>
      <c r="AG1329" s="10"/>
      <c r="AH1329" s="1"/>
      <c r="AI1329" s="1"/>
      <c r="AJ1329" s="1"/>
      <c r="AK1329" s="1"/>
      <c r="AL1329" s="1"/>
    </row>
    <row r="1330" spans="1:38" ht="15" customHeight="1">
      <c r="A1330" s="156">
        <v>1329</v>
      </c>
      <c r="B1330" s="134">
        <v>46044</v>
      </c>
      <c r="C1330" s="140" t="s">
        <v>2729</v>
      </c>
      <c r="D1330" s="136" t="s">
        <v>1193</v>
      </c>
      <c r="E1330" s="136">
        <v>24220.6</v>
      </c>
      <c r="F1330" s="136" t="s">
        <v>2730</v>
      </c>
      <c r="G1330" s="138" t="s">
        <v>35</v>
      </c>
      <c r="H1330" s="23" t="s">
        <v>40</v>
      </c>
      <c r="I1330" s="38" t="s">
        <v>52</v>
      </c>
      <c r="J1330" s="97">
        <f>B1330-100</f>
        <v>45944</v>
      </c>
      <c r="K1330" s="4">
        <v>45964</v>
      </c>
      <c r="L1330" s="19">
        <f>IF(OR(J1330="", K1330=""), "", J1330-K1330)</f>
        <v>-20</v>
      </c>
      <c r="M1330" s="5">
        <f>B1330-89</f>
        <v>45955</v>
      </c>
      <c r="O1330" s="19" t="str">
        <f>IF(OR(M1235="", N1330=""), "", M1235-N1330)</f>
        <v/>
      </c>
      <c r="P1330" s="5">
        <f>B1235-74</f>
        <v>45939</v>
      </c>
      <c r="R1330" s="19" t="str">
        <f>IF(OR(P1330="", Q1330=""), "", P1330-Q1330)</f>
        <v/>
      </c>
      <c r="S1330" s="5">
        <f>B1235-69</f>
        <v>45944</v>
      </c>
      <c r="U1330" s="19" t="str">
        <f>IF(OR(S1330="", T1330=""), "", S1330-T1330)</f>
        <v/>
      </c>
      <c r="V1330" s="5">
        <f>B1235-30</f>
        <v>45983</v>
      </c>
      <c r="W1330" s="6"/>
      <c r="X1330" s="19" t="str">
        <f>IF(OR(V1330="", W1330=""), "", V1330-W1330)</f>
        <v/>
      </c>
      <c r="Y1330" s="51">
        <f>B1235-2</f>
        <v>46011</v>
      </c>
      <c r="Z1330" s="49"/>
      <c r="AA1330" s="49" t="str">
        <f>IF(OR(Y1330="", Z1330=""), "", Y1330-Z1330)</f>
        <v/>
      </c>
      <c r="AB1330" s="51">
        <f>IF(B1331&lt;&gt;"", B1331, "")</f>
        <v>46044</v>
      </c>
      <c r="AC1330" s="49" t="str">
        <f>IF(OR(AB1330="", Z1330=""), "", AB1330-Z1330)</f>
        <v/>
      </c>
      <c r="AD1330" s="43">
        <f>IF(B1235&lt;&gt;"", B1235, "")</f>
        <v>46013</v>
      </c>
      <c r="AF1330" s="19" t="str">
        <f>IF(OR(AD1330="", AE1330=""), "", AD1330-AE1330)</f>
        <v/>
      </c>
      <c r="AG1330" s="10"/>
      <c r="AH1330" s="1"/>
      <c r="AI1330" s="1"/>
      <c r="AJ1330" s="1"/>
      <c r="AK1330" s="1"/>
      <c r="AL1330" s="1"/>
    </row>
    <row r="1331" spans="1:38" ht="15" customHeight="1">
      <c r="A1331" s="156">
        <v>1330</v>
      </c>
      <c r="B1331" s="134">
        <v>46044</v>
      </c>
      <c r="C1331" s="140" t="s">
        <v>2731</v>
      </c>
      <c r="D1331" s="136" t="s">
        <v>38</v>
      </c>
      <c r="E1331" s="136">
        <v>1306.96</v>
      </c>
      <c r="F1331" s="136" t="s">
        <v>2732</v>
      </c>
      <c r="G1331" s="138" t="s">
        <v>190</v>
      </c>
      <c r="H1331" s="23" t="s">
        <v>40</v>
      </c>
      <c r="I1331" s="38" t="s">
        <v>41</v>
      </c>
      <c r="J1331" s="97">
        <f>B1331-100</f>
        <v>45944</v>
      </c>
      <c r="K1331" s="4">
        <v>45964</v>
      </c>
      <c r="L1331" s="19">
        <f>IF(OR(J1331="", K1331=""), "", J1331-K1331)</f>
        <v>-20</v>
      </c>
      <c r="M1331" s="5">
        <f>B1331-89</f>
        <v>45955</v>
      </c>
      <c r="O1331" s="19" t="str">
        <f>IF(OR(M1236="", N1331=""), "", M1236-N1331)</f>
        <v/>
      </c>
      <c r="P1331" s="5">
        <f>B1236-74</f>
        <v>45939</v>
      </c>
      <c r="R1331" s="19" t="str">
        <f>IF(OR(P1331="", Q1331=""), "", P1331-Q1331)</f>
        <v/>
      </c>
      <c r="S1331" s="5">
        <f>B1236-69</f>
        <v>45944</v>
      </c>
      <c r="U1331" s="19" t="str">
        <f>IF(OR(S1331="", T1331=""), "", S1331-T1331)</f>
        <v/>
      </c>
      <c r="V1331" s="5">
        <f>B1236-30</f>
        <v>45983</v>
      </c>
      <c r="W1331" s="6"/>
      <c r="X1331" s="19" t="str">
        <f>IF(OR(V1331="", W1331=""), "", V1331-W1331)</f>
        <v/>
      </c>
      <c r="Y1331" s="51">
        <f>B1236-2</f>
        <v>46011</v>
      </c>
      <c r="Z1331" s="49"/>
      <c r="AA1331" s="49" t="str">
        <f>IF(OR(Y1331="", Z1331=""), "", Y1331-Z1331)</f>
        <v/>
      </c>
      <c r="AB1331" s="51">
        <f>IF(B1332&lt;&gt;"", B1332, "")</f>
        <v>46044</v>
      </c>
      <c r="AC1331" s="49" t="str">
        <f>IF(OR(AB1331="", Z1331=""), "", AB1331-Z1331)</f>
        <v/>
      </c>
      <c r="AD1331" s="43">
        <f>IF(B1236&lt;&gt;"", B1236, "")</f>
        <v>46013</v>
      </c>
      <c r="AF1331" s="19" t="str">
        <f>IF(OR(AD1331="", AE1331=""), "", AD1331-AE1331)</f>
        <v/>
      </c>
      <c r="AG1331" s="10"/>
      <c r="AH1331" s="1"/>
      <c r="AI1331" s="1"/>
      <c r="AJ1331" s="1"/>
      <c r="AK1331" s="1"/>
      <c r="AL1331" s="1"/>
    </row>
    <row r="1332" spans="1:38" ht="15" customHeight="1">
      <c r="A1332" s="156">
        <v>1331</v>
      </c>
      <c r="B1332" s="134">
        <v>46044</v>
      </c>
      <c r="C1332" s="140" t="s">
        <v>2733</v>
      </c>
      <c r="D1332" s="136" t="s">
        <v>38</v>
      </c>
      <c r="E1332" s="136">
        <v>419.19</v>
      </c>
      <c r="F1332" s="136" t="s">
        <v>2734</v>
      </c>
      <c r="G1332" s="138" t="s">
        <v>190</v>
      </c>
      <c r="H1332" s="23" t="s">
        <v>40</v>
      </c>
      <c r="I1332" s="38" t="s">
        <v>41</v>
      </c>
      <c r="J1332" s="97">
        <f>B1332-100</f>
        <v>45944</v>
      </c>
      <c r="K1332" s="4">
        <v>45964</v>
      </c>
      <c r="L1332" s="19">
        <f>IF(OR(J1332="", K1332=""), "", J1332-K1332)</f>
        <v>-20</v>
      </c>
      <c r="M1332" s="5">
        <f>B1332-89</f>
        <v>45955</v>
      </c>
      <c r="O1332" s="19" t="str">
        <f>IF(OR(M1237="", N1332=""), "", M1237-N1332)</f>
        <v/>
      </c>
      <c r="P1332" s="5">
        <f>B1237-74</f>
        <v>45939</v>
      </c>
      <c r="R1332" s="19" t="str">
        <f>IF(OR(P1332="", Q1332=""), "", P1332-Q1332)</f>
        <v/>
      </c>
      <c r="S1332" s="5">
        <f>B1237-69</f>
        <v>45944</v>
      </c>
      <c r="U1332" s="19" t="str">
        <f>IF(OR(S1332="", T1332=""), "", S1332-T1332)</f>
        <v/>
      </c>
      <c r="V1332" s="5">
        <f>B1237-30</f>
        <v>45983</v>
      </c>
      <c r="W1332" s="6"/>
      <c r="X1332" s="19" t="str">
        <f>IF(OR(V1332="", W1332=""), "", V1332-W1332)</f>
        <v/>
      </c>
      <c r="Y1332" s="51">
        <f>B1237-2</f>
        <v>46011</v>
      </c>
      <c r="Z1332" s="49"/>
      <c r="AA1332" s="49" t="str">
        <f>IF(OR(Y1332="", Z1332=""), "", Y1332-Z1332)</f>
        <v/>
      </c>
      <c r="AB1332" s="51">
        <f>IF(B1333&lt;&gt;"", B1333, "")</f>
        <v>46044</v>
      </c>
      <c r="AC1332" s="49" t="str">
        <f>IF(OR(AB1332="", Z1332=""), "", AB1332-Z1332)</f>
        <v/>
      </c>
      <c r="AD1332" s="43">
        <f>IF(B1237&lt;&gt;"", B1237, "")</f>
        <v>46013</v>
      </c>
      <c r="AF1332" s="19" t="str">
        <f>IF(OR(AD1332="", AE1332=""), "", AD1332-AE1332)</f>
        <v/>
      </c>
      <c r="AG1332" s="10"/>
      <c r="AH1332" s="1"/>
      <c r="AI1332" s="1"/>
      <c r="AJ1332" s="1"/>
      <c r="AK1332" s="1"/>
      <c r="AL1332" s="1"/>
    </row>
    <row r="1333" spans="1:38" ht="15" customHeight="1">
      <c r="A1333" s="156">
        <v>1332</v>
      </c>
      <c r="B1333" s="134">
        <v>46044</v>
      </c>
      <c r="C1333" s="140" t="s">
        <v>2735</v>
      </c>
      <c r="D1333" s="136" t="s">
        <v>38</v>
      </c>
      <c r="E1333" s="136">
        <v>1180.94</v>
      </c>
      <c r="F1333" s="136" t="s">
        <v>2736</v>
      </c>
      <c r="G1333" s="138" t="s">
        <v>190</v>
      </c>
      <c r="H1333" s="23" t="s">
        <v>40</v>
      </c>
      <c r="I1333" s="38" t="s">
        <v>41</v>
      </c>
      <c r="J1333" s="97">
        <f>B1333-100</f>
        <v>45944</v>
      </c>
      <c r="K1333" s="4">
        <v>45964</v>
      </c>
      <c r="L1333" s="19">
        <f>IF(OR(J1333="", K1333=""), "", J1333-K1333)</f>
        <v>-20</v>
      </c>
      <c r="M1333" s="5">
        <f>B1333-89</f>
        <v>45955</v>
      </c>
      <c r="O1333" s="19" t="str">
        <f>IF(OR(M1238="", N1333=""), "", M1238-N1333)</f>
        <v/>
      </c>
      <c r="P1333" s="5">
        <f>B1238-74</f>
        <v>45939</v>
      </c>
      <c r="R1333" s="19" t="str">
        <f>IF(OR(P1333="", Q1333=""), "", P1333-Q1333)</f>
        <v/>
      </c>
      <c r="S1333" s="5">
        <f>B1238-69</f>
        <v>45944</v>
      </c>
      <c r="U1333" s="19" t="str">
        <f>IF(OR(S1333="", T1333=""), "", S1333-T1333)</f>
        <v/>
      </c>
      <c r="V1333" s="5">
        <f>B1238-30</f>
        <v>45983</v>
      </c>
      <c r="W1333" s="6"/>
      <c r="X1333" s="19" t="str">
        <f>IF(OR(V1333="", W1333=""), "", V1333-W1333)</f>
        <v/>
      </c>
      <c r="Y1333" s="51">
        <f>B1238-2</f>
        <v>46011</v>
      </c>
      <c r="Z1333" s="49"/>
      <c r="AA1333" s="49" t="str">
        <f>IF(OR(Y1333="", Z1333=""), "", Y1333-Z1333)</f>
        <v/>
      </c>
      <c r="AB1333" s="51">
        <f>IF(B1334&lt;&gt;"", B1334, "")</f>
        <v>46044</v>
      </c>
      <c r="AC1333" s="49" t="str">
        <f>IF(OR(AB1333="", Z1333=""), "", AB1333-Z1333)</f>
        <v/>
      </c>
      <c r="AD1333" s="43">
        <f>IF(B1238&lt;&gt;"", B1238, "")</f>
        <v>46013</v>
      </c>
      <c r="AF1333" s="19" t="str">
        <f>IF(OR(AD1333="", AE1333=""), "", AD1333-AE1333)</f>
        <v/>
      </c>
      <c r="AG1333" s="10"/>
      <c r="AH1333" s="1"/>
      <c r="AI1333" s="1"/>
      <c r="AJ1333" s="1"/>
      <c r="AK1333" s="1"/>
      <c r="AL1333" s="1"/>
    </row>
    <row r="1334" spans="1:38" ht="15" customHeight="1">
      <c r="A1334" s="156">
        <v>1333</v>
      </c>
      <c r="B1334" s="134">
        <v>46044</v>
      </c>
      <c r="C1334" s="140" t="s">
        <v>2737</v>
      </c>
      <c r="D1334" s="136" t="s">
        <v>38</v>
      </c>
      <c r="E1334" s="136">
        <v>174.46</v>
      </c>
      <c r="F1334" s="136" t="s">
        <v>2738</v>
      </c>
      <c r="G1334" s="138" t="s">
        <v>190</v>
      </c>
      <c r="H1334" s="23" t="s">
        <v>40</v>
      </c>
      <c r="I1334" s="38" t="s">
        <v>41</v>
      </c>
      <c r="J1334" s="97">
        <f>B1334-100</f>
        <v>45944</v>
      </c>
      <c r="K1334" s="4">
        <v>45964</v>
      </c>
      <c r="L1334" s="19">
        <f>IF(OR(J1334="", K1334=""), "", J1334-K1334)</f>
        <v>-20</v>
      </c>
      <c r="M1334" s="5">
        <f>B1334-89</f>
        <v>45955</v>
      </c>
      <c r="O1334" s="19" t="str">
        <f>IF(OR(M1239="", N1334=""), "", M1239-N1334)</f>
        <v/>
      </c>
      <c r="P1334" s="5">
        <f>B1239-74</f>
        <v>45939</v>
      </c>
      <c r="R1334" s="19" t="str">
        <f>IF(OR(P1334="", Q1334=""), "", P1334-Q1334)</f>
        <v/>
      </c>
      <c r="S1334" s="5">
        <f>B1239-69</f>
        <v>45944</v>
      </c>
      <c r="U1334" s="19" t="str">
        <f>IF(OR(S1334="", T1334=""), "", S1334-T1334)</f>
        <v/>
      </c>
      <c r="V1334" s="5">
        <f>B1239-30</f>
        <v>45983</v>
      </c>
      <c r="W1334" s="6"/>
      <c r="X1334" s="19" t="str">
        <f>IF(OR(V1334="", W1334=""), "", V1334-W1334)</f>
        <v/>
      </c>
      <c r="Y1334" s="51">
        <f>B1239-2</f>
        <v>46011</v>
      </c>
      <c r="Z1334" s="49"/>
      <c r="AA1334" s="49" t="str">
        <f>IF(OR(Y1334="", Z1334=""), "", Y1334-Z1334)</f>
        <v/>
      </c>
      <c r="AB1334" s="51">
        <f>IF(B1335&lt;&gt;"", B1335, "")</f>
        <v>46044</v>
      </c>
      <c r="AC1334" s="49" t="str">
        <f>IF(OR(AB1334="", Z1334=""), "", AB1334-Z1334)</f>
        <v/>
      </c>
      <c r="AD1334" s="43">
        <f>IF(B1239&lt;&gt;"", B1239, "")</f>
        <v>46013</v>
      </c>
      <c r="AF1334" s="19" t="str">
        <f>IF(OR(AD1334="", AE1334=""), "", AD1334-AE1334)</f>
        <v/>
      </c>
      <c r="AG1334" s="10"/>
      <c r="AH1334" s="1"/>
      <c r="AI1334" s="1"/>
      <c r="AJ1334" s="1"/>
      <c r="AK1334" s="1"/>
      <c r="AL1334" s="1"/>
    </row>
    <row r="1335" spans="1:38" ht="15" customHeight="1">
      <c r="A1335" s="156">
        <v>1334</v>
      </c>
      <c r="B1335" s="134">
        <v>46044</v>
      </c>
      <c r="C1335" s="140" t="s">
        <v>2739</v>
      </c>
      <c r="D1335" s="136" t="s">
        <v>38</v>
      </c>
      <c r="E1335" s="136">
        <v>960</v>
      </c>
      <c r="F1335" s="136" t="s">
        <v>2740</v>
      </c>
      <c r="G1335" s="138" t="s">
        <v>190</v>
      </c>
      <c r="H1335" s="23" t="s">
        <v>40</v>
      </c>
      <c r="I1335" s="38" t="s">
        <v>41</v>
      </c>
      <c r="J1335" s="97">
        <f>B1335-100</f>
        <v>45944</v>
      </c>
      <c r="K1335" s="4">
        <v>45964</v>
      </c>
      <c r="L1335" s="19">
        <f>IF(OR(J1335="", K1335=""), "", J1335-K1335)</f>
        <v>-20</v>
      </c>
      <c r="M1335" s="5">
        <f>B1335-89</f>
        <v>45955</v>
      </c>
      <c r="O1335" s="19" t="str">
        <f>IF(OR(M1240="", N1335=""), "", M1240-N1335)</f>
        <v/>
      </c>
      <c r="P1335" s="5">
        <f>B1240-74</f>
        <v>45939</v>
      </c>
      <c r="R1335" s="19" t="str">
        <f>IF(OR(P1335="", Q1335=""), "", P1335-Q1335)</f>
        <v/>
      </c>
      <c r="S1335" s="5">
        <f>B1240-69</f>
        <v>45944</v>
      </c>
      <c r="U1335" s="19" t="str">
        <f>IF(OR(S1335="", T1335=""), "", S1335-T1335)</f>
        <v/>
      </c>
      <c r="V1335" s="5">
        <f>B1240-30</f>
        <v>45983</v>
      </c>
      <c r="W1335" s="6"/>
      <c r="X1335" s="19" t="str">
        <f>IF(OR(V1335="", W1335=""), "", V1335-W1335)</f>
        <v/>
      </c>
      <c r="Y1335" s="51">
        <f>B1240-2</f>
        <v>46011</v>
      </c>
      <c r="Z1335" s="49"/>
      <c r="AA1335" s="49" t="str">
        <f>IF(OR(Y1335="", Z1335=""), "", Y1335-Z1335)</f>
        <v/>
      </c>
      <c r="AB1335" s="51">
        <f>IF(B1336&lt;&gt;"", B1336, "")</f>
        <v>46044</v>
      </c>
      <c r="AC1335" s="49" t="str">
        <f>IF(OR(AB1335="", Z1335=""), "", AB1335-Z1335)</f>
        <v/>
      </c>
      <c r="AD1335" s="43">
        <f>IF(B1240&lt;&gt;"", B1240, "")</f>
        <v>46013</v>
      </c>
      <c r="AF1335" s="19" t="str">
        <f>IF(OR(AD1335="", AE1335=""), "", AD1335-AE1335)</f>
        <v/>
      </c>
      <c r="AG1335" s="10"/>
      <c r="AH1335" s="1"/>
      <c r="AI1335" s="1"/>
      <c r="AJ1335" s="1"/>
      <c r="AK1335" s="1"/>
      <c r="AL1335" s="1"/>
    </row>
    <row r="1336" spans="1:38" ht="15" customHeight="1">
      <c r="A1336" s="156">
        <v>1335</v>
      </c>
      <c r="B1336" s="134">
        <v>46044</v>
      </c>
      <c r="C1336" s="140" t="s">
        <v>2741</v>
      </c>
      <c r="D1336" s="136" t="s">
        <v>38</v>
      </c>
      <c r="E1336" s="136">
        <v>1486.62</v>
      </c>
      <c r="F1336" s="136" t="s">
        <v>2742</v>
      </c>
      <c r="G1336" s="138" t="s">
        <v>190</v>
      </c>
      <c r="H1336" s="23" t="s">
        <v>40</v>
      </c>
      <c r="I1336" s="38" t="s">
        <v>41</v>
      </c>
      <c r="J1336" s="97">
        <f>B1336-100</f>
        <v>45944</v>
      </c>
      <c r="K1336" s="4">
        <v>45964</v>
      </c>
      <c r="L1336" s="19">
        <f>IF(OR(J1336="", K1336=""), "", J1336-K1336)</f>
        <v>-20</v>
      </c>
      <c r="M1336" s="5">
        <f>B1336-89</f>
        <v>45955</v>
      </c>
      <c r="O1336" s="19" t="str">
        <f>IF(OR(M1241="", N1336=""), "", M1241-N1336)</f>
        <v/>
      </c>
      <c r="P1336" s="5">
        <f>B1241-74</f>
        <v>45939</v>
      </c>
      <c r="R1336" s="19" t="str">
        <f>IF(OR(P1336="", Q1336=""), "", P1336-Q1336)</f>
        <v/>
      </c>
      <c r="S1336" s="5">
        <f>B1241-69</f>
        <v>45944</v>
      </c>
      <c r="U1336" s="19" t="str">
        <f>IF(OR(S1336="", T1336=""), "", S1336-T1336)</f>
        <v/>
      </c>
      <c r="V1336" s="5">
        <f>B1241-30</f>
        <v>45983</v>
      </c>
      <c r="W1336" s="6"/>
      <c r="X1336" s="19" t="str">
        <f>IF(OR(V1336="", W1336=""), "", V1336-W1336)</f>
        <v/>
      </c>
      <c r="Y1336" s="51">
        <f>B1241-2</f>
        <v>46011</v>
      </c>
      <c r="Z1336" s="49"/>
      <c r="AA1336" s="49" t="str">
        <f>IF(OR(Y1336="", Z1336=""), "", Y1336-Z1336)</f>
        <v/>
      </c>
      <c r="AB1336" s="51">
        <f>IF(B1337&lt;&gt;"", B1337, "")</f>
        <v>46044</v>
      </c>
      <c r="AC1336" s="49" t="str">
        <f>IF(OR(AB1336="", Z1336=""), "", AB1336-Z1336)</f>
        <v/>
      </c>
      <c r="AD1336" s="43">
        <f>IF(B1241&lt;&gt;"", B1241, "")</f>
        <v>46013</v>
      </c>
      <c r="AF1336" s="19" t="str">
        <f>IF(OR(AD1336="", AE1336=""), "", AD1336-AE1336)</f>
        <v/>
      </c>
      <c r="AG1336" s="10"/>
      <c r="AH1336" s="1"/>
      <c r="AI1336" s="1"/>
      <c r="AJ1336" s="1"/>
      <c r="AK1336" s="1"/>
      <c r="AL1336" s="1"/>
    </row>
    <row r="1337" spans="1:38" ht="15" customHeight="1">
      <c r="A1337" s="156">
        <v>1336</v>
      </c>
      <c r="B1337" s="134">
        <v>46044</v>
      </c>
      <c r="C1337" s="140" t="s">
        <v>2743</v>
      </c>
      <c r="D1337" s="136" t="s">
        <v>334</v>
      </c>
      <c r="E1337" s="136">
        <v>18257.54</v>
      </c>
      <c r="F1337" s="136" t="s">
        <v>346</v>
      </c>
      <c r="G1337" s="138" t="s">
        <v>46</v>
      </c>
      <c r="H1337" s="23" t="s">
        <v>36</v>
      </c>
      <c r="I1337" s="38" t="s">
        <v>229</v>
      </c>
      <c r="J1337" s="97">
        <f>B1337-100</f>
        <v>45944</v>
      </c>
      <c r="K1337" s="4">
        <v>45950</v>
      </c>
      <c r="L1337" s="19">
        <f>IF(OR(J1337="", K1337=""), "", J1337-K1337)</f>
        <v>-6</v>
      </c>
      <c r="M1337" s="5">
        <f>B1337-89</f>
        <v>45955</v>
      </c>
      <c r="O1337" s="19" t="str">
        <f>IF(OR(M1242="", N1337=""), "", M1242-N1337)</f>
        <v/>
      </c>
      <c r="P1337" s="5">
        <f>B1242-74</f>
        <v>45940</v>
      </c>
      <c r="R1337" s="19" t="str">
        <f>IF(OR(P1337="", Q1337=""), "", P1337-Q1337)</f>
        <v/>
      </c>
      <c r="S1337" s="5">
        <f>B1242-69</f>
        <v>45945</v>
      </c>
      <c r="U1337" s="19" t="str">
        <f>IF(OR(S1337="", T1337=""), "", S1337-T1337)</f>
        <v/>
      </c>
      <c r="V1337" s="5">
        <f>B1242-30</f>
        <v>45984</v>
      </c>
      <c r="W1337" s="6"/>
      <c r="X1337" s="19" t="str">
        <f>IF(OR(V1337="", W1337=""), "", V1337-W1337)</f>
        <v/>
      </c>
      <c r="Y1337" s="51">
        <f>B1242-2</f>
        <v>46012</v>
      </c>
      <c r="Z1337" s="49"/>
      <c r="AA1337" s="49" t="str">
        <f>IF(OR(Y1337="", Z1337=""), "", Y1337-Z1337)</f>
        <v/>
      </c>
      <c r="AB1337" s="51">
        <f>IF(B1338&lt;&gt;"", B1338, "")</f>
        <v>46046</v>
      </c>
      <c r="AC1337" s="49" t="str">
        <f>IF(OR(AB1337="", Z1337=""), "", AB1337-Z1337)</f>
        <v/>
      </c>
      <c r="AD1337" s="43">
        <f>IF(B1242&lt;&gt;"", B1242, "")</f>
        <v>46014</v>
      </c>
      <c r="AF1337" s="19" t="str">
        <f>IF(OR(AD1337="", AE1337=""), "", AD1337-AE1337)</f>
        <v/>
      </c>
      <c r="AG1337" s="10"/>
      <c r="AH1337" s="1"/>
      <c r="AI1337" s="1"/>
      <c r="AJ1337" s="1"/>
      <c r="AK1337" s="1"/>
      <c r="AL1337" s="1"/>
    </row>
    <row r="1338" spans="1:38" ht="15" customHeight="1">
      <c r="A1338" s="156">
        <v>1337</v>
      </c>
      <c r="B1338" s="134">
        <v>46046</v>
      </c>
      <c r="C1338" s="140" t="s">
        <v>2744</v>
      </c>
      <c r="D1338" s="136" t="s">
        <v>38</v>
      </c>
      <c r="E1338" s="136">
        <v>384</v>
      </c>
      <c r="F1338" s="136" t="s">
        <v>2745</v>
      </c>
      <c r="G1338" s="138" t="s">
        <v>190</v>
      </c>
      <c r="H1338" s="23" t="s">
        <v>40</v>
      </c>
      <c r="I1338" s="38" t="s">
        <v>41</v>
      </c>
      <c r="J1338" s="97">
        <f>B1338-100</f>
        <v>45946</v>
      </c>
      <c r="K1338" s="4">
        <v>45964</v>
      </c>
      <c r="L1338" s="19">
        <f>IF(OR(J1338="", K1338=""), "", J1338-K1338)</f>
        <v>-18</v>
      </c>
      <c r="M1338" s="5">
        <f>B1338-89</f>
        <v>45957</v>
      </c>
      <c r="O1338" s="19" t="str">
        <f>IF(OR(M1243="", N1338=""), "", M1243-N1338)</f>
        <v/>
      </c>
      <c r="P1338" s="5">
        <f>B1243-74</f>
        <v>45941</v>
      </c>
      <c r="R1338" s="19" t="str">
        <f>IF(OR(P1338="", Q1338=""), "", P1338-Q1338)</f>
        <v/>
      </c>
      <c r="S1338" s="5">
        <f>B1243-69</f>
        <v>45946</v>
      </c>
      <c r="U1338" s="19" t="str">
        <f>IF(OR(S1338="", T1338=""), "", S1338-T1338)</f>
        <v/>
      </c>
      <c r="V1338" s="5">
        <f>B1243-30</f>
        <v>45985</v>
      </c>
      <c r="W1338" s="6"/>
      <c r="X1338" s="19" t="str">
        <f>IF(OR(V1338="", W1338=""), "", V1338-W1338)</f>
        <v/>
      </c>
      <c r="Y1338" s="51">
        <f>B1243-2</f>
        <v>46013</v>
      </c>
      <c r="Z1338" s="49"/>
      <c r="AA1338" s="49" t="str">
        <f>IF(OR(Y1338="", Z1338=""), "", Y1338-Z1338)</f>
        <v/>
      </c>
      <c r="AB1338" s="51">
        <f>IF(B1339&lt;&gt;"", B1339, "")</f>
        <v>46046</v>
      </c>
      <c r="AC1338" s="49" t="str">
        <f>IF(OR(AB1338="", Z1338=""), "", AB1338-Z1338)</f>
        <v/>
      </c>
      <c r="AD1338" s="43">
        <f>IF(B1243&lt;&gt;"", B1243, "")</f>
        <v>46015</v>
      </c>
      <c r="AF1338" s="19" t="str">
        <f>IF(OR(AD1338="", AE1338=""), "", AD1338-AE1338)</f>
        <v/>
      </c>
      <c r="AG1338" s="10"/>
      <c r="AH1338" s="1"/>
      <c r="AI1338" s="1"/>
      <c r="AJ1338" s="1"/>
      <c r="AK1338" s="1"/>
      <c r="AL1338" s="1"/>
    </row>
    <row r="1339" spans="1:38" ht="15" customHeight="1">
      <c r="A1339" s="156">
        <v>1338</v>
      </c>
      <c r="B1339" s="134">
        <v>46046</v>
      </c>
      <c r="C1339" s="140" t="s">
        <v>2746</v>
      </c>
      <c r="D1339" s="136" t="s">
        <v>350</v>
      </c>
      <c r="E1339" s="136">
        <v>40590</v>
      </c>
      <c r="F1339" s="136" t="s">
        <v>351</v>
      </c>
      <c r="G1339" s="138" t="s">
        <v>46</v>
      </c>
      <c r="H1339" s="23" t="s">
        <v>40</v>
      </c>
      <c r="I1339" s="38" t="s">
        <v>62</v>
      </c>
      <c r="J1339" s="97">
        <f>B1339-100</f>
        <v>45946</v>
      </c>
      <c r="K1339" s="4">
        <v>45950</v>
      </c>
      <c r="L1339" s="19">
        <f>IF(OR(J1339="", K1339=""), "", J1339-K1339)</f>
        <v>-4</v>
      </c>
      <c r="M1339" s="5">
        <f>B1339-89</f>
        <v>45957</v>
      </c>
      <c r="O1339" s="19" t="str">
        <f>IF(OR(M1244="", N1339=""), "", M1244-N1339)</f>
        <v/>
      </c>
      <c r="P1339" s="5">
        <f>B1244-74</f>
        <v>45941</v>
      </c>
      <c r="R1339" s="19" t="str">
        <f>IF(OR(P1339="", Q1339=""), "", P1339-Q1339)</f>
        <v/>
      </c>
      <c r="S1339" s="5">
        <f>B1244-69</f>
        <v>45946</v>
      </c>
      <c r="U1339" s="19" t="str">
        <f>IF(OR(S1339="", T1339=""), "", S1339-T1339)</f>
        <v/>
      </c>
      <c r="V1339" s="5">
        <f>B1244-30</f>
        <v>45985</v>
      </c>
      <c r="W1339" s="6"/>
      <c r="X1339" s="19" t="str">
        <f>IF(OR(V1339="", W1339=""), "", V1339-W1339)</f>
        <v/>
      </c>
      <c r="Y1339" s="51">
        <f>B1244-2</f>
        <v>46013</v>
      </c>
      <c r="Z1339" s="49"/>
      <c r="AA1339" s="49" t="str">
        <f>IF(OR(Y1339="", Z1339=""), "", Y1339-Z1339)</f>
        <v/>
      </c>
      <c r="AB1339" s="51">
        <f>IF(B1340&lt;&gt;"", B1340, "")</f>
        <v>46046</v>
      </c>
      <c r="AC1339" s="49" t="str">
        <f>IF(OR(AB1339="", Z1339=""), "", AB1339-Z1339)</f>
        <v/>
      </c>
      <c r="AD1339" s="43">
        <f>IF(B1244&lt;&gt;"", B1244, "")</f>
        <v>46015</v>
      </c>
      <c r="AF1339" s="19" t="str">
        <f>IF(OR(AD1339="", AE1339=""), "", AD1339-AE1339)</f>
        <v/>
      </c>
      <c r="AG1339" s="10"/>
      <c r="AH1339" s="1"/>
      <c r="AI1339" s="1"/>
      <c r="AJ1339" s="1"/>
      <c r="AK1339" s="1"/>
      <c r="AL1339" s="1"/>
    </row>
    <row r="1340" spans="1:38" ht="15" customHeight="1">
      <c r="A1340" s="156">
        <v>1339</v>
      </c>
      <c r="B1340" s="134">
        <v>46046</v>
      </c>
      <c r="C1340" s="140" t="s">
        <v>2747</v>
      </c>
      <c r="D1340" s="136" t="s">
        <v>350</v>
      </c>
      <c r="E1340" s="136">
        <v>56940</v>
      </c>
      <c r="F1340" s="136" t="s">
        <v>352</v>
      </c>
      <c r="G1340" s="138" t="s">
        <v>46</v>
      </c>
      <c r="H1340" s="23" t="s">
        <v>40</v>
      </c>
      <c r="I1340" s="38" t="s">
        <v>62</v>
      </c>
      <c r="J1340" s="97">
        <f>B1340-100</f>
        <v>45946</v>
      </c>
      <c r="K1340" s="4">
        <v>45950</v>
      </c>
      <c r="L1340" s="19">
        <f>IF(OR(J1340="", K1340=""), "", J1340-K1340)</f>
        <v>-4</v>
      </c>
      <c r="M1340" s="5">
        <f>B1340-89</f>
        <v>45957</v>
      </c>
      <c r="O1340" s="19" t="str">
        <f>IF(OR(M1245="", N1340=""), "", M1245-N1340)</f>
        <v/>
      </c>
      <c r="P1340" s="5">
        <f>B1245-74</f>
        <v>45941</v>
      </c>
      <c r="R1340" s="19" t="str">
        <f>IF(OR(P1340="", Q1340=""), "", P1340-Q1340)</f>
        <v/>
      </c>
      <c r="S1340" s="5">
        <f>B1245-69</f>
        <v>45946</v>
      </c>
      <c r="U1340" s="19" t="str">
        <f>IF(OR(S1340="", T1340=""), "", S1340-T1340)</f>
        <v/>
      </c>
      <c r="V1340" s="5">
        <f>B1245-30</f>
        <v>45985</v>
      </c>
      <c r="W1340" s="6"/>
      <c r="X1340" s="19" t="str">
        <f>IF(OR(V1340="", W1340=""), "", V1340-W1340)</f>
        <v/>
      </c>
      <c r="Y1340" s="51">
        <f>B1245-2</f>
        <v>46013</v>
      </c>
      <c r="Z1340" s="49"/>
      <c r="AA1340" s="49" t="str">
        <f>IF(OR(Y1340="", Z1340=""), "", Y1340-Z1340)</f>
        <v/>
      </c>
      <c r="AB1340" s="51">
        <f>IF(B1341&lt;&gt;"", B1341, "")</f>
        <v>46047</v>
      </c>
      <c r="AC1340" s="49" t="str">
        <f>IF(OR(AB1340="", Z1340=""), "", AB1340-Z1340)</f>
        <v/>
      </c>
      <c r="AD1340" s="43">
        <f>IF(B1245&lt;&gt;"", B1245, "")</f>
        <v>46015</v>
      </c>
      <c r="AF1340" s="19" t="str">
        <f>IF(OR(AD1340="", AE1340=""), "", AD1340-AE1340)</f>
        <v/>
      </c>
      <c r="AG1340" s="10"/>
      <c r="AH1340" s="1"/>
      <c r="AI1340" s="1"/>
      <c r="AJ1340" s="1"/>
      <c r="AK1340" s="1"/>
      <c r="AL1340" s="1"/>
    </row>
    <row r="1341" spans="1:38" ht="15" customHeight="1">
      <c r="A1341" s="156">
        <v>1340</v>
      </c>
      <c r="B1341" s="134">
        <v>46047</v>
      </c>
      <c r="C1341" s="140" t="s">
        <v>2748</v>
      </c>
      <c r="D1341" s="136" t="s">
        <v>38</v>
      </c>
      <c r="E1341" s="136">
        <v>105.01</v>
      </c>
      <c r="F1341" s="136" t="s">
        <v>2749</v>
      </c>
      <c r="G1341" s="138" t="s">
        <v>190</v>
      </c>
      <c r="H1341" s="23" t="s">
        <v>40</v>
      </c>
      <c r="I1341" s="38" t="s">
        <v>41</v>
      </c>
      <c r="J1341" s="97">
        <f>B1341-100</f>
        <v>45947</v>
      </c>
      <c r="K1341" s="4">
        <v>45964</v>
      </c>
      <c r="L1341" s="19">
        <f>IF(OR(J1341="", K1341=""), "", J1341-K1341)</f>
        <v>-17</v>
      </c>
      <c r="M1341" s="5">
        <f>B1341-89</f>
        <v>45958</v>
      </c>
      <c r="O1341" s="19" t="str">
        <f>IF(OR(M1246="", N1341=""), "", M1246-N1341)</f>
        <v/>
      </c>
      <c r="P1341" s="5">
        <f>B1246-74</f>
        <v>45941</v>
      </c>
      <c r="R1341" s="19" t="str">
        <f>IF(OR(P1341="", Q1341=""), "", P1341-Q1341)</f>
        <v/>
      </c>
      <c r="S1341" s="5">
        <f>B1246-69</f>
        <v>45946</v>
      </c>
      <c r="U1341" s="19" t="str">
        <f>IF(OR(S1341="", T1341=""), "", S1341-T1341)</f>
        <v/>
      </c>
      <c r="V1341" s="5">
        <f>B1246-30</f>
        <v>45985</v>
      </c>
      <c r="W1341" s="6"/>
      <c r="X1341" s="19" t="str">
        <f>IF(OR(V1341="", W1341=""), "", V1341-W1341)</f>
        <v/>
      </c>
      <c r="Y1341" s="51">
        <f>B1246-2</f>
        <v>46013</v>
      </c>
      <c r="Z1341" s="49"/>
      <c r="AA1341" s="49" t="str">
        <f>IF(OR(Y1341="", Z1341=""), "", Y1341-Z1341)</f>
        <v/>
      </c>
      <c r="AB1341" s="51">
        <f>IF(B1342&lt;&gt;"", B1342, "")</f>
        <v>46048</v>
      </c>
      <c r="AC1341" s="49" t="str">
        <f>IF(OR(AB1341="", Z1341=""), "", AB1341-Z1341)</f>
        <v/>
      </c>
      <c r="AD1341" s="43">
        <f>IF(B1246&lt;&gt;"", B1246, "")</f>
        <v>46015</v>
      </c>
      <c r="AF1341" s="19" t="str">
        <f>IF(OR(AD1341="", AE1341=""), "", AD1341-AE1341)</f>
        <v/>
      </c>
      <c r="AG1341" s="10"/>
      <c r="AH1341" s="1"/>
      <c r="AI1341" s="1"/>
      <c r="AJ1341" s="1"/>
      <c r="AK1341" s="1"/>
      <c r="AL1341" s="1"/>
    </row>
    <row r="1342" spans="1:38" ht="15" customHeight="1">
      <c r="A1342" s="156">
        <v>1341</v>
      </c>
      <c r="B1342" s="134">
        <v>46048</v>
      </c>
      <c r="C1342" s="140" t="s">
        <v>2750</v>
      </c>
      <c r="D1342" s="136" t="s">
        <v>38</v>
      </c>
      <c r="E1342" s="136">
        <v>143.93</v>
      </c>
      <c r="F1342" s="136" t="s">
        <v>2751</v>
      </c>
      <c r="G1342" s="138" t="s">
        <v>190</v>
      </c>
      <c r="H1342" s="23" t="s">
        <v>40</v>
      </c>
      <c r="I1342" s="38" t="s">
        <v>41</v>
      </c>
      <c r="J1342" s="97">
        <f>B1342-100</f>
        <v>45948</v>
      </c>
      <c r="K1342" s="4">
        <v>45964</v>
      </c>
      <c r="L1342" s="19">
        <f>IF(OR(J1342="", K1342=""), "", J1342-K1342)</f>
        <v>-16</v>
      </c>
      <c r="M1342" s="5">
        <f>B1342-89</f>
        <v>45959</v>
      </c>
      <c r="O1342" s="19" t="str">
        <f>IF(OR(M1247="", N1342=""), "", M1247-N1342)</f>
        <v/>
      </c>
      <c r="P1342" s="5">
        <f>B1247-74</f>
        <v>45943</v>
      </c>
      <c r="R1342" s="19" t="str">
        <f>IF(OR(P1342="", Q1342=""), "", P1342-Q1342)</f>
        <v/>
      </c>
      <c r="S1342" s="5">
        <f>B1247-69</f>
        <v>45948</v>
      </c>
      <c r="U1342" s="19" t="str">
        <f>IF(OR(S1342="", T1342=""), "", S1342-T1342)</f>
        <v/>
      </c>
      <c r="V1342" s="5">
        <f>B1247-30</f>
        <v>45987</v>
      </c>
      <c r="W1342" s="6"/>
      <c r="X1342" s="19" t="str">
        <f>IF(OR(V1342="", W1342=""), "", V1342-W1342)</f>
        <v/>
      </c>
      <c r="Y1342" s="51">
        <f>B1247-2</f>
        <v>46015</v>
      </c>
      <c r="Z1342" s="49"/>
      <c r="AA1342" s="49" t="str">
        <f>IF(OR(Y1342="", Z1342=""), "", Y1342-Z1342)</f>
        <v/>
      </c>
      <c r="AB1342" s="51">
        <f>IF(B1343&lt;&gt;"", B1343, "")</f>
        <v>46048</v>
      </c>
      <c r="AC1342" s="49" t="str">
        <f>IF(OR(AB1342="", Z1342=""), "", AB1342-Z1342)</f>
        <v/>
      </c>
      <c r="AD1342" s="43">
        <f>IF(B1247&lt;&gt;"", B1247, "")</f>
        <v>46017</v>
      </c>
      <c r="AF1342" s="19" t="str">
        <f>IF(OR(AD1342="", AE1342=""), "", AD1342-AE1342)</f>
        <v/>
      </c>
      <c r="AG1342" s="10"/>
      <c r="AH1342" s="1"/>
      <c r="AI1342" s="1"/>
      <c r="AJ1342" s="1"/>
      <c r="AK1342" s="1"/>
      <c r="AL1342" s="1"/>
    </row>
    <row r="1343" spans="1:38" ht="15" customHeight="1">
      <c r="A1343" s="156">
        <v>1342</v>
      </c>
      <c r="B1343" s="134">
        <v>46048</v>
      </c>
      <c r="C1343" s="140" t="s">
        <v>2752</v>
      </c>
      <c r="D1343" s="136" t="s">
        <v>227</v>
      </c>
      <c r="E1343" s="136">
        <v>4046.68</v>
      </c>
      <c r="F1343" s="136" t="s">
        <v>355</v>
      </c>
      <c r="G1343" s="138" t="s">
        <v>120</v>
      </c>
      <c r="H1343" s="23" t="s">
        <v>40</v>
      </c>
      <c r="I1343" s="38" t="s">
        <v>41</v>
      </c>
      <c r="J1343" s="97">
        <f>B1343-100</f>
        <v>45948</v>
      </c>
      <c r="K1343" s="4">
        <v>45964</v>
      </c>
      <c r="L1343" s="19">
        <f>IF(OR(J1343="", K1343=""), "", J1343-K1343)</f>
        <v>-16</v>
      </c>
      <c r="M1343" s="5">
        <f>B1343-89</f>
        <v>45959</v>
      </c>
      <c r="O1343" s="19" t="str">
        <f>IF(OR(M1248="", N1343=""), "", M1248-N1343)</f>
        <v/>
      </c>
      <c r="P1343" s="5">
        <f>B1248-74</f>
        <v>45944</v>
      </c>
      <c r="R1343" s="19" t="str">
        <f>IF(OR(P1343="", Q1343=""), "", P1343-Q1343)</f>
        <v/>
      </c>
      <c r="S1343" s="5">
        <f>B1248-69</f>
        <v>45949</v>
      </c>
      <c r="U1343" s="19" t="str">
        <f>IF(OR(S1343="", T1343=""), "", S1343-T1343)</f>
        <v/>
      </c>
      <c r="V1343" s="5">
        <f>B1248-30</f>
        <v>45988</v>
      </c>
      <c r="W1343" s="6"/>
      <c r="X1343" s="19" t="str">
        <f>IF(OR(V1343="", W1343=""), "", V1343-W1343)</f>
        <v/>
      </c>
      <c r="Y1343" s="51">
        <f>B1248-2</f>
        <v>46016</v>
      </c>
      <c r="Z1343" s="49"/>
      <c r="AA1343" s="49" t="str">
        <f>IF(OR(Y1343="", Z1343=""), "", Y1343-Z1343)</f>
        <v/>
      </c>
      <c r="AB1343" s="51">
        <f>IF(B1344&lt;&gt;"", B1344, "")</f>
        <v>46048</v>
      </c>
      <c r="AC1343" s="49" t="str">
        <f>IF(OR(AB1343="", Z1343=""), "", AB1343-Z1343)</f>
        <v/>
      </c>
      <c r="AD1343" s="43">
        <f>IF(B1248&lt;&gt;"", B1248, "")</f>
        <v>46018</v>
      </c>
      <c r="AF1343" s="19" t="str">
        <f>IF(OR(AD1343="", AE1343=""), "", AD1343-AE1343)</f>
        <v/>
      </c>
      <c r="AG1343" s="10"/>
      <c r="AH1343" s="1"/>
      <c r="AI1343" s="1"/>
      <c r="AJ1343" s="1"/>
      <c r="AK1343" s="1"/>
      <c r="AL1343" s="1"/>
    </row>
    <row r="1344" spans="1:38" ht="15" customHeight="1">
      <c r="A1344" s="156">
        <v>1343</v>
      </c>
      <c r="B1344" s="134">
        <v>46048</v>
      </c>
      <c r="C1344" s="140">
        <v>111848807</v>
      </c>
      <c r="D1344" s="136" t="s">
        <v>356</v>
      </c>
      <c r="E1344" s="136">
        <v>11525.83</v>
      </c>
      <c r="F1344" s="136" t="s">
        <v>2753</v>
      </c>
      <c r="G1344" s="138" t="s">
        <v>120</v>
      </c>
      <c r="H1344" s="23" t="s">
        <v>40</v>
      </c>
      <c r="I1344" s="38" t="s">
        <v>37</v>
      </c>
      <c r="J1344" s="97">
        <f>B1344-100</f>
        <v>45948</v>
      </c>
      <c r="K1344" s="4">
        <v>45964</v>
      </c>
      <c r="L1344" s="19">
        <f>IF(OR(J1344="", K1344=""), "", J1344-K1344)</f>
        <v>-16</v>
      </c>
      <c r="M1344" s="5">
        <f>B1344-89</f>
        <v>45959</v>
      </c>
      <c r="O1344" s="19" t="str">
        <f>IF(OR(M1249="", N1344=""), "", M1249-N1344)</f>
        <v/>
      </c>
      <c r="P1344" s="5">
        <f>B1249-74</f>
        <v>45944</v>
      </c>
      <c r="R1344" s="19" t="str">
        <f>IF(OR(P1344="", Q1344=""), "", P1344-Q1344)</f>
        <v/>
      </c>
      <c r="S1344" s="5">
        <f>B1249-69</f>
        <v>45949</v>
      </c>
      <c r="U1344" s="19" t="str">
        <f>IF(OR(S1344="", T1344=""), "", S1344-T1344)</f>
        <v/>
      </c>
      <c r="V1344" s="5">
        <f>B1249-30</f>
        <v>45988</v>
      </c>
      <c r="W1344" s="6"/>
      <c r="X1344" s="19" t="str">
        <f>IF(OR(V1344="", W1344=""), "", V1344-W1344)</f>
        <v/>
      </c>
      <c r="Y1344" s="51">
        <f>B1249-2</f>
        <v>46016</v>
      </c>
      <c r="Z1344" s="49"/>
      <c r="AA1344" s="49" t="str">
        <f>IF(OR(Y1344="", Z1344=""), "", Y1344-Z1344)</f>
        <v/>
      </c>
      <c r="AB1344" s="51">
        <f>IF(B1345&lt;&gt;"", B1345, "")</f>
        <v>46049</v>
      </c>
      <c r="AC1344" s="49" t="str">
        <f>IF(OR(AB1344="", Z1344=""), "", AB1344-Z1344)</f>
        <v/>
      </c>
      <c r="AD1344" s="43">
        <f>IF(B1249&lt;&gt;"", B1249, "")</f>
        <v>46018</v>
      </c>
      <c r="AF1344" s="19" t="str">
        <f>IF(OR(AD1344="", AE1344=""), "", AD1344-AE1344)</f>
        <v/>
      </c>
      <c r="AG1344" s="10"/>
      <c r="AH1344" s="1"/>
      <c r="AI1344" s="1"/>
      <c r="AJ1344" s="1"/>
      <c r="AK1344" s="1"/>
      <c r="AL1344" s="1"/>
    </row>
    <row r="1345" spans="1:38" ht="15" customHeight="1">
      <c r="A1345" s="156">
        <v>1344</v>
      </c>
      <c r="B1345" s="134">
        <v>46049</v>
      </c>
      <c r="C1345" s="140" t="s">
        <v>2754</v>
      </c>
      <c r="D1345" s="136" t="s">
        <v>38</v>
      </c>
      <c r="E1345" s="136">
        <v>391.57</v>
      </c>
      <c r="F1345" s="136" t="s">
        <v>2755</v>
      </c>
      <c r="G1345" s="138" t="s">
        <v>190</v>
      </c>
      <c r="H1345" s="23" t="s">
        <v>40</v>
      </c>
      <c r="I1345" s="38" t="s">
        <v>41</v>
      </c>
      <c r="J1345" s="97">
        <f>B1345-100</f>
        <v>45949</v>
      </c>
      <c r="K1345" s="4">
        <v>45964</v>
      </c>
      <c r="L1345" s="19">
        <f>IF(OR(J1345="", K1345=""), "", J1345-K1345)</f>
        <v>-15</v>
      </c>
      <c r="M1345" s="5">
        <f>B1345-89</f>
        <v>45960</v>
      </c>
      <c r="O1345" s="19" t="str">
        <f>IF(OR(M1250="", N1345=""), "", M1250-N1345)</f>
        <v/>
      </c>
      <c r="P1345" s="5">
        <f>B1250-74</f>
        <v>45944</v>
      </c>
      <c r="R1345" s="19" t="str">
        <f>IF(OR(P1345="", Q1345=""), "", P1345-Q1345)</f>
        <v/>
      </c>
      <c r="S1345" s="5">
        <f>B1250-69</f>
        <v>45949</v>
      </c>
      <c r="U1345" s="19" t="str">
        <f>IF(OR(S1345="", T1345=""), "", S1345-T1345)</f>
        <v/>
      </c>
      <c r="V1345" s="5">
        <f>B1250-30</f>
        <v>45988</v>
      </c>
      <c r="W1345" s="6"/>
      <c r="X1345" s="19" t="str">
        <f>IF(OR(V1345="", W1345=""), "", V1345-W1345)</f>
        <v/>
      </c>
      <c r="Y1345" s="51">
        <f>B1250-2</f>
        <v>46016</v>
      </c>
      <c r="Z1345" s="49"/>
      <c r="AA1345" s="49" t="str">
        <f>IF(OR(Y1345="", Z1345=""), "", Y1345-Z1345)</f>
        <v/>
      </c>
      <c r="AB1345" s="51">
        <f>IF(B1346&lt;&gt;"", B1346, "")</f>
        <v>46049</v>
      </c>
      <c r="AC1345" s="49" t="str">
        <f>IF(OR(AB1345="", Z1345=""), "", AB1345-Z1345)</f>
        <v/>
      </c>
      <c r="AD1345" s="43">
        <f>IF(B1250&lt;&gt;"", B1250, "")</f>
        <v>46018</v>
      </c>
      <c r="AF1345" s="19" t="str">
        <f>IF(OR(AD1345="", AE1345=""), "", AD1345-AE1345)</f>
        <v/>
      </c>
      <c r="AG1345" s="10"/>
      <c r="AH1345" s="1"/>
      <c r="AI1345" s="1"/>
      <c r="AJ1345" s="1"/>
      <c r="AK1345" s="1"/>
      <c r="AL1345" s="1"/>
    </row>
    <row r="1346" spans="1:38" ht="15" customHeight="1">
      <c r="A1346" s="156">
        <v>1345</v>
      </c>
      <c r="B1346" s="134">
        <v>46049</v>
      </c>
      <c r="C1346" s="140" t="s">
        <v>2756</v>
      </c>
      <c r="D1346" s="136" t="s">
        <v>38</v>
      </c>
      <c r="E1346" s="136">
        <v>629.44000000000005</v>
      </c>
      <c r="F1346" s="136" t="s">
        <v>2757</v>
      </c>
      <c r="G1346" s="138" t="s">
        <v>190</v>
      </c>
      <c r="H1346" s="23" t="s">
        <v>40</v>
      </c>
      <c r="I1346" s="38" t="s">
        <v>41</v>
      </c>
      <c r="J1346" s="97">
        <f>B1346-100</f>
        <v>45949</v>
      </c>
      <c r="K1346" s="4">
        <v>45964</v>
      </c>
      <c r="L1346" s="19">
        <f>IF(OR(J1346="", K1346=""), "", J1346-K1346)</f>
        <v>-15</v>
      </c>
      <c r="M1346" s="5">
        <f>B1346-89</f>
        <v>45960</v>
      </c>
      <c r="O1346" s="19" t="str">
        <f>IF(OR(M1251="", N1346=""), "", M1251-N1346)</f>
        <v/>
      </c>
      <c r="P1346" s="5">
        <f>B1251-74</f>
        <v>45945</v>
      </c>
      <c r="R1346" s="19" t="str">
        <f>IF(OR(P1346="", Q1346=""), "", P1346-Q1346)</f>
        <v/>
      </c>
      <c r="S1346" s="5">
        <f>B1251-69</f>
        <v>45950</v>
      </c>
      <c r="U1346" s="19" t="str">
        <f>IF(OR(S1346="", T1346=""), "", S1346-T1346)</f>
        <v/>
      </c>
      <c r="V1346" s="5">
        <f>B1251-30</f>
        <v>45989</v>
      </c>
      <c r="W1346" s="6"/>
      <c r="X1346" s="19" t="str">
        <f>IF(OR(V1346="", W1346=""), "", V1346-W1346)</f>
        <v/>
      </c>
      <c r="Y1346" s="51">
        <f>B1251-2</f>
        <v>46017</v>
      </c>
      <c r="Z1346" s="49"/>
      <c r="AA1346" s="49" t="str">
        <f>IF(OR(Y1346="", Z1346=""), "", Y1346-Z1346)</f>
        <v/>
      </c>
      <c r="AB1346" s="51">
        <f>IF(B1347&lt;&gt;"", B1347, "")</f>
        <v>46049</v>
      </c>
      <c r="AC1346" s="49" t="str">
        <f>IF(OR(AB1346="", Z1346=""), "", AB1346-Z1346)</f>
        <v/>
      </c>
      <c r="AD1346" s="43">
        <f>IF(B1251&lt;&gt;"", B1251, "")</f>
        <v>46019</v>
      </c>
      <c r="AF1346" s="19" t="str">
        <f>IF(OR(AD1346="", AE1346=""), "", AD1346-AE1346)</f>
        <v/>
      </c>
      <c r="AG1346" s="10"/>
      <c r="AH1346" s="1"/>
      <c r="AI1346" s="1"/>
      <c r="AJ1346" s="1"/>
      <c r="AK1346" s="1"/>
      <c r="AL1346" s="1"/>
    </row>
    <row r="1347" spans="1:38" ht="15" customHeight="1">
      <c r="A1347" s="156">
        <v>1346</v>
      </c>
      <c r="B1347" s="134">
        <v>46049</v>
      </c>
      <c r="C1347" s="140" t="s">
        <v>2758</v>
      </c>
      <c r="D1347" s="136" t="s">
        <v>1108</v>
      </c>
      <c r="E1347" s="136">
        <v>661.32</v>
      </c>
      <c r="F1347" s="136" t="s">
        <v>2759</v>
      </c>
      <c r="G1347" s="138" t="s">
        <v>51</v>
      </c>
      <c r="H1347" s="23" t="s">
        <v>40</v>
      </c>
      <c r="I1347" s="38" t="s">
        <v>62</v>
      </c>
      <c r="J1347" s="97">
        <f>B1347-100</f>
        <v>45949</v>
      </c>
      <c r="K1347" s="4">
        <v>45964</v>
      </c>
      <c r="L1347" s="19">
        <f>IF(OR(J1347="", K1347=""), "", J1347-K1347)</f>
        <v>-15</v>
      </c>
      <c r="M1347" s="5">
        <f>B1347-89</f>
        <v>45960</v>
      </c>
      <c r="O1347" s="19" t="str">
        <f>IF(OR(M1252="", N1347=""), "", M1252-N1347)</f>
        <v/>
      </c>
      <c r="P1347" s="5">
        <f>B1252-74</f>
        <v>45946</v>
      </c>
      <c r="R1347" s="19" t="str">
        <f>IF(OR(P1347="", Q1347=""), "", P1347-Q1347)</f>
        <v/>
      </c>
      <c r="S1347" s="5">
        <f>B1252-69</f>
        <v>45951</v>
      </c>
      <c r="U1347" s="19" t="str">
        <f>IF(OR(S1347="", T1347=""), "", S1347-T1347)</f>
        <v/>
      </c>
      <c r="V1347" s="5">
        <f>B1252-30</f>
        <v>45990</v>
      </c>
      <c r="W1347" s="6"/>
      <c r="X1347" s="19" t="str">
        <f>IF(OR(V1347="", W1347=""), "", V1347-W1347)</f>
        <v/>
      </c>
      <c r="Y1347" s="51">
        <f>B1252-2</f>
        <v>46018</v>
      </c>
      <c r="Z1347" s="49"/>
      <c r="AA1347" s="49" t="str">
        <f>IF(OR(Y1347="", Z1347=""), "", Y1347-Z1347)</f>
        <v/>
      </c>
      <c r="AB1347" s="51">
        <f>IF(B1348&lt;&gt;"", B1348, "")</f>
        <v>46050</v>
      </c>
      <c r="AC1347" s="49" t="str">
        <f>IF(OR(AB1347="", Z1347=""), "", AB1347-Z1347)</f>
        <v/>
      </c>
      <c r="AD1347" s="43">
        <f>IF(B1252&lt;&gt;"", B1252, "")</f>
        <v>46020</v>
      </c>
      <c r="AF1347" s="19" t="str">
        <f>IF(OR(AD1347="", AE1347=""), "", AD1347-AE1347)</f>
        <v/>
      </c>
      <c r="AG1347" s="10"/>
      <c r="AH1347" s="1"/>
      <c r="AI1347" s="1"/>
      <c r="AJ1347" s="1"/>
      <c r="AK1347" s="1"/>
      <c r="AL1347" s="1"/>
    </row>
    <row r="1348" spans="1:38" ht="15" customHeight="1">
      <c r="A1348" s="156">
        <v>1347</v>
      </c>
      <c r="B1348" s="134">
        <v>46050</v>
      </c>
      <c r="C1348" s="140" t="s">
        <v>2760</v>
      </c>
      <c r="D1348" s="136" t="s">
        <v>2761</v>
      </c>
      <c r="E1348" s="136">
        <v>14182.74</v>
      </c>
      <c r="F1348" s="136" t="s">
        <v>2762</v>
      </c>
      <c r="G1348" s="138" t="s">
        <v>2763</v>
      </c>
      <c r="H1348" s="23" t="s">
        <v>36</v>
      </c>
      <c r="I1348" s="38" t="s">
        <v>1426</v>
      </c>
      <c r="J1348" s="97">
        <f>B1348-100</f>
        <v>45950</v>
      </c>
      <c r="K1348" s="4">
        <v>45964</v>
      </c>
      <c r="L1348" s="19">
        <f>IF(OR(J1348="", K1348=""), "", J1348-K1348)</f>
        <v>-14</v>
      </c>
      <c r="M1348" s="5">
        <f>B1348-89</f>
        <v>45961</v>
      </c>
      <c r="O1348" s="19" t="str">
        <f>IF(OR(M1253="", N1348=""), "", M1253-N1348)</f>
        <v/>
      </c>
      <c r="P1348" s="5">
        <f>B1253-74</f>
        <v>45946</v>
      </c>
      <c r="R1348" s="19" t="str">
        <f>IF(OR(P1348="", Q1348=""), "", P1348-Q1348)</f>
        <v/>
      </c>
      <c r="S1348" s="5">
        <f>B1253-69</f>
        <v>45951</v>
      </c>
      <c r="U1348" s="19" t="str">
        <f>IF(OR(S1348="", T1348=""), "", S1348-T1348)</f>
        <v/>
      </c>
      <c r="V1348" s="5">
        <f>B1253-30</f>
        <v>45990</v>
      </c>
      <c r="W1348" s="6"/>
      <c r="X1348" s="19" t="str">
        <f>IF(OR(V1348="", W1348=""), "", V1348-W1348)</f>
        <v/>
      </c>
      <c r="Y1348" s="51">
        <f>B1253-2</f>
        <v>46018</v>
      </c>
      <c r="Z1348" s="49"/>
      <c r="AA1348" s="49" t="str">
        <f>IF(OR(Y1348="", Z1348=""), "", Y1348-Z1348)</f>
        <v/>
      </c>
      <c r="AB1348" s="51">
        <f>IF(B1349&lt;&gt;"", B1349, "")</f>
        <v>46051</v>
      </c>
      <c r="AC1348" s="49" t="str">
        <f>IF(OR(AB1348="", Z1348=""), "", AB1348-Z1348)</f>
        <v/>
      </c>
      <c r="AD1348" s="43">
        <f>IF(B1253&lt;&gt;"", B1253, "")</f>
        <v>46020</v>
      </c>
      <c r="AF1348" s="19" t="str">
        <f>IF(OR(AD1348="", AE1348=""), "", AD1348-AE1348)</f>
        <v/>
      </c>
      <c r="AG1348" s="10"/>
      <c r="AH1348" s="1"/>
      <c r="AI1348" s="1"/>
      <c r="AJ1348" s="1"/>
      <c r="AK1348" s="1"/>
      <c r="AL1348" s="1"/>
    </row>
    <row r="1349" spans="1:38" ht="15" customHeight="1">
      <c r="A1349" s="156">
        <v>1348</v>
      </c>
      <c r="B1349" s="134">
        <v>46051</v>
      </c>
      <c r="C1349" s="140" t="s">
        <v>2764</v>
      </c>
      <c r="D1349" s="136" t="s">
        <v>358</v>
      </c>
      <c r="E1349" s="136">
        <v>27035.37</v>
      </c>
      <c r="F1349" s="136" t="s">
        <v>359</v>
      </c>
      <c r="G1349" s="138" t="s">
        <v>35</v>
      </c>
      <c r="H1349" s="23" t="s">
        <v>40</v>
      </c>
      <c r="I1349" s="38" t="s">
        <v>93</v>
      </c>
      <c r="J1349" s="97">
        <f>B1349-100</f>
        <v>45951</v>
      </c>
      <c r="K1349" s="4">
        <v>45964</v>
      </c>
      <c r="L1349" s="19">
        <f>IF(OR(J1349="", K1349=""), "", J1349-K1349)</f>
        <v>-13</v>
      </c>
      <c r="M1349" s="5">
        <f>B1349-89</f>
        <v>45962</v>
      </c>
      <c r="O1349" s="19" t="str">
        <f>IF(OR(M1254="", N1349=""), "", M1254-N1349)</f>
        <v/>
      </c>
      <c r="P1349" s="5">
        <f>B1254-74</f>
        <v>45946</v>
      </c>
      <c r="R1349" s="19" t="str">
        <f>IF(OR(P1349="", Q1349=""), "", P1349-Q1349)</f>
        <v/>
      </c>
      <c r="S1349" s="5">
        <f>B1254-69</f>
        <v>45951</v>
      </c>
      <c r="U1349" s="19" t="str">
        <f>IF(OR(S1349="", T1349=""), "", S1349-T1349)</f>
        <v/>
      </c>
      <c r="V1349" s="5">
        <f>B1254-30</f>
        <v>45990</v>
      </c>
      <c r="W1349" s="6"/>
      <c r="X1349" s="19" t="str">
        <f>IF(OR(V1349="", W1349=""), "", V1349-W1349)</f>
        <v/>
      </c>
      <c r="Y1349" s="51">
        <f>B1254-2</f>
        <v>46018</v>
      </c>
      <c r="Z1349" s="49"/>
      <c r="AA1349" s="49" t="str">
        <f>IF(OR(Y1349="", Z1349=""), "", Y1349-Z1349)</f>
        <v/>
      </c>
      <c r="AB1349" s="51">
        <f>IF(B1350&lt;&gt;"", B1350, "")</f>
        <v>46051</v>
      </c>
      <c r="AC1349" s="49" t="str">
        <f>IF(OR(AB1349="", Z1349=""), "", AB1349-Z1349)</f>
        <v/>
      </c>
      <c r="AD1349" s="43">
        <f>IF(B1254&lt;&gt;"", B1254, "")</f>
        <v>46020</v>
      </c>
      <c r="AF1349" s="19" t="str">
        <f>IF(OR(AD1349="", AE1349=""), "", AD1349-AE1349)</f>
        <v/>
      </c>
      <c r="AG1349" s="10"/>
      <c r="AH1349" s="1"/>
      <c r="AI1349" s="1"/>
      <c r="AJ1349" s="1"/>
      <c r="AK1349" s="1"/>
      <c r="AL1349" s="1"/>
    </row>
    <row r="1350" spans="1:38" ht="15" customHeight="1">
      <c r="A1350" s="156">
        <v>1349</v>
      </c>
      <c r="B1350" s="134">
        <v>46051</v>
      </c>
      <c r="C1350" s="140" t="s">
        <v>2765</v>
      </c>
      <c r="D1350" s="136" t="s">
        <v>2212</v>
      </c>
      <c r="E1350" s="136">
        <v>2151.41</v>
      </c>
      <c r="F1350" s="136" t="s">
        <v>93</v>
      </c>
      <c r="G1350" s="138" t="s">
        <v>120</v>
      </c>
      <c r="H1350" s="23" t="s">
        <v>36</v>
      </c>
      <c r="I1350" s="38" t="s">
        <v>93</v>
      </c>
      <c r="J1350" s="97">
        <f>B1350-100</f>
        <v>45951</v>
      </c>
      <c r="K1350" s="4">
        <v>45964</v>
      </c>
      <c r="L1350" s="19">
        <f>IF(OR(J1350="", K1350=""), "", J1350-K1350)</f>
        <v>-13</v>
      </c>
      <c r="M1350" s="5">
        <f>B1350-89</f>
        <v>45962</v>
      </c>
      <c r="O1350" s="19" t="str">
        <f>IF(OR(M1255="", N1350=""), "", M1255-N1350)</f>
        <v/>
      </c>
      <c r="P1350" s="5">
        <f>B1255-74</f>
        <v>45946</v>
      </c>
      <c r="R1350" s="19" t="str">
        <f>IF(OR(P1350="", Q1350=""), "", P1350-Q1350)</f>
        <v/>
      </c>
      <c r="S1350" s="5">
        <f>B1255-69</f>
        <v>45951</v>
      </c>
      <c r="U1350" s="19" t="str">
        <f>IF(OR(S1350="", T1350=""), "", S1350-T1350)</f>
        <v/>
      </c>
      <c r="V1350" s="5">
        <f>B1255-30</f>
        <v>45990</v>
      </c>
      <c r="W1350" s="6"/>
      <c r="X1350" s="19" t="str">
        <f>IF(OR(V1350="", W1350=""), "", V1350-W1350)</f>
        <v/>
      </c>
      <c r="Y1350" s="51">
        <f>B1255-2</f>
        <v>46018</v>
      </c>
      <c r="Z1350" s="49"/>
      <c r="AA1350" s="49" t="str">
        <f>IF(OR(Y1350="", Z1350=""), "", Y1350-Z1350)</f>
        <v/>
      </c>
      <c r="AB1350" s="51">
        <f>IF(B1351&lt;&gt;"", B1351, "")</f>
        <v>46051</v>
      </c>
      <c r="AC1350" s="49" t="str">
        <f>IF(OR(AB1350="", Z1350=""), "", AB1350-Z1350)</f>
        <v/>
      </c>
      <c r="AD1350" s="43">
        <f>IF(B1255&lt;&gt;"", B1255, "")</f>
        <v>46020</v>
      </c>
      <c r="AF1350" s="19" t="str">
        <f>IF(OR(AD1350="", AE1350=""), "", AD1350-AE1350)</f>
        <v/>
      </c>
      <c r="AG1350" s="10"/>
      <c r="AH1350" s="1"/>
      <c r="AI1350" s="1"/>
      <c r="AJ1350" s="1"/>
      <c r="AK1350" s="1"/>
      <c r="AL1350" s="1"/>
    </row>
    <row r="1351" spans="1:38" ht="15" customHeight="1">
      <c r="A1351" s="156">
        <v>1350</v>
      </c>
      <c r="B1351" s="134">
        <v>46051</v>
      </c>
      <c r="C1351" s="140">
        <v>111809588</v>
      </c>
      <c r="D1351" s="136" t="s">
        <v>360</v>
      </c>
      <c r="E1351" s="136">
        <v>19579.52</v>
      </c>
      <c r="F1351" s="136" t="s">
        <v>361</v>
      </c>
      <c r="G1351" s="138" t="s">
        <v>46</v>
      </c>
      <c r="H1351" s="23" t="s">
        <v>36</v>
      </c>
      <c r="I1351" s="38" t="s">
        <v>37</v>
      </c>
      <c r="J1351" s="97">
        <f>B1351-100</f>
        <v>45951</v>
      </c>
      <c r="K1351" s="4">
        <v>45964</v>
      </c>
      <c r="L1351" s="19">
        <f>IF(OR(J1351="", K1351=""), "", J1351-K1351)</f>
        <v>-13</v>
      </c>
      <c r="M1351" s="5">
        <f>B1351-89</f>
        <v>45962</v>
      </c>
      <c r="O1351" s="19" t="str">
        <f>IF(OR(M1256="", N1351=""), "", M1256-N1351)</f>
        <v/>
      </c>
      <c r="P1351" s="5">
        <f>B1256-74</f>
        <v>45947</v>
      </c>
      <c r="R1351" s="19" t="str">
        <f>IF(OR(P1351="", Q1351=""), "", P1351-Q1351)</f>
        <v/>
      </c>
      <c r="S1351" s="5">
        <f>B1256-69</f>
        <v>45952</v>
      </c>
      <c r="U1351" s="19" t="str">
        <f>IF(OR(S1351="", T1351=""), "", S1351-T1351)</f>
        <v/>
      </c>
      <c r="V1351" s="5">
        <f>B1256-30</f>
        <v>45991</v>
      </c>
      <c r="W1351" s="6"/>
      <c r="X1351" s="19" t="str">
        <f>IF(OR(V1351="", W1351=""), "", V1351-W1351)</f>
        <v/>
      </c>
      <c r="Y1351" s="51">
        <f>B1256-2</f>
        <v>46019</v>
      </c>
      <c r="Z1351" s="49"/>
      <c r="AA1351" s="49" t="str">
        <f>IF(OR(Y1351="", Z1351=""), "", Y1351-Z1351)</f>
        <v/>
      </c>
      <c r="AB1351" s="51">
        <f>IF(B1352&lt;&gt;"", B1352, "")</f>
        <v>46051</v>
      </c>
      <c r="AC1351" s="49" t="str">
        <f>IF(OR(AB1351="", Z1351=""), "", AB1351-Z1351)</f>
        <v/>
      </c>
      <c r="AD1351" s="43">
        <f>IF(B1256&lt;&gt;"", B1256, "")</f>
        <v>46021</v>
      </c>
      <c r="AF1351" s="19" t="str">
        <f>IF(OR(AD1351="", AE1351=""), "", AD1351-AE1351)</f>
        <v/>
      </c>
      <c r="AG1351" s="10"/>
      <c r="AH1351" s="1"/>
      <c r="AI1351" s="1"/>
      <c r="AJ1351" s="1"/>
      <c r="AK1351" s="1"/>
      <c r="AL1351" s="1"/>
    </row>
    <row r="1352" spans="1:38" ht="15" customHeight="1">
      <c r="A1352" s="156">
        <v>1351</v>
      </c>
      <c r="B1352" s="134">
        <v>46051</v>
      </c>
      <c r="C1352" s="140" t="s">
        <v>2766</v>
      </c>
      <c r="D1352" s="136" t="s">
        <v>2767</v>
      </c>
      <c r="E1352" s="136">
        <v>278.08</v>
      </c>
      <c r="F1352" s="136" t="s">
        <v>2768</v>
      </c>
      <c r="G1352" s="138" t="s">
        <v>35</v>
      </c>
      <c r="H1352" s="23" t="s">
        <v>40</v>
      </c>
      <c r="I1352" s="38" t="s">
        <v>62</v>
      </c>
      <c r="J1352" s="97">
        <f>B1352-100</f>
        <v>45951</v>
      </c>
      <c r="K1352" s="4">
        <v>45964</v>
      </c>
      <c r="L1352" s="19">
        <f>IF(OR(J1352="", K1352=""), "", J1352-K1352)</f>
        <v>-13</v>
      </c>
      <c r="M1352" s="5">
        <f>B1352-89</f>
        <v>45962</v>
      </c>
      <c r="O1352" s="19" t="str">
        <f>IF(OR(M1257="", N1352=""), "", M1257-N1352)</f>
        <v/>
      </c>
      <c r="P1352" s="5">
        <f>B1257-74</f>
        <v>45947</v>
      </c>
      <c r="R1352" s="19" t="str">
        <f>IF(OR(P1352="", Q1352=""), "", P1352-Q1352)</f>
        <v/>
      </c>
      <c r="S1352" s="5">
        <f>B1257-69</f>
        <v>45952</v>
      </c>
      <c r="U1352" s="19" t="str">
        <f>IF(OR(S1352="", T1352=""), "", S1352-T1352)</f>
        <v/>
      </c>
      <c r="V1352" s="5">
        <f>B1257-30</f>
        <v>45991</v>
      </c>
      <c r="W1352" s="6"/>
      <c r="X1352" s="19" t="str">
        <f>IF(OR(V1352="", W1352=""), "", V1352-W1352)</f>
        <v/>
      </c>
      <c r="Y1352" s="51">
        <f>B1257-2</f>
        <v>46019</v>
      </c>
      <c r="Z1352" s="49"/>
      <c r="AA1352" s="49" t="str">
        <f>IF(OR(Y1352="", Z1352=""), "", Y1352-Z1352)</f>
        <v/>
      </c>
      <c r="AB1352" s="51">
        <f>IF(B1353&lt;&gt;"", B1353, "")</f>
        <v>46052</v>
      </c>
      <c r="AC1352" s="49" t="str">
        <f>IF(OR(AB1352="", Z1352=""), "", AB1352-Z1352)</f>
        <v/>
      </c>
      <c r="AD1352" s="43">
        <f>IF(B1257&lt;&gt;"", B1257, "")</f>
        <v>46021</v>
      </c>
      <c r="AF1352" s="19" t="str">
        <f>IF(OR(AD1352="", AE1352=""), "", AD1352-AE1352)</f>
        <v/>
      </c>
      <c r="AG1352" s="10"/>
      <c r="AH1352" s="1"/>
      <c r="AI1352" s="1"/>
      <c r="AJ1352" s="1"/>
      <c r="AK1352" s="1"/>
      <c r="AL1352" s="1"/>
    </row>
    <row r="1353" spans="1:38" ht="15" customHeight="1">
      <c r="A1353" s="156">
        <v>1352</v>
      </c>
      <c r="B1353" s="134">
        <v>46052</v>
      </c>
      <c r="C1353" s="140" t="s">
        <v>2769</v>
      </c>
      <c r="D1353" s="136" t="s">
        <v>930</v>
      </c>
      <c r="E1353" s="136">
        <v>5419.35</v>
      </c>
      <c r="F1353" s="136" t="s">
        <v>2770</v>
      </c>
      <c r="G1353" s="138" t="s">
        <v>35</v>
      </c>
      <c r="H1353" s="23" t="s">
        <v>36</v>
      </c>
      <c r="I1353" s="38" t="s">
        <v>62</v>
      </c>
      <c r="J1353" s="97">
        <f>B1353-100</f>
        <v>45952</v>
      </c>
      <c r="K1353" s="4">
        <v>45964</v>
      </c>
      <c r="L1353" s="19">
        <f>IF(OR(J1353="", K1353=""), "", J1353-K1353)</f>
        <v>-12</v>
      </c>
      <c r="M1353" s="5">
        <f>B1353-89</f>
        <v>45963</v>
      </c>
      <c r="O1353" s="19" t="str">
        <f>IF(OR(M1258="", N1353=""), "", M1258-N1353)</f>
        <v/>
      </c>
      <c r="P1353" s="5">
        <f>B1258-74</f>
        <v>45948</v>
      </c>
      <c r="R1353" s="19" t="str">
        <f>IF(OR(P1353="", Q1353=""), "", P1353-Q1353)</f>
        <v/>
      </c>
      <c r="S1353" s="5">
        <f>B1258-69</f>
        <v>45953</v>
      </c>
      <c r="U1353" s="19" t="str">
        <f>IF(OR(S1353="", T1353=""), "", S1353-T1353)</f>
        <v/>
      </c>
      <c r="V1353" s="5">
        <f>B1258-30</f>
        <v>45992</v>
      </c>
      <c r="W1353" s="6"/>
      <c r="X1353" s="19" t="str">
        <f>IF(OR(V1353="", W1353=""), "", V1353-W1353)</f>
        <v/>
      </c>
      <c r="Y1353" s="51">
        <f>B1258-2</f>
        <v>46020</v>
      </c>
      <c r="Z1353" s="49"/>
      <c r="AA1353" s="49" t="str">
        <f>IF(OR(Y1353="", Z1353=""), "", Y1353-Z1353)</f>
        <v/>
      </c>
      <c r="AB1353" s="51">
        <f>IF(B1354&lt;&gt;"", B1354, "")</f>
        <v>46052</v>
      </c>
      <c r="AC1353" s="49" t="str">
        <f>IF(OR(AB1353="", Z1353=""), "", AB1353-Z1353)</f>
        <v/>
      </c>
      <c r="AD1353" s="43">
        <f>IF(B1258&lt;&gt;"", B1258, "")</f>
        <v>46022</v>
      </c>
      <c r="AF1353" s="19" t="str">
        <f>IF(OR(AD1353="", AE1353=""), "", AD1353-AE1353)</f>
        <v/>
      </c>
      <c r="AG1353" s="10"/>
      <c r="AH1353" s="1"/>
      <c r="AI1353" s="1"/>
      <c r="AJ1353" s="1"/>
      <c r="AK1353" s="1"/>
      <c r="AL1353" s="1"/>
    </row>
    <row r="1354" spans="1:38" ht="15" customHeight="1">
      <c r="A1354" s="156">
        <v>1353</v>
      </c>
      <c r="B1354" s="134">
        <v>46052</v>
      </c>
      <c r="C1354" s="140" t="s">
        <v>2771</v>
      </c>
      <c r="D1354" s="136" t="s">
        <v>362</v>
      </c>
      <c r="E1354" s="136">
        <v>99726.22</v>
      </c>
      <c r="F1354" s="136" t="s">
        <v>363</v>
      </c>
      <c r="G1354" s="138" t="s">
        <v>35</v>
      </c>
      <c r="H1354" s="23" t="s">
        <v>36</v>
      </c>
      <c r="I1354" s="38" t="s">
        <v>37</v>
      </c>
      <c r="J1354" s="97">
        <f>B1354-100</f>
        <v>45952</v>
      </c>
      <c r="K1354" s="4">
        <v>45964</v>
      </c>
      <c r="L1354" s="19">
        <f>IF(OR(J1354="", K1354=""), "", J1354-K1354)</f>
        <v>-12</v>
      </c>
      <c r="M1354" s="5">
        <f>B1354-89</f>
        <v>45963</v>
      </c>
      <c r="O1354" s="19" t="str">
        <f>IF(OR(M1259="", N1354=""), "", M1259-N1354)</f>
        <v/>
      </c>
      <c r="P1354" s="5">
        <f>B1259-74</f>
        <v>45948</v>
      </c>
      <c r="R1354" s="19" t="str">
        <f>IF(OR(P1354="", Q1354=""), "", P1354-Q1354)</f>
        <v/>
      </c>
      <c r="S1354" s="5">
        <f>B1259-69</f>
        <v>45953</v>
      </c>
      <c r="U1354" s="19" t="str">
        <f>IF(OR(S1354="", T1354=""), "", S1354-T1354)</f>
        <v/>
      </c>
      <c r="V1354" s="5">
        <f>B1259-30</f>
        <v>45992</v>
      </c>
      <c r="W1354" s="6"/>
      <c r="X1354" s="19" t="str">
        <f>IF(OR(V1354="", W1354=""), "", V1354-W1354)</f>
        <v/>
      </c>
      <c r="Y1354" s="51">
        <f>B1259-2</f>
        <v>46020</v>
      </c>
      <c r="Z1354" s="49"/>
      <c r="AA1354" s="49" t="str">
        <f>IF(OR(Y1354="", Z1354=""), "", Y1354-Z1354)</f>
        <v/>
      </c>
      <c r="AB1354" s="51">
        <f>IF(B1355&lt;&gt;"", B1355, "")</f>
        <v>46052</v>
      </c>
      <c r="AC1354" s="49" t="str">
        <f>IF(OR(AB1354="", Z1354=""), "", AB1354-Z1354)</f>
        <v/>
      </c>
      <c r="AD1354" s="43">
        <f>IF(B1259&lt;&gt;"", B1259, "")</f>
        <v>46022</v>
      </c>
      <c r="AF1354" s="19" t="str">
        <f>IF(OR(AD1354="", AE1354=""), "", AD1354-AE1354)</f>
        <v/>
      </c>
      <c r="AG1354" s="10"/>
      <c r="AH1354" s="1"/>
      <c r="AI1354" s="1"/>
      <c r="AJ1354" s="1"/>
      <c r="AK1354" s="1"/>
      <c r="AL1354" s="1"/>
    </row>
    <row r="1355" spans="1:38" ht="15" customHeight="1">
      <c r="A1355" s="156">
        <v>1354</v>
      </c>
      <c r="B1355" s="134">
        <v>46052</v>
      </c>
      <c r="C1355" s="140" t="s">
        <v>2772</v>
      </c>
      <c r="D1355" s="136" t="s">
        <v>111</v>
      </c>
      <c r="E1355" s="136">
        <v>1725.42</v>
      </c>
      <c r="F1355" s="136" t="s">
        <v>2773</v>
      </c>
      <c r="G1355" s="138" t="s">
        <v>35</v>
      </c>
      <c r="H1355" s="23" t="s">
        <v>40</v>
      </c>
      <c r="I1355" s="38" t="s">
        <v>41</v>
      </c>
      <c r="J1355" s="97">
        <f>B1355-100</f>
        <v>45952</v>
      </c>
      <c r="K1355" s="4">
        <v>45964</v>
      </c>
      <c r="L1355" s="19">
        <f>IF(OR(J1355="", K1355=""), "", J1355-K1355)</f>
        <v>-12</v>
      </c>
      <c r="M1355" s="5">
        <f>B1355-89</f>
        <v>45963</v>
      </c>
      <c r="O1355" s="19" t="str">
        <f>IF(OR(M1260="", N1355=""), "", M1260-N1355)</f>
        <v/>
      </c>
      <c r="P1355" s="5">
        <f>B1260-74</f>
        <v>45948</v>
      </c>
      <c r="R1355" s="19" t="str">
        <f>IF(OR(P1355="", Q1355=""), "", P1355-Q1355)</f>
        <v/>
      </c>
      <c r="S1355" s="5">
        <f>B1260-69</f>
        <v>45953</v>
      </c>
      <c r="U1355" s="19" t="str">
        <f>IF(OR(S1355="", T1355=""), "", S1355-T1355)</f>
        <v/>
      </c>
      <c r="V1355" s="5">
        <f>B1260-30</f>
        <v>45992</v>
      </c>
      <c r="W1355" s="6"/>
      <c r="X1355" s="19" t="str">
        <f>IF(OR(V1355="", W1355=""), "", V1355-W1355)</f>
        <v/>
      </c>
      <c r="Y1355" s="51">
        <f>B1260-2</f>
        <v>46020</v>
      </c>
      <c r="Z1355" s="49"/>
      <c r="AA1355" s="49" t="str">
        <f>IF(OR(Y1355="", Z1355=""), "", Y1355-Z1355)</f>
        <v/>
      </c>
      <c r="AB1355" s="51">
        <f>IF(B1356&lt;&gt;"", B1356, "")</f>
        <v>46052</v>
      </c>
      <c r="AC1355" s="49" t="str">
        <f>IF(OR(AB1355="", Z1355=""), "", AB1355-Z1355)</f>
        <v/>
      </c>
      <c r="AD1355" s="43">
        <f>IF(B1260&lt;&gt;"", B1260, "")</f>
        <v>46022</v>
      </c>
      <c r="AF1355" s="19" t="str">
        <f>IF(OR(AD1355="", AE1355=""), "", AD1355-AE1355)</f>
        <v/>
      </c>
      <c r="AG1355" s="10"/>
      <c r="AH1355" s="1"/>
      <c r="AI1355" s="1"/>
      <c r="AJ1355" s="1"/>
      <c r="AK1355" s="1"/>
      <c r="AL1355" s="1"/>
    </row>
    <row r="1356" spans="1:38" ht="15" customHeight="1">
      <c r="A1356" s="156">
        <v>1355</v>
      </c>
      <c r="B1356" s="134">
        <v>46052</v>
      </c>
      <c r="C1356" s="140">
        <v>111876929</v>
      </c>
      <c r="D1356" s="136" t="s">
        <v>312</v>
      </c>
      <c r="E1356" s="136">
        <v>722.58</v>
      </c>
      <c r="F1356" s="136" t="s">
        <v>93</v>
      </c>
      <c r="G1356" s="138" t="s">
        <v>35</v>
      </c>
      <c r="H1356" s="23" t="s">
        <v>36</v>
      </c>
      <c r="I1356" s="38" t="s">
        <v>93</v>
      </c>
      <c r="J1356" s="97">
        <f>B1356-100</f>
        <v>45952</v>
      </c>
      <c r="K1356" s="4">
        <v>45964</v>
      </c>
      <c r="L1356" s="19">
        <f>IF(OR(J1356="", K1356=""), "", J1356-K1356)</f>
        <v>-12</v>
      </c>
      <c r="M1356" s="5">
        <f>B1356-89</f>
        <v>45963</v>
      </c>
      <c r="O1356" s="19" t="str">
        <f>IF(OR(M1261="", N1356=""), "", M1261-N1356)</f>
        <v/>
      </c>
      <c r="P1356" s="5">
        <f>B1261-74</f>
        <v>45948</v>
      </c>
      <c r="R1356" s="19" t="str">
        <f>IF(OR(P1356="", Q1356=""), "", P1356-Q1356)</f>
        <v/>
      </c>
      <c r="S1356" s="5">
        <f>B1261-69</f>
        <v>45953</v>
      </c>
      <c r="U1356" s="19" t="str">
        <f>IF(OR(S1356="", T1356=""), "", S1356-T1356)</f>
        <v/>
      </c>
      <c r="V1356" s="5">
        <f>B1261-30</f>
        <v>45992</v>
      </c>
      <c r="W1356" s="6"/>
      <c r="X1356" s="19" t="str">
        <f>IF(OR(V1356="", W1356=""), "", V1356-W1356)</f>
        <v/>
      </c>
      <c r="Y1356" s="51">
        <f>B1261-2</f>
        <v>46020</v>
      </c>
      <c r="Z1356" s="49"/>
      <c r="AA1356" s="49" t="str">
        <f>IF(OR(Y1356="", Z1356=""), "", Y1356-Z1356)</f>
        <v/>
      </c>
      <c r="AB1356" s="51">
        <f>IF(B1357&lt;&gt;"", B1357, "")</f>
        <v>46053</v>
      </c>
      <c r="AC1356" s="49" t="str">
        <f>IF(OR(AB1356="", Z1356=""), "", AB1356-Z1356)</f>
        <v/>
      </c>
      <c r="AD1356" s="43">
        <f>IF(B1261&lt;&gt;"", B1261, "")</f>
        <v>46022</v>
      </c>
      <c r="AF1356" s="19" t="str">
        <f>IF(OR(AD1356="", AE1356=""), "", AD1356-AE1356)</f>
        <v/>
      </c>
      <c r="AG1356" s="10"/>
      <c r="AH1356" s="1"/>
      <c r="AI1356" s="1"/>
      <c r="AJ1356" s="1"/>
      <c r="AK1356" s="1"/>
      <c r="AL1356" s="1"/>
    </row>
    <row r="1357" spans="1:38" ht="15" customHeight="1">
      <c r="A1357" s="156">
        <v>1356</v>
      </c>
      <c r="B1357" s="134">
        <v>46053</v>
      </c>
      <c r="C1357" s="140" t="s">
        <v>2127</v>
      </c>
      <c r="D1357" s="136" t="s">
        <v>183</v>
      </c>
      <c r="E1357" s="136">
        <v>65258.71</v>
      </c>
      <c r="F1357" s="136" t="s">
        <v>2128</v>
      </c>
      <c r="G1357" s="138" t="s">
        <v>35</v>
      </c>
      <c r="H1357" s="23" t="s">
        <v>40</v>
      </c>
      <c r="I1357" s="38" t="s">
        <v>52</v>
      </c>
      <c r="J1357" s="97">
        <f>B1357-100</f>
        <v>45953</v>
      </c>
      <c r="K1357" s="4">
        <v>45964</v>
      </c>
      <c r="L1357" s="19">
        <f>IF(OR(J1357="", K1357=""), "", J1357-K1357)</f>
        <v>-11</v>
      </c>
      <c r="M1357" s="5">
        <f>B1357-89</f>
        <v>45964</v>
      </c>
      <c r="O1357" s="19" t="str">
        <f>IF(OR(M1262="", N1357=""), "", M1262-N1357)</f>
        <v/>
      </c>
      <c r="P1357" s="5">
        <f>B1262-74</f>
        <v>45948</v>
      </c>
      <c r="R1357" s="19" t="str">
        <f>IF(OR(P1357="", Q1357=""), "", P1357-Q1357)</f>
        <v/>
      </c>
      <c r="S1357" s="5">
        <f>B1262-69</f>
        <v>45953</v>
      </c>
      <c r="U1357" s="19" t="str">
        <f>IF(OR(S1357="", T1357=""), "", S1357-T1357)</f>
        <v/>
      </c>
      <c r="V1357" s="5">
        <f>B1262-30</f>
        <v>45992</v>
      </c>
      <c r="W1357" s="6"/>
      <c r="X1357" s="19" t="str">
        <f>IF(OR(V1357="", W1357=""), "", V1357-W1357)</f>
        <v/>
      </c>
      <c r="Y1357" s="51">
        <f>B1262-2</f>
        <v>46020</v>
      </c>
      <c r="Z1357" s="49"/>
      <c r="AA1357" s="49" t="str">
        <f>IF(OR(Y1357="", Z1357=""), "", Y1357-Z1357)</f>
        <v/>
      </c>
      <c r="AB1357" s="51">
        <f>IF(B1358&lt;&gt;"", B1358, "")</f>
        <v>46053</v>
      </c>
      <c r="AC1357" s="49" t="str">
        <f>IF(OR(AB1357="", Z1357=""), "", AB1357-Z1357)</f>
        <v/>
      </c>
      <c r="AD1357" s="43">
        <f>IF(B1262&lt;&gt;"", B1262, "")</f>
        <v>46022</v>
      </c>
      <c r="AF1357" s="19" t="str">
        <f>IF(OR(AD1357="", AE1357=""), "", AD1357-AE1357)</f>
        <v/>
      </c>
      <c r="AG1357" s="10"/>
      <c r="AH1357" s="1"/>
      <c r="AI1357" s="1"/>
      <c r="AJ1357" s="1"/>
      <c r="AK1357" s="1"/>
      <c r="AL1357" s="1"/>
    </row>
    <row r="1358" spans="1:38" ht="15" customHeight="1">
      <c r="A1358" s="156">
        <v>1357</v>
      </c>
      <c r="B1358" s="134">
        <v>46053</v>
      </c>
      <c r="C1358" s="140" t="s">
        <v>2774</v>
      </c>
      <c r="D1358" s="136" t="s">
        <v>38</v>
      </c>
      <c r="E1358" s="136">
        <v>533.42999999999995</v>
      </c>
      <c r="F1358" s="136" t="s">
        <v>2775</v>
      </c>
      <c r="G1358" s="138" t="s">
        <v>190</v>
      </c>
      <c r="H1358" s="23" t="s">
        <v>40</v>
      </c>
      <c r="I1358" s="38" t="s">
        <v>41</v>
      </c>
      <c r="J1358" s="97">
        <f>B1358-100</f>
        <v>45953</v>
      </c>
      <c r="K1358" s="4">
        <v>45964</v>
      </c>
      <c r="L1358" s="19">
        <f>IF(OR(J1358="", K1358=""), "", J1358-K1358)</f>
        <v>-11</v>
      </c>
      <c r="M1358" s="5">
        <f>B1358-89</f>
        <v>45964</v>
      </c>
      <c r="O1358" s="19" t="str">
        <f>IF(OR(M1263="", N1358=""), "", M1263-N1358)</f>
        <v/>
      </c>
      <c r="P1358" s="5">
        <f>B1263-74</f>
        <v>45948</v>
      </c>
      <c r="R1358" s="19" t="str">
        <f>IF(OR(P1358="", Q1358=""), "", P1358-Q1358)</f>
        <v/>
      </c>
      <c r="S1358" s="5">
        <f>B1263-69</f>
        <v>45953</v>
      </c>
      <c r="U1358" s="19" t="str">
        <f>IF(OR(S1358="", T1358=""), "", S1358-T1358)</f>
        <v/>
      </c>
      <c r="V1358" s="5">
        <f>B1263-30</f>
        <v>45992</v>
      </c>
      <c r="W1358" s="6"/>
      <c r="X1358" s="19" t="str">
        <f>IF(OR(V1358="", W1358=""), "", V1358-W1358)</f>
        <v/>
      </c>
      <c r="Y1358" s="51">
        <f>B1263-2</f>
        <v>46020</v>
      </c>
      <c r="Z1358" s="49"/>
      <c r="AA1358" s="49" t="str">
        <f>IF(OR(Y1358="", Z1358=""), "", Y1358-Z1358)</f>
        <v/>
      </c>
      <c r="AB1358" s="51">
        <f>IF(B1359&lt;&gt;"", B1359, "")</f>
        <v>46053</v>
      </c>
      <c r="AC1358" s="49" t="str">
        <f>IF(OR(AB1358="", Z1358=""), "", AB1358-Z1358)</f>
        <v/>
      </c>
      <c r="AD1358" s="43">
        <f>IF(B1263&lt;&gt;"", B1263, "")</f>
        <v>46022</v>
      </c>
      <c r="AF1358" s="19" t="str">
        <f>IF(OR(AD1358="", AE1358=""), "", AD1358-AE1358)</f>
        <v/>
      </c>
      <c r="AG1358" s="10"/>
      <c r="AH1358" s="1"/>
      <c r="AI1358" s="1"/>
      <c r="AJ1358" s="1"/>
      <c r="AK1358" s="1"/>
      <c r="AL1358" s="1"/>
    </row>
    <row r="1359" spans="1:38" ht="15" customHeight="1">
      <c r="A1359" s="156">
        <v>1358</v>
      </c>
      <c r="B1359" s="134">
        <v>46053</v>
      </c>
      <c r="C1359" s="140" t="s">
        <v>2776</v>
      </c>
      <c r="D1359" s="136" t="s">
        <v>38</v>
      </c>
      <c r="E1359" s="136">
        <v>627.94000000000005</v>
      </c>
      <c r="F1359" s="136" t="s">
        <v>2777</v>
      </c>
      <c r="G1359" s="138" t="s">
        <v>190</v>
      </c>
      <c r="H1359" s="23" t="s">
        <v>40</v>
      </c>
      <c r="I1359" s="38" t="s">
        <v>41</v>
      </c>
      <c r="J1359" s="97">
        <f>B1359-100</f>
        <v>45953</v>
      </c>
      <c r="K1359" s="4">
        <v>45964</v>
      </c>
      <c r="L1359" s="19">
        <f>IF(OR(J1359="", K1359=""), "", J1359-K1359)</f>
        <v>-11</v>
      </c>
      <c r="M1359" s="5">
        <f>B1359-89</f>
        <v>45964</v>
      </c>
      <c r="O1359" s="19" t="str">
        <f>IF(OR(M1264="", N1359=""), "", M1264-N1359)</f>
        <v/>
      </c>
      <c r="P1359" s="5">
        <f>B1264-74</f>
        <v>45948</v>
      </c>
      <c r="R1359" s="19" t="str">
        <f>IF(OR(P1359="", Q1359=""), "", P1359-Q1359)</f>
        <v/>
      </c>
      <c r="S1359" s="5">
        <f>B1264-69</f>
        <v>45953</v>
      </c>
      <c r="U1359" s="19" t="str">
        <f>IF(OR(S1359="", T1359=""), "", S1359-T1359)</f>
        <v/>
      </c>
      <c r="V1359" s="5">
        <f>B1264-30</f>
        <v>45992</v>
      </c>
      <c r="W1359" s="6"/>
      <c r="X1359" s="19" t="str">
        <f>IF(OR(V1359="", W1359=""), "", V1359-W1359)</f>
        <v/>
      </c>
      <c r="Y1359" s="51">
        <f>B1264-2</f>
        <v>46020</v>
      </c>
      <c r="Z1359" s="49"/>
      <c r="AA1359" s="49" t="str">
        <f>IF(OR(Y1359="", Z1359=""), "", Y1359-Z1359)</f>
        <v/>
      </c>
      <c r="AB1359" s="51">
        <f>IF(B1360&lt;&gt;"", B1360, "")</f>
        <v>46053</v>
      </c>
      <c r="AC1359" s="49" t="str">
        <f>IF(OR(AB1359="", Z1359=""), "", AB1359-Z1359)</f>
        <v/>
      </c>
      <c r="AD1359" s="43">
        <f>IF(B1264&lt;&gt;"", B1264, "")</f>
        <v>46022</v>
      </c>
      <c r="AF1359" s="19" t="str">
        <f>IF(OR(AD1359="", AE1359=""), "", AD1359-AE1359)</f>
        <v/>
      </c>
      <c r="AG1359" s="10"/>
      <c r="AH1359" s="1"/>
      <c r="AI1359" s="1"/>
      <c r="AJ1359" s="1"/>
      <c r="AK1359" s="1"/>
      <c r="AL1359" s="1"/>
    </row>
    <row r="1360" spans="1:38" ht="15" customHeight="1">
      <c r="A1360" s="156">
        <v>1359</v>
      </c>
      <c r="B1360" s="134">
        <v>46053</v>
      </c>
      <c r="C1360" s="140" t="s">
        <v>2778</v>
      </c>
      <c r="D1360" s="136" t="s">
        <v>38</v>
      </c>
      <c r="E1360" s="136">
        <v>129.01</v>
      </c>
      <c r="F1360" s="136" t="s">
        <v>2779</v>
      </c>
      <c r="G1360" s="138" t="s">
        <v>190</v>
      </c>
      <c r="H1360" s="23" t="s">
        <v>40</v>
      </c>
      <c r="I1360" s="38" t="s">
        <v>41</v>
      </c>
      <c r="J1360" s="97">
        <f>B1360-100</f>
        <v>45953</v>
      </c>
      <c r="K1360" s="4">
        <v>45964</v>
      </c>
      <c r="L1360" s="19">
        <f>IF(OR(J1360="", K1360=""), "", J1360-K1360)</f>
        <v>-11</v>
      </c>
      <c r="M1360" s="5">
        <f>B1360-89</f>
        <v>45964</v>
      </c>
      <c r="O1360" s="19" t="str">
        <f>IF(OR(M1265="", N1360=""), "", M1265-N1360)</f>
        <v/>
      </c>
      <c r="P1360" s="5">
        <f>B1265-74</f>
        <v>45948</v>
      </c>
      <c r="R1360" s="19" t="str">
        <f>IF(OR(P1360="", Q1360=""), "", P1360-Q1360)</f>
        <v/>
      </c>
      <c r="S1360" s="5">
        <f>B1265-69</f>
        <v>45953</v>
      </c>
      <c r="U1360" s="19" t="str">
        <f>IF(OR(S1360="", T1360=""), "", S1360-T1360)</f>
        <v/>
      </c>
      <c r="V1360" s="5">
        <f>B1265-30</f>
        <v>45992</v>
      </c>
      <c r="W1360" s="6"/>
      <c r="X1360" s="19" t="str">
        <f>IF(OR(V1360="", W1360=""), "", V1360-W1360)</f>
        <v/>
      </c>
      <c r="Y1360" s="51">
        <f>B1265-2</f>
        <v>46020</v>
      </c>
      <c r="Z1360" s="49"/>
      <c r="AA1360" s="49" t="str">
        <f>IF(OR(Y1360="", Z1360=""), "", Y1360-Z1360)</f>
        <v/>
      </c>
      <c r="AB1360" s="51">
        <f>IF(B1361&lt;&gt;"", B1361, "")</f>
        <v>46053</v>
      </c>
      <c r="AC1360" s="49" t="str">
        <f>IF(OR(AB1360="", Z1360=""), "", AB1360-Z1360)</f>
        <v/>
      </c>
      <c r="AD1360" s="43">
        <f>IF(B1265&lt;&gt;"", B1265, "")</f>
        <v>46022</v>
      </c>
      <c r="AF1360" s="19" t="str">
        <f>IF(OR(AD1360="", AE1360=""), "", AD1360-AE1360)</f>
        <v/>
      </c>
      <c r="AG1360" s="10"/>
      <c r="AH1360" s="1"/>
      <c r="AI1360" s="1"/>
      <c r="AJ1360" s="1"/>
      <c r="AK1360" s="1"/>
      <c r="AL1360" s="1"/>
    </row>
    <row r="1361" spans="1:38" ht="15" customHeight="1">
      <c r="A1361" s="156">
        <v>1360</v>
      </c>
      <c r="B1361" s="134">
        <v>46053</v>
      </c>
      <c r="C1361" s="140">
        <v>656221702</v>
      </c>
      <c r="D1361" s="136" t="s">
        <v>227</v>
      </c>
      <c r="E1361" s="136">
        <v>261495.99</v>
      </c>
      <c r="F1361" s="136" t="s">
        <v>371</v>
      </c>
      <c r="G1361" s="138" t="s">
        <v>120</v>
      </c>
      <c r="H1361" s="23" t="s">
        <v>40</v>
      </c>
      <c r="I1361" s="38" t="s">
        <v>37</v>
      </c>
      <c r="J1361" s="97">
        <f>B1361-100</f>
        <v>45953</v>
      </c>
      <c r="K1361" s="4">
        <v>45964</v>
      </c>
      <c r="L1361" s="19">
        <f>IF(OR(J1361="", K1361=""), "", J1361-K1361)</f>
        <v>-11</v>
      </c>
      <c r="M1361" s="5">
        <f>B1361-89</f>
        <v>45964</v>
      </c>
      <c r="O1361" s="19" t="str">
        <f>IF(OR(M1266="", N1361=""), "", M1266-N1361)</f>
        <v/>
      </c>
      <c r="P1361" s="5">
        <f>B1266-74</f>
        <v>45948</v>
      </c>
      <c r="R1361" s="19" t="str">
        <f>IF(OR(P1361="", Q1361=""), "", P1361-Q1361)</f>
        <v/>
      </c>
      <c r="S1361" s="5">
        <f>B1266-69</f>
        <v>45953</v>
      </c>
      <c r="U1361" s="19" t="str">
        <f>IF(OR(S1361="", T1361=""), "", S1361-T1361)</f>
        <v/>
      </c>
      <c r="V1361" s="5">
        <f>B1266-30</f>
        <v>45992</v>
      </c>
      <c r="W1361" s="6"/>
      <c r="X1361" s="19" t="str">
        <f>IF(OR(V1361="", W1361=""), "", V1361-W1361)</f>
        <v/>
      </c>
      <c r="Y1361" s="51">
        <f>B1266-2</f>
        <v>46020</v>
      </c>
      <c r="Z1361" s="49"/>
      <c r="AA1361" s="49" t="str">
        <f>IF(OR(Y1361="", Z1361=""), "", Y1361-Z1361)</f>
        <v/>
      </c>
      <c r="AB1361" s="51">
        <f>IF(B1362&lt;&gt;"", B1362, "")</f>
        <v>46053</v>
      </c>
      <c r="AC1361" s="49" t="str">
        <f>IF(OR(AB1361="", Z1361=""), "", AB1361-Z1361)</f>
        <v/>
      </c>
      <c r="AD1361" s="43">
        <f>IF(B1266&lt;&gt;"", B1266, "")</f>
        <v>46022</v>
      </c>
      <c r="AF1361" s="19" t="str">
        <f>IF(OR(AD1361="", AE1361=""), "", AD1361-AE1361)</f>
        <v/>
      </c>
      <c r="AG1361" s="10"/>
      <c r="AH1361" s="1"/>
      <c r="AI1361" s="1"/>
      <c r="AJ1361" s="1"/>
      <c r="AK1361" s="1"/>
      <c r="AL1361" s="1"/>
    </row>
    <row r="1362" spans="1:38" ht="15" customHeight="1">
      <c r="A1362" s="156">
        <v>1361</v>
      </c>
      <c r="B1362" s="134">
        <v>46053</v>
      </c>
      <c r="C1362" s="140" t="s">
        <v>2780</v>
      </c>
      <c r="D1362" s="136" t="s">
        <v>373</v>
      </c>
      <c r="E1362" s="136">
        <v>96076.7</v>
      </c>
      <c r="F1362" s="136" t="s">
        <v>37</v>
      </c>
      <c r="G1362" s="138" t="s">
        <v>35</v>
      </c>
      <c r="H1362" s="23" t="s">
        <v>36</v>
      </c>
      <c r="I1362" s="38" t="s">
        <v>37</v>
      </c>
      <c r="J1362" s="97">
        <f>B1362-100</f>
        <v>45953</v>
      </c>
      <c r="K1362" s="4">
        <v>45964</v>
      </c>
      <c r="L1362" s="19">
        <f>IF(OR(J1362="", K1362=""), "", J1362-K1362)</f>
        <v>-11</v>
      </c>
      <c r="M1362" s="5">
        <f>B1362-89</f>
        <v>45964</v>
      </c>
      <c r="O1362" s="19" t="str">
        <f>IF(OR(M1267="", N1362=""), "", M1267-N1362)</f>
        <v/>
      </c>
      <c r="P1362" s="5">
        <f>B1267-74</f>
        <v>45948</v>
      </c>
      <c r="R1362" s="19" t="str">
        <f>IF(OR(P1362="", Q1362=""), "", P1362-Q1362)</f>
        <v/>
      </c>
      <c r="S1362" s="5">
        <f>B1267-69</f>
        <v>45953</v>
      </c>
      <c r="U1362" s="19" t="str">
        <f>IF(OR(S1362="", T1362=""), "", S1362-T1362)</f>
        <v/>
      </c>
      <c r="V1362" s="5">
        <f>B1267-30</f>
        <v>45992</v>
      </c>
      <c r="W1362" s="6"/>
      <c r="X1362" s="19" t="str">
        <f>IF(OR(V1362="", W1362=""), "", V1362-W1362)</f>
        <v/>
      </c>
      <c r="Y1362" s="51">
        <f>B1267-2</f>
        <v>46020</v>
      </c>
      <c r="Z1362" s="49"/>
      <c r="AA1362" s="49" t="str">
        <f>IF(OR(Y1362="", Z1362=""), "", Y1362-Z1362)</f>
        <v/>
      </c>
      <c r="AB1362" s="51">
        <f>IF(B1363&lt;&gt;"", B1363, "")</f>
        <v>46053</v>
      </c>
      <c r="AC1362" s="49" t="str">
        <f>IF(OR(AB1362="", Z1362=""), "", AB1362-Z1362)</f>
        <v/>
      </c>
      <c r="AD1362" s="43">
        <f>IF(B1267&lt;&gt;"", B1267, "")</f>
        <v>46022</v>
      </c>
      <c r="AF1362" s="19" t="str">
        <f>IF(OR(AD1362="", AE1362=""), "", AD1362-AE1362)</f>
        <v/>
      </c>
      <c r="AG1362" s="10"/>
      <c r="AH1362" s="1"/>
      <c r="AI1362" s="1"/>
      <c r="AJ1362" s="1"/>
      <c r="AK1362" s="1"/>
      <c r="AL1362" s="1"/>
    </row>
    <row r="1363" spans="1:38" ht="15" customHeight="1">
      <c r="A1363" s="156">
        <v>1362</v>
      </c>
      <c r="B1363" s="134">
        <v>46053</v>
      </c>
      <c r="C1363" s="140" t="s">
        <v>1259</v>
      </c>
      <c r="D1363" s="136" t="s">
        <v>1260</v>
      </c>
      <c r="E1363" s="136">
        <v>67029.759999999995</v>
      </c>
      <c r="F1363" s="136" t="s">
        <v>1261</v>
      </c>
      <c r="G1363" s="138" t="s">
        <v>120</v>
      </c>
      <c r="H1363" s="23" t="s">
        <v>40</v>
      </c>
      <c r="I1363" s="38" t="s">
        <v>52</v>
      </c>
      <c r="J1363" s="97">
        <f>B1363-100</f>
        <v>45953</v>
      </c>
      <c r="K1363" s="4">
        <v>45964</v>
      </c>
      <c r="L1363" s="19">
        <f>IF(OR(J1363="", K1363=""), "", J1363-K1363)</f>
        <v>-11</v>
      </c>
      <c r="M1363" s="5">
        <f>B1363-89</f>
        <v>45964</v>
      </c>
      <c r="O1363" s="19" t="str">
        <f>IF(OR(M1268="", N1363=""), "", M1268-N1363)</f>
        <v/>
      </c>
      <c r="P1363" s="5">
        <f>B1268-74</f>
        <v>45948</v>
      </c>
      <c r="R1363" s="19" t="str">
        <f>IF(OR(P1363="", Q1363=""), "", P1363-Q1363)</f>
        <v/>
      </c>
      <c r="S1363" s="5">
        <f>B1268-69</f>
        <v>45953</v>
      </c>
      <c r="U1363" s="19" t="str">
        <f>IF(OR(S1363="", T1363=""), "", S1363-T1363)</f>
        <v/>
      </c>
      <c r="V1363" s="5">
        <f>B1268-30</f>
        <v>45992</v>
      </c>
      <c r="W1363" s="6"/>
      <c r="X1363" s="19" t="str">
        <f>IF(OR(V1363="", W1363=""), "", V1363-W1363)</f>
        <v/>
      </c>
      <c r="Y1363" s="51">
        <f>B1268-2</f>
        <v>46020</v>
      </c>
      <c r="Z1363" s="49"/>
      <c r="AA1363" s="49" t="str">
        <f>IF(OR(Y1363="", Z1363=""), "", Y1363-Z1363)</f>
        <v/>
      </c>
      <c r="AB1363" s="51">
        <f>IF(B1364&lt;&gt;"", B1364, "")</f>
        <v>46053</v>
      </c>
      <c r="AC1363" s="49" t="str">
        <f>IF(OR(AB1363="", Z1363=""), "", AB1363-Z1363)</f>
        <v/>
      </c>
      <c r="AD1363" s="43">
        <f>IF(B1268&lt;&gt;"", B1268, "")</f>
        <v>46022</v>
      </c>
      <c r="AF1363" s="19" t="str">
        <f>IF(OR(AD1363="", AE1363=""), "", AD1363-AE1363)</f>
        <v/>
      </c>
      <c r="AG1363" s="10"/>
      <c r="AH1363" s="1"/>
      <c r="AI1363" s="1"/>
      <c r="AJ1363" s="1"/>
      <c r="AK1363" s="1"/>
      <c r="AL1363" s="1"/>
    </row>
    <row r="1364" spans="1:38" ht="15" customHeight="1">
      <c r="A1364" s="156">
        <v>1363</v>
      </c>
      <c r="B1364" s="134">
        <v>46053</v>
      </c>
      <c r="C1364" s="140" t="s">
        <v>2781</v>
      </c>
      <c r="D1364" s="136" t="s">
        <v>382</v>
      </c>
      <c r="E1364" s="136">
        <v>77270</v>
      </c>
      <c r="F1364" s="136" t="s">
        <v>383</v>
      </c>
      <c r="G1364" s="138" t="s">
        <v>46</v>
      </c>
      <c r="H1364" s="23" t="s">
        <v>36</v>
      </c>
      <c r="I1364" s="38" t="s">
        <v>62</v>
      </c>
      <c r="J1364" s="97">
        <f>B1364-100</f>
        <v>45953</v>
      </c>
      <c r="K1364" s="4">
        <v>45964</v>
      </c>
      <c r="L1364" s="19">
        <f>IF(OR(J1364="", K1364=""), "", J1364-K1364)</f>
        <v>-11</v>
      </c>
      <c r="M1364" s="5">
        <f>B1364-89</f>
        <v>45964</v>
      </c>
      <c r="O1364" s="19" t="str">
        <f>IF(OR(M1269="", N1364=""), "", M1269-N1364)</f>
        <v/>
      </c>
      <c r="P1364" s="5">
        <f>B1269-74</f>
        <v>45948</v>
      </c>
      <c r="R1364" s="19" t="str">
        <f>IF(OR(P1364="", Q1364=""), "", P1364-Q1364)</f>
        <v/>
      </c>
      <c r="S1364" s="5">
        <f>B1269-69</f>
        <v>45953</v>
      </c>
      <c r="U1364" s="19" t="str">
        <f>IF(OR(S1364="", T1364=""), "", S1364-T1364)</f>
        <v/>
      </c>
      <c r="V1364" s="5">
        <f>B1269-30</f>
        <v>45992</v>
      </c>
      <c r="W1364" s="6"/>
      <c r="X1364" s="19" t="str">
        <f>IF(OR(V1364="", W1364=""), "", V1364-W1364)</f>
        <v/>
      </c>
      <c r="Y1364" s="51">
        <f>B1269-2</f>
        <v>46020</v>
      </c>
      <c r="Z1364" s="49"/>
      <c r="AA1364" s="49" t="str">
        <f>IF(OR(Y1364="", Z1364=""), "", Y1364-Z1364)</f>
        <v/>
      </c>
      <c r="AB1364" s="51">
        <f>IF(B1365&lt;&gt;"", B1365, "")</f>
        <v>46054</v>
      </c>
      <c r="AC1364" s="49" t="str">
        <f>IF(OR(AB1364="", Z1364=""), "", AB1364-Z1364)</f>
        <v/>
      </c>
      <c r="AD1364" s="43">
        <f>IF(B1269&lt;&gt;"", B1269, "")</f>
        <v>46022</v>
      </c>
      <c r="AF1364" s="19" t="str">
        <f>IF(OR(AD1364="", AE1364=""), "", AD1364-AE1364)</f>
        <v/>
      </c>
      <c r="AG1364" s="10"/>
      <c r="AH1364" s="1"/>
      <c r="AI1364" s="1"/>
      <c r="AJ1364" s="1"/>
      <c r="AK1364" s="1"/>
      <c r="AL1364" s="1"/>
    </row>
    <row r="1365" spans="1:38" ht="15" customHeight="1">
      <c r="A1365" s="156">
        <v>1364</v>
      </c>
      <c r="B1365" s="134">
        <v>46054</v>
      </c>
      <c r="C1365" s="140" t="s">
        <v>2782</v>
      </c>
      <c r="D1365" s="136" t="s">
        <v>187</v>
      </c>
      <c r="E1365" s="136">
        <v>7132.89</v>
      </c>
      <c r="F1365" s="136" t="s">
        <v>2783</v>
      </c>
      <c r="G1365" s="138" t="s">
        <v>46</v>
      </c>
      <c r="H1365" s="23" t="s">
        <v>36</v>
      </c>
      <c r="I1365" s="38" t="s">
        <v>93</v>
      </c>
      <c r="J1365" s="97">
        <f>B1365-100</f>
        <v>45954</v>
      </c>
      <c r="K1365" s="4">
        <v>45964</v>
      </c>
      <c r="L1365" s="19">
        <f>IF(OR(J1365="", K1365=""), "", J1365-K1365)</f>
        <v>-10</v>
      </c>
      <c r="M1365" s="5">
        <f>B1365-89</f>
        <v>45965</v>
      </c>
      <c r="O1365" s="19" t="str">
        <f>IF(OR(M1270="", N1365=""), "", M1270-N1365)</f>
        <v/>
      </c>
      <c r="P1365" s="5">
        <f>B1270-74</f>
        <v>45948</v>
      </c>
      <c r="R1365" s="19" t="str">
        <f>IF(OR(P1365="", Q1365=""), "", P1365-Q1365)</f>
        <v/>
      </c>
      <c r="S1365" s="5">
        <f>B1270-69</f>
        <v>45953</v>
      </c>
      <c r="U1365" s="19" t="str">
        <f>IF(OR(S1365="", T1365=""), "", S1365-T1365)</f>
        <v/>
      </c>
      <c r="V1365" s="5">
        <f>B1270-30</f>
        <v>45992</v>
      </c>
      <c r="W1365" s="6"/>
      <c r="X1365" s="19" t="str">
        <f>IF(OR(V1365="", W1365=""), "", V1365-W1365)</f>
        <v/>
      </c>
      <c r="Y1365" s="51">
        <f>B1270-2</f>
        <v>46020</v>
      </c>
      <c r="Z1365" s="49"/>
      <c r="AA1365" s="49" t="str">
        <f>IF(OR(Y1365="", Z1365=""), "", Y1365-Z1365)</f>
        <v/>
      </c>
      <c r="AB1365" s="51">
        <f>IF(B1366&lt;&gt;"", B1366, "")</f>
        <v>46054</v>
      </c>
      <c r="AC1365" s="49" t="str">
        <f>IF(OR(AB1365="", Z1365=""), "", AB1365-Z1365)</f>
        <v/>
      </c>
      <c r="AD1365" s="43">
        <f>IF(B1270&lt;&gt;"", B1270, "")</f>
        <v>46022</v>
      </c>
      <c r="AF1365" s="19" t="str">
        <f>IF(OR(AD1365="", AE1365=""), "", AD1365-AE1365)</f>
        <v/>
      </c>
      <c r="AG1365" s="10"/>
      <c r="AH1365" s="1"/>
      <c r="AI1365" s="1"/>
      <c r="AJ1365" s="1"/>
      <c r="AK1365" s="1"/>
      <c r="AL1365" s="1"/>
    </row>
    <row r="1366" spans="1:38" ht="15" customHeight="1">
      <c r="A1366" s="156">
        <v>1365</v>
      </c>
      <c r="B1366" s="134">
        <v>46054</v>
      </c>
      <c r="C1366" s="140" t="s">
        <v>2784</v>
      </c>
      <c r="D1366" s="136" t="s">
        <v>264</v>
      </c>
      <c r="E1366" s="136">
        <v>1690.99</v>
      </c>
      <c r="F1366" s="136" t="s">
        <v>2785</v>
      </c>
      <c r="G1366" s="138" t="s">
        <v>190</v>
      </c>
      <c r="H1366" s="23" t="s">
        <v>40</v>
      </c>
      <c r="I1366" s="38" t="s">
        <v>93</v>
      </c>
      <c r="J1366" s="97">
        <f>B1366-100</f>
        <v>45954</v>
      </c>
      <c r="K1366" s="4">
        <v>45964</v>
      </c>
      <c r="L1366" s="19">
        <f>IF(OR(J1366="", K1366=""), "", J1366-K1366)</f>
        <v>-10</v>
      </c>
      <c r="M1366" s="5">
        <f>B1366-89</f>
        <v>45965</v>
      </c>
      <c r="O1366" s="19" t="str">
        <f>IF(OR(M1271="", N1366=""), "", M1271-N1366)</f>
        <v/>
      </c>
      <c r="P1366" s="5">
        <f>B1271-74</f>
        <v>45948</v>
      </c>
      <c r="R1366" s="19" t="str">
        <f>IF(OR(P1366="", Q1366=""), "", P1366-Q1366)</f>
        <v/>
      </c>
      <c r="S1366" s="5">
        <f>B1271-69</f>
        <v>45953</v>
      </c>
      <c r="U1366" s="19" t="str">
        <f>IF(OR(S1366="", T1366=""), "", S1366-T1366)</f>
        <v/>
      </c>
      <c r="V1366" s="5">
        <f>B1271-30</f>
        <v>45992</v>
      </c>
      <c r="W1366" s="6"/>
      <c r="X1366" s="19" t="str">
        <f>IF(OR(V1366="", W1366=""), "", V1366-W1366)</f>
        <v/>
      </c>
      <c r="Y1366" s="51">
        <f>B1271-2</f>
        <v>46020</v>
      </c>
      <c r="Z1366" s="49"/>
      <c r="AA1366" s="49" t="str">
        <f>IF(OR(Y1366="", Z1366=""), "", Y1366-Z1366)</f>
        <v/>
      </c>
      <c r="AB1366" s="51">
        <f>IF(B1367&lt;&gt;"", B1367, "")</f>
        <v>46054</v>
      </c>
      <c r="AC1366" s="49" t="str">
        <f>IF(OR(AB1366="", Z1366=""), "", AB1366-Z1366)</f>
        <v/>
      </c>
      <c r="AD1366" s="43">
        <f>IF(B1271&lt;&gt;"", B1271, "")</f>
        <v>46022</v>
      </c>
      <c r="AF1366" s="19" t="str">
        <f>IF(OR(AD1366="", AE1366=""), "", AD1366-AE1366)</f>
        <v/>
      </c>
      <c r="AG1366" s="10"/>
      <c r="AH1366" s="1"/>
      <c r="AI1366" s="1"/>
      <c r="AJ1366" s="1"/>
      <c r="AK1366" s="1"/>
      <c r="AL1366" s="1"/>
    </row>
    <row r="1367" spans="1:38" ht="15" customHeight="1">
      <c r="A1367" s="156">
        <v>1366</v>
      </c>
      <c r="B1367" s="134">
        <v>46054</v>
      </c>
      <c r="C1367" s="140" t="s">
        <v>2786</v>
      </c>
      <c r="D1367" s="136" t="s">
        <v>266</v>
      </c>
      <c r="E1367" s="136">
        <v>122226.21</v>
      </c>
      <c r="F1367" s="136" t="s">
        <v>37</v>
      </c>
      <c r="G1367" s="138" t="s">
        <v>120</v>
      </c>
      <c r="H1367" s="23" t="s">
        <v>40</v>
      </c>
      <c r="I1367" s="38" t="s">
        <v>37</v>
      </c>
      <c r="J1367" s="97">
        <f>B1367-100</f>
        <v>45954</v>
      </c>
      <c r="K1367" s="4">
        <v>45964</v>
      </c>
      <c r="L1367" s="19">
        <f>IF(OR(J1367="", K1367=""), "", J1367-K1367)</f>
        <v>-10</v>
      </c>
      <c r="M1367" s="5">
        <f>B1367-89</f>
        <v>45965</v>
      </c>
      <c r="O1367" s="19" t="str">
        <f>IF(OR(M1272="", N1367=""), "", M1272-N1367)</f>
        <v/>
      </c>
      <c r="P1367" s="5">
        <f>B1272-74</f>
        <v>45949</v>
      </c>
      <c r="R1367" s="19" t="str">
        <f>IF(OR(P1367="", Q1367=""), "", P1367-Q1367)</f>
        <v/>
      </c>
      <c r="S1367" s="5">
        <f>B1272-69</f>
        <v>45954</v>
      </c>
      <c r="U1367" s="19" t="str">
        <f>IF(OR(S1367="", T1367=""), "", S1367-T1367)</f>
        <v/>
      </c>
      <c r="V1367" s="5">
        <f>B1272-30</f>
        <v>45993</v>
      </c>
      <c r="W1367" s="6"/>
      <c r="X1367" s="19" t="str">
        <f>IF(OR(V1367="", W1367=""), "", V1367-W1367)</f>
        <v/>
      </c>
      <c r="Y1367" s="51">
        <f>B1272-2</f>
        <v>46021</v>
      </c>
      <c r="Z1367" s="49"/>
      <c r="AA1367" s="49" t="str">
        <f>IF(OR(Y1367="", Z1367=""), "", Y1367-Z1367)</f>
        <v/>
      </c>
      <c r="AB1367" s="51">
        <f>IF(B1368&lt;&gt;"", B1368, "")</f>
        <v>46054</v>
      </c>
      <c r="AC1367" s="49" t="str">
        <f>IF(OR(AB1367="", Z1367=""), "", AB1367-Z1367)</f>
        <v/>
      </c>
      <c r="AD1367" s="43">
        <f>IF(B1272&lt;&gt;"", B1272, "")</f>
        <v>46023</v>
      </c>
      <c r="AF1367" s="19" t="str">
        <f>IF(OR(AD1367="", AE1367=""), "", AD1367-AE1367)</f>
        <v/>
      </c>
      <c r="AG1367" s="10"/>
      <c r="AH1367" s="1"/>
      <c r="AI1367" s="1"/>
      <c r="AJ1367" s="1"/>
      <c r="AK1367" s="1"/>
      <c r="AL1367" s="1"/>
    </row>
    <row r="1368" spans="1:38" ht="15" customHeight="1">
      <c r="A1368" s="156">
        <v>1367</v>
      </c>
      <c r="B1368" s="134">
        <v>46054</v>
      </c>
      <c r="C1368" s="140" t="s">
        <v>2787</v>
      </c>
      <c r="D1368" s="136" t="s">
        <v>38</v>
      </c>
      <c r="E1368" s="136">
        <v>103.49</v>
      </c>
      <c r="F1368" s="136" t="s">
        <v>2098</v>
      </c>
      <c r="G1368" s="138" t="s">
        <v>190</v>
      </c>
      <c r="H1368" s="23" t="s">
        <v>40</v>
      </c>
      <c r="I1368" s="38" t="s">
        <v>41</v>
      </c>
      <c r="J1368" s="97">
        <f>B1368-100</f>
        <v>45954</v>
      </c>
      <c r="K1368" s="4">
        <v>45964</v>
      </c>
      <c r="L1368" s="19">
        <f>IF(OR(J1368="", K1368=""), "", J1368-K1368)</f>
        <v>-10</v>
      </c>
      <c r="M1368" s="5">
        <f>B1368-89</f>
        <v>45965</v>
      </c>
      <c r="O1368" s="19" t="str">
        <f>IF(OR(M1273="", N1368=""), "", M1273-N1368)</f>
        <v/>
      </c>
      <c r="P1368" s="5">
        <f>B1273-74</f>
        <v>45949</v>
      </c>
      <c r="R1368" s="19" t="str">
        <f>IF(OR(P1368="", Q1368=""), "", P1368-Q1368)</f>
        <v/>
      </c>
      <c r="S1368" s="5">
        <f>B1273-69</f>
        <v>45954</v>
      </c>
      <c r="U1368" s="19" t="str">
        <f>IF(OR(S1368="", T1368=""), "", S1368-T1368)</f>
        <v/>
      </c>
      <c r="V1368" s="5">
        <f>B1273-30</f>
        <v>45993</v>
      </c>
      <c r="W1368" s="6"/>
      <c r="X1368" s="19" t="str">
        <f>IF(OR(V1368="", W1368=""), "", V1368-W1368)</f>
        <v/>
      </c>
      <c r="Y1368" s="51">
        <f>B1273-2</f>
        <v>46021</v>
      </c>
      <c r="Z1368" s="49"/>
      <c r="AA1368" s="49" t="str">
        <f>IF(OR(Y1368="", Z1368=""), "", Y1368-Z1368)</f>
        <v/>
      </c>
      <c r="AB1368" s="51">
        <f>IF(B1369&lt;&gt;"", B1369, "")</f>
        <v>46054</v>
      </c>
      <c r="AC1368" s="49" t="str">
        <f>IF(OR(AB1368="", Z1368=""), "", AB1368-Z1368)</f>
        <v/>
      </c>
      <c r="AD1368" s="43">
        <f>IF(B1273&lt;&gt;"", B1273, "")</f>
        <v>46023</v>
      </c>
      <c r="AF1368" s="19" t="str">
        <f>IF(OR(AD1368="", AE1368=""), "", AD1368-AE1368)</f>
        <v/>
      </c>
      <c r="AG1368" s="10"/>
      <c r="AH1368" s="1"/>
      <c r="AI1368" s="1"/>
      <c r="AJ1368" s="1"/>
      <c r="AK1368" s="1"/>
      <c r="AL1368" s="1"/>
    </row>
    <row r="1369" spans="1:38" ht="15" customHeight="1">
      <c r="A1369" s="156">
        <v>1368</v>
      </c>
      <c r="B1369" s="134">
        <v>46054</v>
      </c>
      <c r="C1369" s="140" t="s">
        <v>2788</v>
      </c>
      <c r="D1369" s="136" t="s">
        <v>38</v>
      </c>
      <c r="E1369" s="136">
        <v>239.32</v>
      </c>
      <c r="F1369" s="136" t="s">
        <v>2789</v>
      </c>
      <c r="G1369" s="138" t="s">
        <v>190</v>
      </c>
      <c r="H1369" s="23" t="s">
        <v>40</v>
      </c>
      <c r="I1369" s="38" t="s">
        <v>41</v>
      </c>
      <c r="J1369" s="97">
        <f>B1369-100</f>
        <v>45954</v>
      </c>
      <c r="K1369" s="4">
        <v>45964</v>
      </c>
      <c r="L1369" s="19">
        <f>IF(OR(J1369="", K1369=""), "", J1369-K1369)</f>
        <v>-10</v>
      </c>
      <c r="M1369" s="5">
        <f>B1369-89</f>
        <v>45965</v>
      </c>
      <c r="O1369" s="19" t="str">
        <f>IF(OR(M1274="", N1369=""), "", M1274-N1369)</f>
        <v/>
      </c>
      <c r="P1369" s="5">
        <f>B1274-74</f>
        <v>45949</v>
      </c>
      <c r="R1369" s="19" t="str">
        <f>IF(OR(P1369="", Q1369=""), "", P1369-Q1369)</f>
        <v/>
      </c>
      <c r="S1369" s="5">
        <f>B1274-69</f>
        <v>45954</v>
      </c>
      <c r="U1369" s="19" t="str">
        <f>IF(OR(S1369="", T1369=""), "", S1369-T1369)</f>
        <v/>
      </c>
      <c r="V1369" s="5">
        <f>B1274-30</f>
        <v>45993</v>
      </c>
      <c r="W1369" s="6"/>
      <c r="X1369" s="19" t="str">
        <f>IF(OR(V1369="", W1369=""), "", V1369-W1369)</f>
        <v/>
      </c>
      <c r="Y1369" s="51">
        <f>B1274-2</f>
        <v>46021</v>
      </c>
      <c r="Z1369" s="49"/>
      <c r="AA1369" s="49" t="str">
        <f>IF(OR(Y1369="", Z1369=""), "", Y1369-Z1369)</f>
        <v/>
      </c>
      <c r="AB1369" s="51">
        <f>IF(B1370&lt;&gt;"", B1370, "")</f>
        <v>46054</v>
      </c>
      <c r="AC1369" s="49" t="str">
        <f>IF(OR(AB1369="", Z1369=""), "", AB1369-Z1369)</f>
        <v/>
      </c>
      <c r="AD1369" s="43">
        <f>IF(B1274&lt;&gt;"", B1274, "")</f>
        <v>46023</v>
      </c>
      <c r="AF1369" s="19" t="str">
        <f>IF(OR(AD1369="", AE1369=""), "", AD1369-AE1369)</f>
        <v/>
      </c>
      <c r="AG1369" s="10"/>
      <c r="AH1369" s="1"/>
      <c r="AI1369" s="1"/>
      <c r="AJ1369" s="1"/>
      <c r="AK1369" s="1"/>
      <c r="AL1369" s="1"/>
    </row>
    <row r="1370" spans="1:38" ht="15" customHeight="1">
      <c r="A1370" s="156">
        <v>1369</v>
      </c>
      <c r="B1370" s="134">
        <v>46054</v>
      </c>
      <c r="C1370" s="140" t="s">
        <v>2790</v>
      </c>
      <c r="D1370" s="136" t="s">
        <v>38</v>
      </c>
      <c r="E1370" s="136">
        <v>278.08999999999997</v>
      </c>
      <c r="F1370" s="136" t="s">
        <v>2523</v>
      </c>
      <c r="G1370" s="138" t="s">
        <v>190</v>
      </c>
      <c r="H1370" s="23" t="s">
        <v>40</v>
      </c>
      <c r="I1370" s="38" t="s">
        <v>41</v>
      </c>
      <c r="J1370" s="97">
        <f>B1370-100</f>
        <v>45954</v>
      </c>
      <c r="K1370" s="4">
        <v>45964</v>
      </c>
      <c r="L1370" s="19">
        <f>IF(OR(J1370="", K1370=""), "", J1370-K1370)</f>
        <v>-10</v>
      </c>
      <c r="M1370" s="5">
        <f>B1370-89</f>
        <v>45965</v>
      </c>
      <c r="O1370" s="19" t="str">
        <f>IF(OR(M1275="", N1370=""), "", M1275-N1370)</f>
        <v/>
      </c>
      <c r="P1370" s="5">
        <f>B1275-74</f>
        <v>45949</v>
      </c>
      <c r="R1370" s="19" t="str">
        <f>IF(OR(P1370="", Q1370=""), "", P1370-Q1370)</f>
        <v/>
      </c>
      <c r="S1370" s="5">
        <f>B1275-69</f>
        <v>45954</v>
      </c>
      <c r="U1370" s="19" t="str">
        <f>IF(OR(S1370="", T1370=""), "", S1370-T1370)</f>
        <v/>
      </c>
      <c r="V1370" s="5">
        <f>B1275-30</f>
        <v>45993</v>
      </c>
      <c r="W1370" s="6"/>
      <c r="X1370" s="19" t="str">
        <f>IF(OR(V1370="", W1370=""), "", V1370-W1370)</f>
        <v/>
      </c>
      <c r="Y1370" s="51">
        <f>B1275-2</f>
        <v>46021</v>
      </c>
      <c r="Z1370" s="49"/>
      <c r="AA1370" s="49" t="str">
        <f>IF(OR(Y1370="", Z1370=""), "", Y1370-Z1370)</f>
        <v/>
      </c>
      <c r="AB1370" s="51">
        <f>IF(B1371&lt;&gt;"", B1371, "")</f>
        <v>46054</v>
      </c>
      <c r="AC1370" s="49" t="str">
        <f>IF(OR(AB1370="", Z1370=""), "", AB1370-Z1370)</f>
        <v/>
      </c>
      <c r="AD1370" s="43">
        <f>IF(B1275&lt;&gt;"", B1275, "")</f>
        <v>46023</v>
      </c>
      <c r="AF1370" s="19" t="str">
        <f>IF(OR(AD1370="", AE1370=""), "", AD1370-AE1370)</f>
        <v/>
      </c>
      <c r="AG1370" s="10"/>
      <c r="AH1370" s="1"/>
      <c r="AI1370" s="1"/>
      <c r="AJ1370" s="1"/>
      <c r="AK1370" s="1"/>
      <c r="AL1370" s="1"/>
    </row>
    <row r="1371" spans="1:38" ht="15" customHeight="1">
      <c r="A1371" s="156">
        <v>1370</v>
      </c>
      <c r="B1371" s="134">
        <v>46054</v>
      </c>
      <c r="C1371" s="140" t="s">
        <v>2791</v>
      </c>
      <c r="D1371" s="136" t="s">
        <v>38</v>
      </c>
      <c r="E1371" s="136">
        <v>546.35</v>
      </c>
      <c r="F1371" s="136" t="s">
        <v>1994</v>
      </c>
      <c r="G1371" s="138" t="s">
        <v>190</v>
      </c>
      <c r="H1371" s="23" t="s">
        <v>40</v>
      </c>
      <c r="I1371" s="38" t="s">
        <v>41</v>
      </c>
      <c r="J1371" s="97">
        <f>B1371-100</f>
        <v>45954</v>
      </c>
      <c r="K1371" s="4">
        <v>45964</v>
      </c>
      <c r="L1371" s="19">
        <f>IF(OR(J1371="", K1371=""), "", J1371-K1371)</f>
        <v>-10</v>
      </c>
      <c r="M1371" s="5">
        <f>B1371-89</f>
        <v>45965</v>
      </c>
      <c r="O1371" s="19" t="str">
        <f>IF(OR(M1276="", N1371=""), "", M1276-N1371)</f>
        <v/>
      </c>
      <c r="P1371" s="5">
        <f>B1276-74</f>
        <v>45949</v>
      </c>
      <c r="R1371" s="19" t="str">
        <f>IF(OR(P1371="", Q1371=""), "", P1371-Q1371)</f>
        <v/>
      </c>
      <c r="S1371" s="5">
        <f>B1276-69</f>
        <v>45954</v>
      </c>
      <c r="U1371" s="19" t="str">
        <f>IF(OR(S1371="", T1371=""), "", S1371-T1371)</f>
        <v/>
      </c>
      <c r="V1371" s="5">
        <f>B1276-30</f>
        <v>45993</v>
      </c>
      <c r="W1371" s="6"/>
      <c r="X1371" s="19" t="str">
        <f>IF(OR(V1371="", W1371=""), "", V1371-W1371)</f>
        <v/>
      </c>
      <c r="Y1371" s="51">
        <f>B1276-2</f>
        <v>46021</v>
      </c>
      <c r="Z1371" s="49"/>
      <c r="AA1371" s="49" t="str">
        <f>IF(OR(Y1371="", Z1371=""), "", Y1371-Z1371)</f>
        <v/>
      </c>
      <c r="AB1371" s="51">
        <f>IF(B1372&lt;&gt;"", B1372, "")</f>
        <v>46054</v>
      </c>
      <c r="AC1371" s="49" t="str">
        <f>IF(OR(AB1371="", Z1371=""), "", AB1371-Z1371)</f>
        <v/>
      </c>
      <c r="AD1371" s="43">
        <f>IF(B1276&lt;&gt;"", B1276, "")</f>
        <v>46023</v>
      </c>
      <c r="AF1371" s="19" t="str">
        <f>IF(OR(AD1371="", AE1371=""), "", AD1371-AE1371)</f>
        <v/>
      </c>
      <c r="AG1371" s="10"/>
      <c r="AH1371" s="1"/>
      <c r="AI1371" s="1"/>
      <c r="AJ1371" s="1"/>
      <c r="AK1371" s="1"/>
      <c r="AL1371" s="1"/>
    </row>
    <row r="1372" spans="1:38" ht="15" customHeight="1">
      <c r="A1372" s="156">
        <v>1371</v>
      </c>
      <c r="B1372" s="134">
        <v>46054</v>
      </c>
      <c r="C1372" s="140" t="s">
        <v>2792</v>
      </c>
      <c r="D1372" s="136" t="s">
        <v>268</v>
      </c>
      <c r="E1372" s="136">
        <v>41176.46</v>
      </c>
      <c r="F1372" s="136" t="s">
        <v>269</v>
      </c>
      <c r="G1372" s="138" t="s">
        <v>46</v>
      </c>
      <c r="H1372" s="23" t="s">
        <v>40</v>
      </c>
      <c r="I1372" s="38" t="s">
        <v>62</v>
      </c>
      <c r="J1372" s="97">
        <f>B1372-100</f>
        <v>45954</v>
      </c>
      <c r="K1372" s="4">
        <v>45964</v>
      </c>
      <c r="L1372" s="19">
        <f>IF(OR(J1372="", K1372=""), "", J1372-K1372)</f>
        <v>-10</v>
      </c>
      <c r="M1372" s="5">
        <f>B1372-89</f>
        <v>45965</v>
      </c>
      <c r="O1372" s="19" t="str">
        <f>IF(OR(M1277="", N1372=""), "", M1277-N1372)</f>
        <v/>
      </c>
      <c r="P1372" s="5">
        <f>B1277-74</f>
        <v>45949</v>
      </c>
      <c r="R1372" s="19" t="str">
        <f>IF(OR(P1372="", Q1372=""), "", P1372-Q1372)</f>
        <v/>
      </c>
      <c r="S1372" s="5">
        <f>B1277-69</f>
        <v>45954</v>
      </c>
      <c r="U1372" s="19" t="str">
        <f>IF(OR(S1372="", T1372=""), "", S1372-T1372)</f>
        <v/>
      </c>
      <c r="V1372" s="5">
        <f>B1277-30</f>
        <v>45993</v>
      </c>
      <c r="W1372" s="6"/>
      <c r="X1372" s="19" t="str">
        <f>IF(OR(V1372="", W1372=""), "", V1372-W1372)</f>
        <v/>
      </c>
      <c r="Y1372" s="51">
        <f>B1277-2</f>
        <v>46021</v>
      </c>
      <c r="Z1372" s="49"/>
      <c r="AA1372" s="49" t="str">
        <f>IF(OR(Y1372="", Z1372=""), "", Y1372-Z1372)</f>
        <v/>
      </c>
      <c r="AB1372" s="51">
        <f>IF(B1373&lt;&gt;"", B1373, "")</f>
        <v>46054</v>
      </c>
      <c r="AC1372" s="49" t="str">
        <f>IF(OR(AB1372="", Z1372=""), "", AB1372-Z1372)</f>
        <v/>
      </c>
      <c r="AD1372" s="43">
        <f>IF(B1277&lt;&gt;"", B1277, "")</f>
        <v>46023</v>
      </c>
      <c r="AF1372" s="19" t="str">
        <f>IF(OR(AD1372="", AE1372=""), "", AD1372-AE1372)</f>
        <v/>
      </c>
      <c r="AG1372" s="10"/>
      <c r="AH1372" s="1"/>
      <c r="AI1372" s="1"/>
      <c r="AJ1372" s="1"/>
      <c r="AK1372" s="1"/>
      <c r="AL1372" s="1"/>
    </row>
    <row r="1373" spans="1:38" ht="15" customHeight="1">
      <c r="A1373" s="156">
        <v>1372</v>
      </c>
      <c r="B1373" s="134">
        <v>46054</v>
      </c>
      <c r="C1373" s="140">
        <v>654179829</v>
      </c>
      <c r="D1373" s="136" t="s">
        <v>270</v>
      </c>
      <c r="E1373" s="136">
        <v>375233.29</v>
      </c>
      <c r="F1373" s="136" t="s">
        <v>271</v>
      </c>
      <c r="G1373" s="138" t="s">
        <v>128</v>
      </c>
      <c r="H1373" s="23" t="s">
        <v>36</v>
      </c>
      <c r="I1373" s="38" t="s">
        <v>272</v>
      </c>
      <c r="J1373" s="97">
        <f>B1373-100</f>
        <v>45954</v>
      </c>
      <c r="K1373" s="4">
        <v>45964</v>
      </c>
      <c r="L1373" s="19">
        <f>IF(OR(J1373="", K1373=""), "", J1373-K1373)</f>
        <v>-10</v>
      </c>
      <c r="M1373" s="5">
        <f>B1373-89</f>
        <v>45965</v>
      </c>
      <c r="O1373" s="19" t="str">
        <f>IF(OR(M1278="", N1373=""), "", M1278-N1373)</f>
        <v/>
      </c>
      <c r="P1373" s="5">
        <f>B1278-74</f>
        <v>45949</v>
      </c>
      <c r="R1373" s="19" t="str">
        <f>IF(OR(P1373="", Q1373=""), "", P1373-Q1373)</f>
        <v/>
      </c>
      <c r="S1373" s="5">
        <f>B1278-69</f>
        <v>45954</v>
      </c>
      <c r="U1373" s="19" t="str">
        <f>IF(OR(S1373="", T1373=""), "", S1373-T1373)</f>
        <v/>
      </c>
      <c r="V1373" s="5">
        <f>B1278-30</f>
        <v>45993</v>
      </c>
      <c r="W1373" s="6"/>
      <c r="X1373" s="19" t="str">
        <f>IF(OR(V1373="", W1373=""), "", V1373-W1373)</f>
        <v/>
      </c>
      <c r="Y1373" s="51">
        <f>B1278-2</f>
        <v>46021</v>
      </c>
      <c r="Z1373" s="49"/>
      <c r="AA1373" s="49" t="str">
        <f>IF(OR(Y1373="", Z1373=""), "", Y1373-Z1373)</f>
        <v/>
      </c>
      <c r="AB1373" s="51">
        <f>IF(B1374&lt;&gt;"", B1374, "")</f>
        <v>46054</v>
      </c>
      <c r="AC1373" s="49" t="str">
        <f>IF(OR(AB1373="", Z1373=""), "", AB1373-Z1373)</f>
        <v/>
      </c>
      <c r="AD1373" s="43">
        <f>IF(B1278&lt;&gt;"", B1278, "")</f>
        <v>46023</v>
      </c>
      <c r="AF1373" s="19" t="str">
        <f>IF(OR(AD1373="", AE1373=""), "", AD1373-AE1373)</f>
        <v/>
      </c>
      <c r="AG1373" s="10"/>
      <c r="AH1373" s="1"/>
      <c r="AI1373" s="1"/>
      <c r="AJ1373" s="1"/>
      <c r="AK1373" s="1"/>
      <c r="AL1373" s="1"/>
    </row>
    <row r="1374" spans="1:38" ht="15" customHeight="1">
      <c r="A1374" s="156">
        <v>1373</v>
      </c>
      <c r="B1374" s="134">
        <v>46054</v>
      </c>
      <c r="C1374" s="140">
        <v>3922500000979</v>
      </c>
      <c r="D1374" s="136" t="s">
        <v>2793</v>
      </c>
      <c r="E1374" s="136">
        <v>6070.23</v>
      </c>
      <c r="F1374" s="136" t="s">
        <v>37</v>
      </c>
      <c r="G1374" s="138" t="s">
        <v>120</v>
      </c>
      <c r="H1374" s="23" t="s">
        <v>40</v>
      </c>
      <c r="I1374" s="38" t="s">
        <v>37</v>
      </c>
      <c r="J1374" s="97">
        <f>B1374-100</f>
        <v>45954</v>
      </c>
      <c r="K1374" s="4">
        <v>45964</v>
      </c>
      <c r="L1374" s="19">
        <f>IF(OR(J1374="", K1374=""), "", J1374-K1374)</f>
        <v>-10</v>
      </c>
      <c r="M1374" s="5">
        <f>B1374-89</f>
        <v>45965</v>
      </c>
      <c r="O1374" s="19" t="str">
        <f>IF(OR(M1279="", N1374=""), "", M1279-N1374)</f>
        <v/>
      </c>
      <c r="P1374" s="5">
        <f>B1279-74</f>
        <v>45949</v>
      </c>
      <c r="R1374" s="19" t="str">
        <f>IF(OR(P1374="", Q1374=""), "", P1374-Q1374)</f>
        <v/>
      </c>
      <c r="S1374" s="5">
        <f>B1279-69</f>
        <v>45954</v>
      </c>
      <c r="U1374" s="19" t="str">
        <f>IF(OR(S1374="", T1374=""), "", S1374-T1374)</f>
        <v/>
      </c>
      <c r="V1374" s="5">
        <f>B1279-30</f>
        <v>45993</v>
      </c>
      <c r="W1374" s="6"/>
      <c r="X1374" s="19" t="str">
        <f>IF(OR(V1374="", W1374=""), "", V1374-W1374)</f>
        <v/>
      </c>
      <c r="Y1374" s="51">
        <f>B1279-2</f>
        <v>46021</v>
      </c>
      <c r="Z1374" s="49"/>
      <c r="AA1374" s="49" t="str">
        <f>IF(OR(Y1374="", Z1374=""), "", Y1374-Z1374)</f>
        <v/>
      </c>
      <c r="AB1374" s="51">
        <f>IF(B1375&lt;&gt;"", B1375, "")</f>
        <v>46054</v>
      </c>
      <c r="AC1374" s="49" t="str">
        <f>IF(OR(AB1374="", Z1374=""), "", AB1374-Z1374)</f>
        <v/>
      </c>
      <c r="AD1374" s="43">
        <f>IF(B1279&lt;&gt;"", B1279, "")</f>
        <v>46023</v>
      </c>
      <c r="AF1374" s="19" t="str">
        <f>IF(OR(AD1374="", AE1374=""), "", AD1374-AE1374)</f>
        <v/>
      </c>
      <c r="AG1374" s="10"/>
      <c r="AH1374" s="1"/>
      <c r="AI1374" s="1"/>
      <c r="AJ1374" s="1"/>
      <c r="AK1374" s="1"/>
      <c r="AL1374" s="1"/>
    </row>
    <row r="1375" spans="1:38" ht="15" customHeight="1">
      <c r="A1375" s="156">
        <v>1374</v>
      </c>
      <c r="B1375" s="134">
        <v>46054</v>
      </c>
      <c r="C1375" s="140">
        <v>658010855</v>
      </c>
      <c r="D1375" s="136" t="s">
        <v>2794</v>
      </c>
      <c r="E1375" s="136">
        <v>58762.84</v>
      </c>
      <c r="F1375" s="136" t="s">
        <v>2795</v>
      </c>
      <c r="G1375" s="138" t="s">
        <v>128</v>
      </c>
      <c r="H1375" s="23" t="s">
        <v>36</v>
      </c>
      <c r="I1375" s="38" t="s">
        <v>272</v>
      </c>
      <c r="J1375" s="97">
        <f>B1375-100</f>
        <v>45954</v>
      </c>
      <c r="K1375" s="4">
        <v>45964</v>
      </c>
      <c r="L1375" s="19">
        <f>IF(OR(J1375="", K1375=""), "", J1375-K1375)</f>
        <v>-10</v>
      </c>
      <c r="M1375" s="5">
        <f>B1375-89</f>
        <v>45965</v>
      </c>
      <c r="O1375" s="19" t="str">
        <f>IF(OR(M1280="", N1375=""), "", M1280-N1375)</f>
        <v/>
      </c>
      <c r="P1375" s="5">
        <f>B1280-74</f>
        <v>45949</v>
      </c>
      <c r="R1375" s="19" t="str">
        <f>IF(OR(P1375="", Q1375=""), "", P1375-Q1375)</f>
        <v/>
      </c>
      <c r="S1375" s="5">
        <f>B1280-69</f>
        <v>45954</v>
      </c>
      <c r="U1375" s="19" t="str">
        <f>IF(OR(S1375="", T1375=""), "", S1375-T1375)</f>
        <v/>
      </c>
      <c r="V1375" s="5">
        <f>B1280-30</f>
        <v>45993</v>
      </c>
      <c r="W1375" s="6"/>
      <c r="X1375" s="19" t="str">
        <f>IF(OR(V1375="", W1375=""), "", V1375-W1375)</f>
        <v/>
      </c>
      <c r="Y1375" s="51">
        <f>B1280-2</f>
        <v>46021</v>
      </c>
      <c r="Z1375" s="49"/>
      <c r="AA1375" s="49" t="str">
        <f>IF(OR(Y1375="", Z1375=""), "", Y1375-Z1375)</f>
        <v/>
      </c>
      <c r="AB1375" s="51">
        <f>IF(B1376&lt;&gt;"", B1376, "")</f>
        <v>46055</v>
      </c>
      <c r="AC1375" s="49" t="str">
        <f>IF(OR(AB1375="", Z1375=""), "", AB1375-Z1375)</f>
        <v/>
      </c>
      <c r="AD1375" s="43">
        <f>IF(B1280&lt;&gt;"", B1280, "")</f>
        <v>46023</v>
      </c>
      <c r="AF1375" s="19" t="str">
        <f>IF(OR(AD1375="", AE1375=""), "", AD1375-AE1375)</f>
        <v/>
      </c>
      <c r="AG1375" s="10"/>
      <c r="AH1375" s="1"/>
      <c r="AI1375" s="1"/>
      <c r="AJ1375" s="1"/>
      <c r="AK1375" s="1"/>
      <c r="AL1375" s="1"/>
    </row>
    <row r="1376" spans="1:38" ht="15" customHeight="1">
      <c r="A1376" s="156">
        <v>1375</v>
      </c>
      <c r="B1376" s="134">
        <v>46055</v>
      </c>
      <c r="C1376" s="140" t="s">
        <v>2796</v>
      </c>
      <c r="D1376" s="136" t="s">
        <v>38</v>
      </c>
      <c r="E1376" s="136">
        <v>9804.7999999999993</v>
      </c>
      <c r="F1376" s="136" t="s">
        <v>387</v>
      </c>
      <c r="G1376" s="138" t="s">
        <v>190</v>
      </c>
      <c r="H1376" s="23" t="s">
        <v>40</v>
      </c>
      <c r="I1376" s="38" t="s">
        <v>41</v>
      </c>
      <c r="J1376" s="97">
        <f>B1376-100</f>
        <v>45955</v>
      </c>
      <c r="K1376" s="4">
        <v>45964</v>
      </c>
      <c r="L1376" s="19">
        <f>IF(OR(J1376="", K1376=""), "", J1376-K1376)</f>
        <v>-9</v>
      </c>
      <c r="M1376" s="5">
        <f>B1376-89</f>
        <v>45966</v>
      </c>
      <c r="O1376" s="19" t="str">
        <f>IF(OR(M1281="", N1376=""), "", M1281-N1376)</f>
        <v/>
      </c>
      <c r="P1376" s="5">
        <f>B1281-74</f>
        <v>45949</v>
      </c>
      <c r="R1376" s="19" t="str">
        <f>IF(OR(P1376="", Q1376=""), "", P1376-Q1376)</f>
        <v/>
      </c>
      <c r="S1376" s="5">
        <f>B1281-69</f>
        <v>45954</v>
      </c>
      <c r="U1376" s="19" t="str">
        <f>IF(OR(S1376="", T1376=""), "", S1376-T1376)</f>
        <v/>
      </c>
      <c r="V1376" s="5">
        <f>B1281-30</f>
        <v>45993</v>
      </c>
      <c r="W1376" s="6"/>
      <c r="X1376" s="19" t="str">
        <f>IF(OR(V1376="", W1376=""), "", V1376-W1376)</f>
        <v/>
      </c>
      <c r="Y1376" s="51">
        <f>B1281-2</f>
        <v>46021</v>
      </c>
      <c r="Z1376" s="49"/>
      <c r="AA1376" s="49" t="str">
        <f>IF(OR(Y1376="", Z1376=""), "", Y1376-Z1376)</f>
        <v/>
      </c>
      <c r="AB1376" s="51">
        <f>IF(B1377&lt;&gt;"", B1377, "")</f>
        <v>46055</v>
      </c>
      <c r="AC1376" s="49" t="str">
        <f>IF(OR(AB1376="", Z1376=""), "", AB1376-Z1376)</f>
        <v/>
      </c>
      <c r="AD1376" s="43">
        <f>IF(B1281&lt;&gt;"", B1281, "")</f>
        <v>46023</v>
      </c>
      <c r="AF1376" s="19" t="str">
        <f>IF(OR(AD1376="", AE1376=""), "", AD1376-AE1376)</f>
        <v/>
      </c>
      <c r="AG1376" s="10"/>
      <c r="AH1376" s="1"/>
      <c r="AI1376" s="1"/>
      <c r="AJ1376" s="1"/>
      <c r="AK1376" s="1"/>
      <c r="AL1376" s="1"/>
    </row>
    <row r="1377" spans="1:38" ht="15" customHeight="1">
      <c r="A1377" s="156">
        <v>1376</v>
      </c>
      <c r="B1377" s="134">
        <v>46055</v>
      </c>
      <c r="C1377" s="140" t="s">
        <v>2797</v>
      </c>
      <c r="D1377" s="136" t="s">
        <v>38</v>
      </c>
      <c r="E1377" s="136">
        <v>666.71</v>
      </c>
      <c r="F1377" s="136" t="s">
        <v>385</v>
      </c>
      <c r="G1377" s="138" t="s">
        <v>190</v>
      </c>
      <c r="H1377" s="23" t="s">
        <v>40</v>
      </c>
      <c r="I1377" s="38" t="s">
        <v>41</v>
      </c>
      <c r="J1377" s="97">
        <f>B1377-100</f>
        <v>45955</v>
      </c>
      <c r="K1377" s="4">
        <v>45964</v>
      </c>
      <c r="L1377" s="19">
        <f>IF(OR(J1377="", K1377=""), "", J1377-K1377)</f>
        <v>-9</v>
      </c>
      <c r="M1377" s="5">
        <f>B1377-89</f>
        <v>45966</v>
      </c>
      <c r="O1377" s="19" t="str">
        <f>IF(OR(M1282="", N1377=""), "", M1282-N1377)</f>
        <v/>
      </c>
      <c r="P1377" s="5">
        <f>B1282-74</f>
        <v>45950</v>
      </c>
      <c r="R1377" s="19" t="str">
        <f>IF(OR(P1377="", Q1377=""), "", P1377-Q1377)</f>
        <v/>
      </c>
      <c r="S1377" s="5">
        <f>B1282-69</f>
        <v>45955</v>
      </c>
      <c r="U1377" s="19" t="str">
        <f>IF(OR(S1377="", T1377=""), "", S1377-T1377)</f>
        <v/>
      </c>
      <c r="V1377" s="5">
        <f>B1282-30</f>
        <v>45994</v>
      </c>
      <c r="W1377" s="6"/>
      <c r="X1377" s="19" t="str">
        <f>IF(OR(V1377="", W1377=""), "", V1377-W1377)</f>
        <v/>
      </c>
      <c r="Y1377" s="51">
        <f>B1282-2</f>
        <v>46022</v>
      </c>
      <c r="Z1377" s="49"/>
      <c r="AA1377" s="49" t="str">
        <f>IF(OR(Y1377="", Z1377=""), "", Y1377-Z1377)</f>
        <v/>
      </c>
      <c r="AB1377" s="51">
        <f>IF(B1378&lt;&gt;"", B1378, "")</f>
        <v>46056</v>
      </c>
      <c r="AC1377" s="49" t="str">
        <f>IF(OR(AB1377="", Z1377=""), "", AB1377-Z1377)</f>
        <v/>
      </c>
      <c r="AD1377" s="43">
        <f>IF(B1282&lt;&gt;"", B1282, "")</f>
        <v>46024</v>
      </c>
      <c r="AF1377" s="19" t="str">
        <f>IF(OR(AD1377="", AE1377=""), "", AD1377-AE1377)</f>
        <v/>
      </c>
      <c r="AG1377" s="10"/>
      <c r="AH1377" s="1"/>
      <c r="AI1377" s="1"/>
      <c r="AJ1377" s="1"/>
      <c r="AK1377" s="1"/>
      <c r="AL1377" s="1"/>
    </row>
    <row r="1378" spans="1:38" ht="15" customHeight="1">
      <c r="A1378" s="156">
        <v>1377</v>
      </c>
      <c r="B1378" s="134">
        <v>46056</v>
      </c>
      <c r="C1378" s="140" t="s">
        <v>2798</v>
      </c>
      <c r="D1378" s="136" t="s">
        <v>38</v>
      </c>
      <c r="E1378" s="136">
        <v>332.39</v>
      </c>
      <c r="F1378" s="136" t="s">
        <v>392</v>
      </c>
      <c r="G1378" s="138" t="s">
        <v>190</v>
      </c>
      <c r="H1378" s="23" t="s">
        <v>40</v>
      </c>
      <c r="I1378" s="38" t="s">
        <v>41</v>
      </c>
      <c r="J1378" s="97">
        <f>B1378-100</f>
        <v>45956</v>
      </c>
      <c r="K1378" s="4">
        <v>45964</v>
      </c>
      <c r="L1378" s="19">
        <f>IF(OR(J1378="", K1378=""), "", J1378-K1378)</f>
        <v>-8</v>
      </c>
      <c r="M1378" s="5">
        <f>B1378-89</f>
        <v>45967</v>
      </c>
      <c r="O1378" s="19" t="str">
        <f>IF(OR(M1283="", N1378=""), "", M1283-N1378)</f>
        <v/>
      </c>
      <c r="P1378" s="5">
        <f>B1283-74</f>
        <v>45950</v>
      </c>
      <c r="R1378" s="19" t="str">
        <f>IF(OR(P1378="", Q1378=""), "", P1378-Q1378)</f>
        <v/>
      </c>
      <c r="S1378" s="5">
        <f>B1283-69</f>
        <v>45955</v>
      </c>
      <c r="U1378" s="19" t="str">
        <f>IF(OR(S1378="", T1378=""), "", S1378-T1378)</f>
        <v/>
      </c>
      <c r="V1378" s="5">
        <f>B1283-30</f>
        <v>45994</v>
      </c>
      <c r="W1378" s="6"/>
      <c r="X1378" s="19" t="str">
        <f>IF(OR(V1378="", W1378=""), "", V1378-W1378)</f>
        <v/>
      </c>
      <c r="Y1378" s="51">
        <f>B1283-2</f>
        <v>46022</v>
      </c>
      <c r="Z1378" s="49"/>
      <c r="AA1378" s="49" t="str">
        <f>IF(OR(Y1378="", Z1378=""), "", Y1378-Z1378)</f>
        <v/>
      </c>
      <c r="AB1378" s="51">
        <f>IF(B1379&lt;&gt;"", B1379, "")</f>
        <v>46058</v>
      </c>
      <c r="AC1378" s="49" t="str">
        <f>IF(OR(AB1378="", Z1378=""), "", AB1378-Z1378)</f>
        <v/>
      </c>
      <c r="AD1378" s="43">
        <f>IF(B1283&lt;&gt;"", B1283, "")</f>
        <v>46024</v>
      </c>
      <c r="AF1378" s="19" t="str">
        <f>IF(OR(AD1378="", AE1378=""), "", AD1378-AE1378)</f>
        <v/>
      </c>
      <c r="AG1378" s="10"/>
      <c r="AH1378" s="1"/>
      <c r="AI1378" s="1"/>
      <c r="AJ1378" s="1"/>
      <c r="AK1378" s="1"/>
      <c r="AL1378" s="1"/>
    </row>
    <row r="1379" spans="1:38" ht="15" customHeight="1">
      <c r="A1379" s="156">
        <v>1378</v>
      </c>
      <c r="B1379" s="134">
        <v>46058</v>
      </c>
      <c r="C1379" s="140" t="s">
        <v>2799</v>
      </c>
      <c r="D1379" s="136" t="s">
        <v>38</v>
      </c>
      <c r="E1379" s="136">
        <v>1505.35</v>
      </c>
      <c r="F1379" s="136" t="s">
        <v>2055</v>
      </c>
      <c r="G1379" s="138" t="s">
        <v>190</v>
      </c>
      <c r="H1379" s="23" t="s">
        <v>40</v>
      </c>
      <c r="I1379" s="38" t="s">
        <v>41</v>
      </c>
      <c r="J1379" s="97">
        <f>B1379-100</f>
        <v>45958</v>
      </c>
      <c r="K1379" s="4">
        <v>45964</v>
      </c>
      <c r="L1379" s="19">
        <f>IF(OR(J1379="", K1379=""), "", J1379-K1379)</f>
        <v>-6</v>
      </c>
      <c r="M1379" s="5">
        <f>B1379-89</f>
        <v>45969</v>
      </c>
      <c r="O1379" s="19" t="str">
        <f>IF(OR(M1284="", N1379=""), "", M1284-N1379)</f>
        <v/>
      </c>
      <c r="P1379" s="5">
        <f>B1284-74</f>
        <v>45950</v>
      </c>
      <c r="R1379" s="19" t="str">
        <f>IF(OR(P1379="", Q1379=""), "", P1379-Q1379)</f>
        <v/>
      </c>
      <c r="S1379" s="5">
        <f>B1284-69</f>
        <v>45955</v>
      </c>
      <c r="U1379" s="19" t="str">
        <f>IF(OR(S1379="", T1379=""), "", S1379-T1379)</f>
        <v/>
      </c>
      <c r="V1379" s="5">
        <f>B1284-30</f>
        <v>45994</v>
      </c>
      <c r="W1379" s="6"/>
      <c r="X1379" s="19" t="str">
        <f>IF(OR(V1379="", W1379=""), "", V1379-W1379)</f>
        <v/>
      </c>
      <c r="Y1379" s="51">
        <f>B1284-2</f>
        <v>46022</v>
      </c>
      <c r="Z1379" s="49"/>
      <c r="AA1379" s="49" t="str">
        <f>IF(OR(Y1379="", Z1379=""), "", Y1379-Z1379)</f>
        <v/>
      </c>
      <c r="AB1379" s="51">
        <f>IF(B1380&lt;&gt;"", B1380, "")</f>
        <v>46060</v>
      </c>
      <c r="AC1379" s="49" t="str">
        <f>IF(OR(AB1379="", Z1379=""), "", AB1379-Z1379)</f>
        <v/>
      </c>
      <c r="AD1379" s="43">
        <f>IF(B1284&lt;&gt;"", B1284, "")</f>
        <v>46024</v>
      </c>
      <c r="AF1379" s="19" t="str">
        <f>IF(OR(AD1379="", AE1379=""), "", AD1379-AE1379)</f>
        <v/>
      </c>
      <c r="AG1379" s="10"/>
      <c r="AH1379" s="1"/>
      <c r="AI1379" s="1"/>
      <c r="AJ1379" s="1"/>
      <c r="AK1379" s="1"/>
      <c r="AL1379" s="1"/>
    </row>
    <row r="1380" spans="1:38" ht="15" customHeight="1">
      <c r="A1380" s="156">
        <v>1379</v>
      </c>
      <c r="B1380" s="134">
        <v>46060</v>
      </c>
      <c r="C1380" s="140" t="s">
        <v>2800</v>
      </c>
      <c r="D1380" s="136" t="s">
        <v>38</v>
      </c>
      <c r="E1380" s="136">
        <v>478.65</v>
      </c>
      <c r="F1380" s="136" t="s">
        <v>2124</v>
      </c>
      <c r="G1380" s="138" t="s">
        <v>190</v>
      </c>
      <c r="H1380" s="23" t="s">
        <v>40</v>
      </c>
      <c r="I1380" s="38" t="s">
        <v>41</v>
      </c>
      <c r="J1380" s="97">
        <f>B1380-100</f>
        <v>45960</v>
      </c>
      <c r="K1380" s="4">
        <v>45964</v>
      </c>
      <c r="L1380" s="19">
        <f>IF(OR(J1380="", K1380=""), "", J1380-K1380)</f>
        <v>-4</v>
      </c>
      <c r="M1380" s="5">
        <f>B1380-89</f>
        <v>45971</v>
      </c>
      <c r="O1380" s="19" t="str">
        <f>IF(OR(M1285="", N1380=""), "", M1285-N1380)</f>
        <v/>
      </c>
      <c r="P1380" s="5">
        <f>B1285-74</f>
        <v>45950</v>
      </c>
      <c r="R1380" s="19" t="str">
        <f>IF(OR(P1380="", Q1380=""), "", P1380-Q1380)</f>
        <v/>
      </c>
      <c r="S1380" s="5">
        <f>B1285-69</f>
        <v>45955</v>
      </c>
      <c r="U1380" s="19" t="str">
        <f>IF(OR(S1380="", T1380=""), "", S1380-T1380)</f>
        <v/>
      </c>
      <c r="V1380" s="5">
        <f>B1285-30</f>
        <v>45994</v>
      </c>
      <c r="W1380" s="6"/>
      <c r="X1380" s="19" t="str">
        <f>IF(OR(V1380="", W1380=""), "", V1380-W1380)</f>
        <v/>
      </c>
      <c r="Y1380" s="51">
        <f>B1285-2</f>
        <v>46022</v>
      </c>
      <c r="Z1380" s="49"/>
      <c r="AA1380" s="49" t="str">
        <f>IF(OR(Y1380="", Z1380=""), "", Y1380-Z1380)</f>
        <v/>
      </c>
      <c r="AB1380" s="51">
        <f>IF(B1381&lt;&gt;"", B1381, "")</f>
        <v>46061</v>
      </c>
      <c r="AC1380" s="49" t="str">
        <f>IF(OR(AB1380="", Z1380=""), "", AB1380-Z1380)</f>
        <v/>
      </c>
      <c r="AD1380" s="43">
        <f>IF(B1285&lt;&gt;"", B1285, "")</f>
        <v>46024</v>
      </c>
      <c r="AF1380" s="19" t="str">
        <f>IF(OR(AD1380="", AE1380=""), "", AD1380-AE1380)</f>
        <v/>
      </c>
      <c r="AG1380" s="10"/>
      <c r="AH1380" s="1"/>
      <c r="AI1380" s="1"/>
      <c r="AJ1380" s="1"/>
      <c r="AK1380" s="1"/>
      <c r="AL1380" s="1"/>
    </row>
    <row r="1381" spans="1:38" ht="15" customHeight="1">
      <c r="A1381" s="156">
        <v>1380</v>
      </c>
      <c r="B1381" s="134">
        <v>46061</v>
      </c>
      <c r="C1381" s="140" t="s">
        <v>2801</v>
      </c>
      <c r="D1381" s="136" t="s">
        <v>38</v>
      </c>
      <c r="E1381" s="136">
        <v>387.01</v>
      </c>
      <c r="F1381" s="136" t="s">
        <v>394</v>
      </c>
      <c r="G1381" s="138" t="s">
        <v>190</v>
      </c>
      <c r="H1381" s="23" t="s">
        <v>40</v>
      </c>
      <c r="I1381" s="38" t="s">
        <v>41</v>
      </c>
      <c r="J1381" s="97">
        <f>B1381-100</f>
        <v>45961</v>
      </c>
      <c r="K1381" s="4">
        <v>45964</v>
      </c>
      <c r="L1381" s="19">
        <f>IF(OR(J1381="", K1381=""), "", J1381-K1381)</f>
        <v>-3</v>
      </c>
      <c r="M1381" s="5">
        <f>B1381-89</f>
        <v>45972</v>
      </c>
      <c r="O1381" s="19" t="str">
        <f>IF(OR(M1286="", N1381=""), "", M1286-N1381)</f>
        <v/>
      </c>
      <c r="P1381" s="5">
        <f>B1286-74</f>
        <v>45951</v>
      </c>
      <c r="R1381" s="19" t="str">
        <f>IF(OR(P1381="", Q1381=""), "", P1381-Q1381)</f>
        <v/>
      </c>
      <c r="S1381" s="5">
        <f>B1286-69</f>
        <v>45956</v>
      </c>
      <c r="U1381" s="19" t="str">
        <f>IF(OR(S1381="", T1381=""), "", S1381-T1381)</f>
        <v/>
      </c>
      <c r="V1381" s="5">
        <f>B1286-30</f>
        <v>45995</v>
      </c>
      <c r="W1381" s="6"/>
      <c r="X1381" s="19" t="str">
        <f>IF(OR(V1381="", W1381=""), "", V1381-W1381)</f>
        <v/>
      </c>
      <c r="Y1381" s="51">
        <f>B1286-2</f>
        <v>46023</v>
      </c>
      <c r="Z1381" s="49"/>
      <c r="AA1381" s="49" t="str">
        <f>IF(OR(Y1381="", Z1381=""), "", Y1381-Z1381)</f>
        <v/>
      </c>
      <c r="AB1381" s="51">
        <f>IF(B1382&lt;&gt;"", B1382, "")</f>
        <v>46061</v>
      </c>
      <c r="AC1381" s="49" t="str">
        <f>IF(OR(AB1381="", Z1381=""), "", AB1381-Z1381)</f>
        <v/>
      </c>
      <c r="AD1381" s="43">
        <f>IF(B1286&lt;&gt;"", B1286, "")</f>
        <v>46025</v>
      </c>
      <c r="AF1381" s="19" t="str">
        <f>IF(OR(AD1381="", AE1381=""), "", AD1381-AE1381)</f>
        <v/>
      </c>
      <c r="AG1381" s="10"/>
      <c r="AH1381" s="1"/>
      <c r="AI1381" s="1"/>
      <c r="AJ1381" s="1"/>
      <c r="AK1381" s="1"/>
      <c r="AL1381" s="1"/>
    </row>
    <row r="1382" spans="1:38" ht="15" customHeight="1">
      <c r="A1382" s="156">
        <v>1381</v>
      </c>
      <c r="B1382" s="134">
        <v>46061</v>
      </c>
      <c r="C1382" s="140" t="s">
        <v>2802</v>
      </c>
      <c r="D1382" s="136" t="s">
        <v>401</v>
      </c>
      <c r="E1382" s="136">
        <v>81480.87</v>
      </c>
      <c r="F1382" s="136" t="s">
        <v>402</v>
      </c>
      <c r="G1382" s="138" t="s">
        <v>35</v>
      </c>
      <c r="H1382" s="23" t="s">
        <v>36</v>
      </c>
      <c r="I1382" s="38" t="s">
        <v>37</v>
      </c>
      <c r="J1382" s="97">
        <f>B1382-100</f>
        <v>45961</v>
      </c>
      <c r="K1382" s="4">
        <v>45964</v>
      </c>
      <c r="L1382" s="19">
        <f>IF(OR(J1382="", K1382=""), "", J1382-K1382)</f>
        <v>-3</v>
      </c>
      <c r="M1382" s="5">
        <f>B1382-89</f>
        <v>45972</v>
      </c>
      <c r="O1382" s="19" t="str">
        <f>IF(OR(M1287="", N1382=""), "", M1287-N1382)</f>
        <v/>
      </c>
      <c r="P1382" s="5">
        <f>B1287-74</f>
        <v>45951</v>
      </c>
      <c r="R1382" s="19" t="str">
        <f>IF(OR(P1382="", Q1382=""), "", P1382-Q1382)</f>
        <v/>
      </c>
      <c r="S1382" s="5">
        <f>B1287-69</f>
        <v>45956</v>
      </c>
      <c r="U1382" s="19" t="str">
        <f>IF(OR(S1382="", T1382=""), "", S1382-T1382)</f>
        <v/>
      </c>
      <c r="V1382" s="5">
        <f>B1287-30</f>
        <v>45995</v>
      </c>
      <c r="W1382" s="6"/>
      <c r="X1382" s="19" t="str">
        <f>IF(OR(V1382="", W1382=""), "", V1382-W1382)</f>
        <v/>
      </c>
      <c r="Y1382" s="51">
        <f>B1287-2</f>
        <v>46023</v>
      </c>
      <c r="Z1382" s="49"/>
      <c r="AA1382" s="49" t="str">
        <f>IF(OR(Y1382="", Z1382=""), "", Y1382-Z1382)</f>
        <v/>
      </c>
      <c r="AB1382" s="51">
        <f>IF(B1383&lt;&gt;"", B1383, "")</f>
        <v>46061</v>
      </c>
      <c r="AC1382" s="49" t="str">
        <f>IF(OR(AB1382="", Z1382=""), "", AB1382-Z1382)</f>
        <v/>
      </c>
      <c r="AD1382" s="43">
        <f>IF(B1287&lt;&gt;"", B1287, "")</f>
        <v>46025</v>
      </c>
      <c r="AF1382" s="19" t="str">
        <f>IF(OR(AD1382="", AE1382=""), "", AD1382-AE1382)</f>
        <v/>
      </c>
      <c r="AG1382" s="10"/>
      <c r="AH1382" s="1"/>
      <c r="AI1382" s="1"/>
      <c r="AJ1382" s="1"/>
      <c r="AK1382" s="1"/>
      <c r="AL1382" s="1"/>
    </row>
    <row r="1383" spans="1:38" ht="15" customHeight="1">
      <c r="A1383" s="156">
        <v>1382</v>
      </c>
      <c r="B1383" s="134">
        <v>46061</v>
      </c>
      <c r="C1383" s="140" t="s">
        <v>2803</v>
      </c>
      <c r="D1383" s="136" t="s">
        <v>2804</v>
      </c>
      <c r="E1383" s="136">
        <v>586.01</v>
      </c>
      <c r="F1383" s="136" t="s">
        <v>93</v>
      </c>
      <c r="G1383" s="138" t="s">
        <v>35</v>
      </c>
      <c r="H1383" s="23" t="s">
        <v>40</v>
      </c>
      <c r="I1383" s="38" t="s">
        <v>93</v>
      </c>
      <c r="J1383" s="97">
        <f>B1383-100</f>
        <v>45961</v>
      </c>
      <c r="K1383" s="4">
        <v>45964</v>
      </c>
      <c r="L1383" s="19">
        <f>IF(OR(J1383="", K1383=""), "", J1383-K1383)</f>
        <v>-3</v>
      </c>
      <c r="M1383" s="5">
        <f>B1383-89</f>
        <v>45972</v>
      </c>
      <c r="O1383" s="19" t="str">
        <f>IF(OR(M1288="", N1383=""), "", M1288-N1383)</f>
        <v/>
      </c>
      <c r="P1383" s="5">
        <f>B1288-74</f>
        <v>45951</v>
      </c>
      <c r="R1383" s="19" t="str">
        <f>IF(OR(P1383="", Q1383=""), "", P1383-Q1383)</f>
        <v/>
      </c>
      <c r="S1383" s="5">
        <f>B1288-69</f>
        <v>45956</v>
      </c>
      <c r="U1383" s="19" t="str">
        <f>IF(OR(S1383="", T1383=""), "", S1383-T1383)</f>
        <v/>
      </c>
      <c r="V1383" s="5">
        <f>B1288-30</f>
        <v>45995</v>
      </c>
      <c r="W1383" s="6"/>
      <c r="X1383" s="19" t="str">
        <f>IF(OR(V1383="", W1383=""), "", V1383-W1383)</f>
        <v/>
      </c>
      <c r="Y1383" s="51">
        <f>B1288-2</f>
        <v>46023</v>
      </c>
      <c r="Z1383" s="49"/>
      <c r="AA1383" s="49" t="str">
        <f>IF(OR(Y1383="", Z1383=""), "", Y1383-Z1383)</f>
        <v/>
      </c>
      <c r="AB1383" s="51">
        <f>IF(B1384&lt;&gt;"", B1384, "")</f>
        <v>46063</v>
      </c>
      <c r="AC1383" s="49" t="str">
        <f>IF(OR(AB1383="", Z1383=""), "", AB1383-Z1383)</f>
        <v/>
      </c>
      <c r="AD1383" s="43">
        <f>IF(B1288&lt;&gt;"", B1288, "")</f>
        <v>46025</v>
      </c>
      <c r="AF1383" s="19" t="str">
        <f>IF(OR(AD1383="", AE1383=""), "", AD1383-AE1383)</f>
        <v/>
      </c>
      <c r="AG1383" s="10"/>
      <c r="AH1383" s="1"/>
      <c r="AI1383" s="1"/>
      <c r="AJ1383" s="1"/>
      <c r="AK1383" s="1"/>
      <c r="AL1383" s="1"/>
    </row>
    <row r="1384" spans="1:38" ht="15" customHeight="1">
      <c r="A1384" s="156">
        <v>1383</v>
      </c>
      <c r="B1384" s="134">
        <v>46063</v>
      </c>
      <c r="C1384" s="140" t="s">
        <v>414</v>
      </c>
      <c r="D1384" s="136" t="s">
        <v>113</v>
      </c>
      <c r="E1384" s="136">
        <v>3689.07</v>
      </c>
      <c r="F1384" s="136" t="s">
        <v>2805</v>
      </c>
      <c r="G1384" s="138" t="s">
        <v>35</v>
      </c>
      <c r="H1384" s="23" t="s">
        <v>40</v>
      </c>
      <c r="I1384" s="38" t="s">
        <v>41</v>
      </c>
      <c r="J1384" s="97">
        <f>B1384-100</f>
        <v>45963</v>
      </c>
      <c r="K1384" s="4">
        <v>45964</v>
      </c>
      <c r="L1384" s="19">
        <f>IF(OR(J1384="", K1384=""), "", J1384-K1384)</f>
        <v>-1</v>
      </c>
      <c r="M1384" s="5">
        <f>B1384-89</f>
        <v>45974</v>
      </c>
      <c r="O1384" s="19" t="str">
        <f>IF(OR(M1289="", N1384=""), "", M1289-N1384)</f>
        <v/>
      </c>
      <c r="P1384" s="5">
        <f>B1289-74</f>
        <v>45952</v>
      </c>
      <c r="R1384" s="19" t="str">
        <f>IF(OR(P1384="", Q1384=""), "", P1384-Q1384)</f>
        <v/>
      </c>
      <c r="S1384" s="5">
        <f>B1289-69</f>
        <v>45957</v>
      </c>
      <c r="U1384" s="19" t="str">
        <f>IF(OR(S1384="", T1384=""), "", S1384-T1384)</f>
        <v/>
      </c>
      <c r="V1384" s="5">
        <f>B1289-30</f>
        <v>45996</v>
      </c>
      <c r="W1384" s="6"/>
      <c r="X1384" s="19" t="str">
        <f>IF(OR(V1384="", W1384=""), "", V1384-W1384)</f>
        <v/>
      </c>
      <c r="Y1384" s="51">
        <f>B1289-2</f>
        <v>46024</v>
      </c>
      <c r="Z1384" s="49"/>
      <c r="AA1384" s="49" t="str">
        <f>IF(OR(Y1384="", Z1384=""), "", Y1384-Z1384)</f>
        <v/>
      </c>
      <c r="AB1384" s="51">
        <f>IF(B1385&lt;&gt;"", B1385, "")</f>
        <v>46063</v>
      </c>
      <c r="AC1384" s="49" t="str">
        <f>IF(OR(AB1384="", Z1384=""), "", AB1384-Z1384)</f>
        <v/>
      </c>
      <c r="AD1384" s="43">
        <f>IF(B1289&lt;&gt;"", B1289, "")</f>
        <v>46026</v>
      </c>
      <c r="AF1384" s="19" t="str">
        <f>IF(OR(AD1384="", AE1384=""), "", AD1384-AE1384)</f>
        <v/>
      </c>
      <c r="AG1384" s="10"/>
      <c r="AH1384" s="1"/>
      <c r="AI1384" s="1"/>
      <c r="AJ1384" s="1"/>
      <c r="AK1384" s="1"/>
      <c r="AL1384" s="1"/>
    </row>
    <row r="1385" spans="1:38" ht="15" customHeight="1">
      <c r="A1385" s="156">
        <v>1384</v>
      </c>
      <c r="B1385" s="134">
        <v>46063</v>
      </c>
      <c r="C1385" s="140" t="s">
        <v>2806</v>
      </c>
      <c r="D1385" s="136" t="s">
        <v>38</v>
      </c>
      <c r="E1385" s="136">
        <v>3936.7</v>
      </c>
      <c r="F1385" s="136" t="s">
        <v>413</v>
      </c>
      <c r="G1385" s="138" t="s">
        <v>190</v>
      </c>
      <c r="H1385" s="23" t="s">
        <v>40</v>
      </c>
      <c r="I1385" s="38" t="s">
        <v>41</v>
      </c>
      <c r="J1385" s="97">
        <f>B1385-100</f>
        <v>45963</v>
      </c>
      <c r="K1385" s="4">
        <v>45964</v>
      </c>
      <c r="L1385" s="19">
        <f>IF(OR(J1385="", K1385=""), "", J1385-K1385)</f>
        <v>-1</v>
      </c>
      <c r="M1385" s="5">
        <f>B1385-89</f>
        <v>45974</v>
      </c>
      <c r="O1385" s="19" t="str">
        <f>IF(OR(M1290="", N1385=""), "", M1290-N1385)</f>
        <v/>
      </c>
      <c r="P1385" s="5">
        <f>B1290-74</f>
        <v>45952</v>
      </c>
      <c r="R1385" s="19" t="str">
        <f>IF(OR(P1385="", Q1385=""), "", P1385-Q1385)</f>
        <v/>
      </c>
      <c r="S1385" s="5">
        <f>B1290-69</f>
        <v>45957</v>
      </c>
      <c r="U1385" s="19" t="str">
        <f>IF(OR(S1385="", T1385=""), "", S1385-T1385)</f>
        <v/>
      </c>
      <c r="V1385" s="5">
        <f>B1290-30</f>
        <v>45996</v>
      </c>
      <c r="W1385" s="6"/>
      <c r="X1385" s="19" t="str">
        <f>IF(OR(V1385="", W1385=""), "", V1385-W1385)</f>
        <v/>
      </c>
      <c r="Y1385" s="51">
        <f>B1290-2</f>
        <v>46024</v>
      </c>
      <c r="Z1385" s="49"/>
      <c r="AA1385" s="49" t="str">
        <f>IF(OR(Y1385="", Z1385=""), "", Y1385-Z1385)</f>
        <v/>
      </c>
      <c r="AB1385" s="51">
        <f>IF(B1386&lt;&gt;"", B1386, "")</f>
        <v>46064</v>
      </c>
      <c r="AC1385" s="49" t="str">
        <f>IF(OR(AB1385="", Z1385=""), "", AB1385-Z1385)</f>
        <v/>
      </c>
      <c r="AD1385" s="43">
        <f>IF(B1290&lt;&gt;"", B1290, "")</f>
        <v>46026</v>
      </c>
      <c r="AF1385" s="19" t="str">
        <f>IF(OR(AD1385="", AE1385=""), "", AD1385-AE1385)</f>
        <v/>
      </c>
      <c r="AG1385" s="10"/>
      <c r="AH1385" s="1"/>
      <c r="AI1385" s="1"/>
      <c r="AJ1385" s="1"/>
      <c r="AK1385" s="1"/>
      <c r="AL1385" s="1"/>
    </row>
    <row r="1386" spans="1:38" ht="15" customHeight="1">
      <c r="A1386" s="156">
        <v>1385</v>
      </c>
      <c r="B1386" s="134">
        <v>46064</v>
      </c>
      <c r="C1386" s="140" t="s">
        <v>2807</v>
      </c>
      <c r="D1386" s="136" t="s">
        <v>2808</v>
      </c>
      <c r="E1386" s="136">
        <v>42405.05</v>
      </c>
      <c r="F1386" s="136" t="s">
        <v>2809</v>
      </c>
      <c r="G1386" s="138" t="s">
        <v>51</v>
      </c>
      <c r="H1386" s="23" t="s">
        <v>40</v>
      </c>
      <c r="I1386" s="38" t="s">
        <v>93</v>
      </c>
      <c r="J1386" s="97">
        <f>B1386-100</f>
        <v>45964</v>
      </c>
      <c r="K1386" s="4">
        <v>45964</v>
      </c>
      <c r="L1386" s="19">
        <f>IF(OR(J1386="", K1386=""), "", J1386-K1386)</f>
        <v>0</v>
      </c>
      <c r="M1386" s="5">
        <f>B1386-89</f>
        <v>45975</v>
      </c>
      <c r="O1386" s="19" t="str">
        <f>IF(OR(M1291="", N1386=""), "", M1291-N1386)</f>
        <v/>
      </c>
      <c r="P1386" s="5">
        <f>B1291-74</f>
        <v>45953</v>
      </c>
      <c r="R1386" s="19" t="str">
        <f>IF(OR(P1386="", Q1386=""), "", P1386-Q1386)</f>
        <v/>
      </c>
      <c r="S1386" s="5">
        <f>B1291-69</f>
        <v>45958</v>
      </c>
      <c r="U1386" s="19" t="str">
        <f>IF(OR(S1386="", T1386=""), "", S1386-T1386)</f>
        <v/>
      </c>
      <c r="V1386" s="5">
        <f>B1291-30</f>
        <v>45997</v>
      </c>
      <c r="W1386" s="6"/>
      <c r="X1386" s="19" t="str">
        <f>IF(OR(V1386="", W1386=""), "", V1386-W1386)</f>
        <v/>
      </c>
      <c r="Y1386" s="51">
        <f>B1291-2</f>
        <v>46025</v>
      </c>
      <c r="Z1386" s="49"/>
      <c r="AA1386" s="49" t="str">
        <f>IF(OR(Y1386="", Z1386=""), "", Y1386-Z1386)</f>
        <v/>
      </c>
      <c r="AB1386" s="51" t="str">
        <f>IF(B1387&lt;&gt;"", B1387, "")</f>
        <v/>
      </c>
      <c r="AC1386" s="49" t="str">
        <f>IF(OR(AB1386="", Z1386=""), "", AB1386-Z1386)</f>
        <v/>
      </c>
      <c r="AD1386" s="43">
        <f>IF(B1291&lt;&gt;"", B1291, "")</f>
        <v>46027</v>
      </c>
      <c r="AF1386" s="19" t="str">
        <f>IF(OR(AD1386="", AE1386=""), "", AD1386-AE1386)</f>
        <v/>
      </c>
      <c r="AG1386" s="10"/>
      <c r="AH1386" s="1"/>
      <c r="AI1386" s="1"/>
      <c r="AJ1386" s="1"/>
      <c r="AK1386" s="1"/>
      <c r="AL1386" s="1"/>
    </row>
  </sheetData>
  <sheetProtection autoFilter="0"/>
  <autoFilter ref="A1:AL1386" xr:uid="{AEB9C61F-912F-49AD-9106-29AD896C0235}"/>
  <pageMargins left="0.7" right="0.7" top="0.75" bottom="0.75" header="0.3" footer="0.3"/>
  <pageSetup scale="2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Jennifer Tavares</dc:creator>
  <cp:keywords/>
  <dc:description/>
  <cp:lastModifiedBy/>
  <cp:revision/>
  <dcterms:created xsi:type="dcterms:W3CDTF">2024-10-25T14:24:51Z</dcterms:created>
  <dcterms:modified xsi:type="dcterms:W3CDTF">2025-11-04T16:40:34Z</dcterms:modified>
  <cp:category/>
  <cp:contentStatus/>
</cp:coreProperties>
</file>